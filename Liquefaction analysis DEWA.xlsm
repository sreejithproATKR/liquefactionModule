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ari1218\PycharmProjects\liquefactionModule\"/>
    </mc:Choice>
  </mc:AlternateContent>
  <xr:revisionPtr revIDLastSave="0" documentId="13_ncr:9_{B0A4ABFB-B6CC-4287-BD49-DF4C8A7DA20F}" xr6:coauthVersionLast="47" xr6:coauthVersionMax="47" xr10:uidLastSave="{00000000-0000-0000-0000-000000000000}"/>
  <bookViews>
    <workbookView xWindow="-110" yWindow="-110" windowWidth="19420" windowHeight="10300" firstSheet="6" activeTab="6" xr2:uid="{3E046A0B-01AE-4460-B720-6EBA3E9C2E41}"/>
  </bookViews>
  <sheets>
    <sheet name="Beach Club" sheetId="9" state="hidden" r:id="rId1"/>
    <sheet name="Resort Assets" sheetId="10" state="hidden" r:id="rId2"/>
    <sheet name="Waterpark" sheetId="11" state="hidden" r:id="rId3"/>
    <sheet name="Infra" sheetId="12" state="hidden" r:id="rId4"/>
    <sheet name="Resort Assets (2)" sheetId="13" state="hidden" r:id="rId5"/>
    <sheet name="INSTRUCTIONS" sheetId="21" r:id="rId6"/>
    <sheet name="All boreholes" sheetId="14" r:id="rId7"/>
    <sheet name="Liq-Graphs" sheetId="15" r:id="rId8"/>
    <sheet name="Comparison with LiquefyPro" sheetId="19" r:id="rId9"/>
    <sheet name="Conclusions" sheetId="20" state="hidden" r:id="rId10"/>
    <sheet name="Comparison with Settle 3D" sheetId="18" state="hidden" r:id="rId11"/>
    <sheet name="MSF as per different methods" sheetId="17" state="hidden" r:id="rId12"/>
  </sheets>
  <definedNames>
    <definedName name="_xlnm.Print_Area" localSheetId="6">'All boreholes'!$B$1:$AY$124</definedName>
    <definedName name="_xlnm.Print_Area" localSheetId="0">'Beach Club'!$A$1:$AU$47</definedName>
    <definedName name="_xlnm.Print_Area" localSheetId="3">Infra!$A$1:$AU$26</definedName>
    <definedName name="_xlnm.Print_Area" localSheetId="1">'Resort Assets'!$A$1:$AU$25</definedName>
    <definedName name="_xlnm.Print_Area" localSheetId="4">'Resort Assets (2)'!$A$1:$AU$43</definedName>
    <definedName name="_xlnm.Print_Area" localSheetId="2">Waterpark!$A$1:$AU$25</definedName>
    <definedName name="_xlnm.Print_Titles" localSheetId="0">'Beach Club'!$1:$6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" i="14" l="1"/>
  <c r="AM14" i="14" l="1"/>
  <c r="AM15" i="14"/>
  <c r="AM16" i="14"/>
  <c r="AM17" i="14"/>
  <c r="AM18" i="14"/>
  <c r="AM19" i="14"/>
  <c r="AM20" i="14"/>
  <c r="AM21" i="14"/>
  <c r="AM22" i="14"/>
  <c r="AD14" i="14"/>
  <c r="AD15" i="14"/>
  <c r="AD16" i="14"/>
  <c r="AD17" i="14"/>
  <c r="AD18" i="14"/>
  <c r="AD19" i="14"/>
  <c r="AD20" i="14"/>
  <c r="AD21" i="14"/>
  <c r="AD22" i="14"/>
  <c r="AD13" i="14"/>
  <c r="AM13" i="14"/>
  <c r="AB14" i="14"/>
  <c r="AC14" i="14"/>
  <c r="AF14" i="14"/>
  <c r="AG14" i="14"/>
  <c r="AB15" i="14"/>
  <c r="AC15" i="14"/>
  <c r="AF15" i="14"/>
  <c r="AG15" i="14"/>
  <c r="AN15" i="14"/>
  <c r="AB16" i="14"/>
  <c r="AC16" i="14"/>
  <c r="AF16" i="14"/>
  <c r="AG16" i="14"/>
  <c r="AI16" i="14"/>
  <c r="AO16" i="14"/>
  <c r="AB17" i="14"/>
  <c r="AC17" i="14"/>
  <c r="AF17" i="14"/>
  <c r="AG17" i="14"/>
  <c r="AB18" i="14"/>
  <c r="AC18" i="14"/>
  <c r="AF18" i="14"/>
  <c r="AG18" i="14" s="1"/>
  <c r="AB19" i="14"/>
  <c r="AC19" i="14"/>
  <c r="AF19" i="14"/>
  <c r="AG19" i="14"/>
  <c r="AB20" i="14"/>
  <c r="AC20" i="14"/>
  <c r="AF20" i="14"/>
  <c r="AG20" i="14"/>
  <c r="AB21" i="14"/>
  <c r="AC21" i="14"/>
  <c r="AF21" i="14"/>
  <c r="AG21" i="14"/>
  <c r="O18" i="17" s="1"/>
  <c r="AB22" i="14"/>
  <c r="AC22" i="14"/>
  <c r="AF22" i="14"/>
  <c r="AG22" i="14"/>
  <c r="AK22" i="14"/>
  <c r="AO22" i="14"/>
  <c r="Z14" i="14"/>
  <c r="Z15" i="14"/>
  <c r="Z16" i="14"/>
  <c r="Z17" i="14"/>
  <c r="Z18" i="14"/>
  <c r="Z19" i="14"/>
  <c r="Z20" i="14"/>
  <c r="Z21" i="14"/>
  <c r="Z22" i="14"/>
  <c r="Z13" i="14"/>
  <c r="N14" i="14"/>
  <c r="O14" i="14"/>
  <c r="P14" i="14"/>
  <c r="N15" i="14"/>
  <c r="O15" i="14"/>
  <c r="P15" i="14"/>
  <c r="N16" i="14"/>
  <c r="P16" i="14" s="1"/>
  <c r="P18" i="14" s="1"/>
  <c r="O16" i="14"/>
  <c r="O17" i="14" s="1"/>
  <c r="O18" i="14" s="1"/>
  <c r="O19" i="14" s="1"/>
  <c r="O20" i="14" s="1"/>
  <c r="O21" i="14" s="1"/>
  <c r="O22" i="14" s="1"/>
  <c r="N17" i="14"/>
  <c r="N18" i="14"/>
  <c r="N19" i="14"/>
  <c r="N20" i="14"/>
  <c r="N21" i="14"/>
  <c r="N22" i="14"/>
  <c r="M14" i="14"/>
  <c r="M15" i="14"/>
  <c r="M16" i="14"/>
  <c r="M17" i="14"/>
  <c r="M18" i="14"/>
  <c r="M19" i="14"/>
  <c r="M20" i="14"/>
  <c r="M21" i="14"/>
  <c r="M22" i="14"/>
  <c r="H14" i="14"/>
  <c r="H15" i="14"/>
  <c r="H16" i="14"/>
  <c r="H17" i="14"/>
  <c r="H18" i="14"/>
  <c r="H19" i="14"/>
  <c r="H20" i="14"/>
  <c r="C17" i="17" s="1"/>
  <c r="H21" i="14"/>
  <c r="C18" i="17" s="1"/>
  <c r="H22" i="14"/>
  <c r="F14" i="14"/>
  <c r="F15" i="14"/>
  <c r="F16" i="14"/>
  <c r="F17" i="14"/>
  <c r="F18" i="14"/>
  <c r="F19" i="14"/>
  <c r="F20" i="14"/>
  <c r="F21" i="14"/>
  <c r="F22" i="14"/>
  <c r="BE14" i="14"/>
  <c r="CE7" i="19"/>
  <c r="CG7" i="19" s="1"/>
  <c r="CE6" i="19"/>
  <c r="CG6" i="19" s="1"/>
  <c r="CE5" i="19"/>
  <c r="CG5" i="19" s="1"/>
  <c r="CE4" i="19"/>
  <c r="CG4" i="19" s="1"/>
  <c r="CE3" i="19"/>
  <c r="CG3" i="19" s="1"/>
  <c r="B12" i="15"/>
  <c r="B11" i="15"/>
  <c r="BE115" i="14"/>
  <c r="BE114" i="14"/>
  <c r="BE113" i="14"/>
  <c r="BE112" i="14"/>
  <c r="BE111" i="14"/>
  <c r="BE110" i="14"/>
  <c r="BE109" i="14"/>
  <c r="BE108" i="14"/>
  <c r="BE107" i="14"/>
  <c r="BE106" i="14"/>
  <c r="BE105" i="14"/>
  <c r="BE104" i="14"/>
  <c r="BE103" i="14"/>
  <c r="BE102" i="14"/>
  <c r="BE101" i="14"/>
  <c r="BE100" i="14"/>
  <c r="BE99" i="14"/>
  <c r="BE98" i="14"/>
  <c r="BE97" i="14"/>
  <c r="BE96" i="14"/>
  <c r="BE95" i="14"/>
  <c r="BE94" i="14"/>
  <c r="BE93" i="14"/>
  <c r="BE92" i="14"/>
  <c r="BE91" i="14"/>
  <c r="BE90" i="14"/>
  <c r="BE89" i="14"/>
  <c r="BE88" i="14"/>
  <c r="BE87" i="14"/>
  <c r="BE86" i="14"/>
  <c r="BE85" i="14"/>
  <c r="BE84" i="14"/>
  <c r="BE83" i="14"/>
  <c r="BE82" i="14"/>
  <c r="BE81" i="14"/>
  <c r="BE80" i="14"/>
  <c r="BE79" i="14"/>
  <c r="BE78" i="14"/>
  <c r="BE77" i="14"/>
  <c r="BE76" i="14"/>
  <c r="BE75" i="14"/>
  <c r="BE74" i="14"/>
  <c r="BE61" i="14"/>
  <c r="BE62" i="14"/>
  <c r="BE63" i="14"/>
  <c r="BE64" i="14"/>
  <c r="BE65" i="14"/>
  <c r="BE66" i="14"/>
  <c r="BE67" i="14"/>
  <c r="BE68" i="14"/>
  <c r="BE69" i="14"/>
  <c r="BE70" i="14"/>
  <c r="BE71" i="14"/>
  <c r="BE72" i="14"/>
  <c r="BE73" i="14"/>
  <c r="BE60" i="14"/>
  <c r="BE59" i="14"/>
  <c r="BE58" i="14"/>
  <c r="BE57" i="14"/>
  <c r="BE56" i="14"/>
  <c r="BE55" i="14"/>
  <c r="BE54" i="14"/>
  <c r="BE35" i="14"/>
  <c r="BE36" i="14"/>
  <c r="BE37" i="14"/>
  <c r="BE38" i="14"/>
  <c r="BE39" i="14"/>
  <c r="BE40" i="14"/>
  <c r="BE41" i="14"/>
  <c r="BE42" i="14"/>
  <c r="BE43" i="14"/>
  <c r="BE44" i="14"/>
  <c r="BE45" i="14"/>
  <c r="BE46" i="14"/>
  <c r="BE47" i="14"/>
  <c r="BE48" i="14"/>
  <c r="BE49" i="14"/>
  <c r="BE50" i="14"/>
  <c r="BE51" i="14"/>
  <c r="BE52" i="14"/>
  <c r="BE53" i="14"/>
  <c r="BE34" i="14"/>
  <c r="BE33" i="14"/>
  <c r="BE32" i="14"/>
  <c r="BF32" i="14" s="1"/>
  <c r="BE31" i="14"/>
  <c r="BE18" i="14"/>
  <c r="BE19" i="14"/>
  <c r="BE20" i="14"/>
  <c r="BE21" i="14"/>
  <c r="BE22" i="14"/>
  <c r="BE23" i="14"/>
  <c r="BE24" i="14"/>
  <c r="BE25" i="14"/>
  <c r="BE26" i="14"/>
  <c r="BE27" i="14"/>
  <c r="BE28" i="14"/>
  <c r="BE29" i="14"/>
  <c r="BE30" i="14"/>
  <c r="BE13" i="14"/>
  <c r="BD14" i="14"/>
  <c r="BD17" i="14"/>
  <c r="BD18" i="14"/>
  <c r="BF18" i="14" s="1"/>
  <c r="BD19" i="14"/>
  <c r="BD20" i="14"/>
  <c r="BF20" i="14" s="1"/>
  <c r="BD21" i="14"/>
  <c r="BF21" i="14" s="1"/>
  <c r="BD22" i="14"/>
  <c r="BD23" i="14"/>
  <c r="BD24" i="14"/>
  <c r="BD25" i="14"/>
  <c r="BD26" i="14"/>
  <c r="BF26" i="14" s="1"/>
  <c r="BD27" i="14"/>
  <c r="BD28" i="14"/>
  <c r="BD29" i="14"/>
  <c r="BD30" i="14"/>
  <c r="BD31" i="14"/>
  <c r="BD32" i="14"/>
  <c r="BD33" i="14"/>
  <c r="BD34" i="14"/>
  <c r="BD35" i="14"/>
  <c r="BD36" i="14"/>
  <c r="BD37" i="14"/>
  <c r="BD38" i="14"/>
  <c r="BD39" i="14"/>
  <c r="BD40" i="14"/>
  <c r="BD41" i="14"/>
  <c r="BD42" i="14"/>
  <c r="BD43" i="14"/>
  <c r="BD44" i="14"/>
  <c r="BD45" i="14"/>
  <c r="BD46" i="14"/>
  <c r="BD47" i="14"/>
  <c r="BD48" i="14"/>
  <c r="BD49" i="14"/>
  <c r="BD50" i="14"/>
  <c r="BD51" i="14"/>
  <c r="BD52" i="14"/>
  <c r="BD53" i="14"/>
  <c r="BD54" i="14"/>
  <c r="BD55" i="14"/>
  <c r="BD56" i="14"/>
  <c r="BD57" i="14"/>
  <c r="BD58" i="14"/>
  <c r="BD59" i="14"/>
  <c r="BD60" i="14"/>
  <c r="BD61" i="14"/>
  <c r="BD62" i="14"/>
  <c r="BD63" i="14"/>
  <c r="BD64" i="14"/>
  <c r="BD65" i="14"/>
  <c r="BD66" i="14"/>
  <c r="BD67" i="14"/>
  <c r="BD68" i="14"/>
  <c r="BD69" i="14"/>
  <c r="BD70" i="14"/>
  <c r="BD71" i="14"/>
  <c r="BD72" i="14"/>
  <c r="BD73" i="14"/>
  <c r="BD74" i="14"/>
  <c r="BD75" i="14"/>
  <c r="BD76" i="14"/>
  <c r="BD77" i="14"/>
  <c r="BD78" i="14"/>
  <c r="BD79" i="14"/>
  <c r="BD80" i="14"/>
  <c r="BD81" i="14"/>
  <c r="BD82" i="14"/>
  <c r="BD83" i="14"/>
  <c r="BD84" i="14"/>
  <c r="BD85" i="14"/>
  <c r="BD86" i="14"/>
  <c r="BD87" i="14"/>
  <c r="BD88" i="14"/>
  <c r="BD89" i="14"/>
  <c r="BD90" i="14"/>
  <c r="BD91" i="14"/>
  <c r="BD92" i="14"/>
  <c r="BD93" i="14"/>
  <c r="BD94" i="14"/>
  <c r="BD95" i="14"/>
  <c r="BD96" i="14"/>
  <c r="BD97" i="14"/>
  <c r="BD98" i="14"/>
  <c r="BD99" i="14"/>
  <c r="BD100" i="14"/>
  <c r="BD101" i="14"/>
  <c r="BD102" i="14"/>
  <c r="BD103" i="14"/>
  <c r="BD104" i="14"/>
  <c r="BD105" i="14"/>
  <c r="BD106" i="14"/>
  <c r="BD107" i="14"/>
  <c r="BD108" i="14"/>
  <c r="BD109" i="14"/>
  <c r="BD110" i="14"/>
  <c r="BD111" i="14"/>
  <c r="BD112" i="14"/>
  <c r="BD113" i="14"/>
  <c r="BD114" i="14"/>
  <c r="BD115" i="14"/>
  <c r="BP2" i="19"/>
  <c r="BM5" i="19" s="1"/>
  <c r="AZ2" i="19"/>
  <c r="BM185" i="19"/>
  <c r="F2" i="19"/>
  <c r="C673" i="19"/>
  <c r="U2" i="19"/>
  <c r="AJ2" i="19"/>
  <c r="R13" i="19"/>
  <c r="AN6" i="14"/>
  <c r="AO6" i="14"/>
  <c r="AQ6" i="14"/>
  <c r="AR6" i="14"/>
  <c r="M48" i="18"/>
  <c r="M47" i="18"/>
  <c r="M46" i="18"/>
  <c r="M45" i="18"/>
  <c r="M44" i="18"/>
  <c r="M43" i="18"/>
  <c r="M42" i="18"/>
  <c r="M41" i="18"/>
  <c r="M40" i="18"/>
  <c r="M39" i="18"/>
  <c r="M38" i="18"/>
  <c r="M37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L48" i="18"/>
  <c r="H48" i="18"/>
  <c r="D48" i="18"/>
  <c r="E48" i="18"/>
  <c r="L47" i="18"/>
  <c r="H47" i="18"/>
  <c r="D47" i="18"/>
  <c r="E47" i="18"/>
  <c r="L46" i="18"/>
  <c r="H46" i="18"/>
  <c r="D46" i="18"/>
  <c r="E46" i="18"/>
  <c r="L45" i="18"/>
  <c r="H45" i="18"/>
  <c r="D45" i="18"/>
  <c r="E45" i="18"/>
  <c r="L44" i="18"/>
  <c r="H44" i="18"/>
  <c r="D44" i="18"/>
  <c r="E44" i="18"/>
  <c r="L43" i="18"/>
  <c r="H43" i="18"/>
  <c r="D43" i="18"/>
  <c r="E43" i="18"/>
  <c r="L42" i="18"/>
  <c r="H42" i="18"/>
  <c r="D42" i="18"/>
  <c r="E42" i="18"/>
  <c r="L41" i="18"/>
  <c r="H41" i="18"/>
  <c r="D41" i="18"/>
  <c r="E41" i="18"/>
  <c r="L40" i="18"/>
  <c r="H40" i="18"/>
  <c r="D40" i="18"/>
  <c r="E40" i="18"/>
  <c r="L39" i="18"/>
  <c r="H39" i="18"/>
  <c r="D39" i="18"/>
  <c r="E39" i="18"/>
  <c r="L38" i="18"/>
  <c r="H38" i="18"/>
  <c r="D38" i="18"/>
  <c r="E38" i="18"/>
  <c r="L37" i="18"/>
  <c r="H37" i="18"/>
  <c r="D37" i="18"/>
  <c r="E37" i="18"/>
  <c r="C14" i="17"/>
  <c r="C20" i="17"/>
  <c r="C21" i="17"/>
  <c r="C22" i="17"/>
  <c r="C23" i="17"/>
  <c r="C26" i="17"/>
  <c r="C28" i="17"/>
  <c r="C29" i="17"/>
  <c r="C34" i="17"/>
  <c r="C35" i="17"/>
  <c r="C36" i="17"/>
  <c r="C38" i="17"/>
  <c r="C41" i="17"/>
  <c r="C47" i="17"/>
  <c r="C48" i="17"/>
  <c r="C52" i="17"/>
  <c r="C53" i="17"/>
  <c r="C56" i="17"/>
  <c r="C57" i="17"/>
  <c r="C61" i="17"/>
  <c r="C62" i="17"/>
  <c r="C66" i="17"/>
  <c r="C67" i="17"/>
  <c r="C69" i="17"/>
  <c r="C70" i="17"/>
  <c r="C73" i="17"/>
  <c r="C74" i="17"/>
  <c r="C75" i="17"/>
  <c r="C76" i="17"/>
  <c r="C77" i="17"/>
  <c r="C80" i="17"/>
  <c r="C84" i="17"/>
  <c r="C90" i="17"/>
  <c r="C91" i="17"/>
  <c r="C94" i="17"/>
  <c r="C95" i="17"/>
  <c r="C101" i="17"/>
  <c r="C102" i="17"/>
  <c r="C103" i="17"/>
  <c r="C105" i="17"/>
  <c r="C106" i="17"/>
  <c r="C107" i="17"/>
  <c r="C108" i="17"/>
  <c r="F3" i="17"/>
  <c r="F4" i="17"/>
  <c r="E4" i="17"/>
  <c r="G4" i="17"/>
  <c r="H4" i="17"/>
  <c r="I4" i="17"/>
  <c r="I5" i="17"/>
  <c r="J4" i="17"/>
  <c r="K4" i="17"/>
  <c r="D4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0" i="17"/>
  <c r="AD72" i="15"/>
  <c r="AD73" i="15" s="1"/>
  <c r="AR4" i="14"/>
  <c r="C112" i="17"/>
  <c r="C111" i="17"/>
  <c r="C110" i="17"/>
  <c r="C109" i="17"/>
  <c r="C104" i="17"/>
  <c r="C100" i="17"/>
  <c r="C99" i="17"/>
  <c r="C98" i="17"/>
  <c r="C97" i="17"/>
  <c r="C96" i="17"/>
  <c r="C93" i="17"/>
  <c r="C92" i="17"/>
  <c r="C72" i="17"/>
  <c r="C71" i="17"/>
  <c r="C60" i="17"/>
  <c r="M13" i="14"/>
  <c r="C31" i="17"/>
  <c r="C32" i="17"/>
  <c r="C33" i="17"/>
  <c r="C37" i="17"/>
  <c r="C39" i="17"/>
  <c r="C40" i="17"/>
  <c r="C42" i="17"/>
  <c r="C43" i="17"/>
  <c r="C44" i="17"/>
  <c r="C45" i="17"/>
  <c r="C46" i="17"/>
  <c r="C49" i="17"/>
  <c r="C50" i="17"/>
  <c r="F13" i="14"/>
  <c r="AL4" i="14"/>
  <c r="AM4" i="14"/>
  <c r="AN4" i="14"/>
  <c r="AO4" i="14"/>
  <c r="AP4" i="14"/>
  <c r="AP6" i="14"/>
  <c r="AQ4" i="14"/>
  <c r="AK4" i="14"/>
  <c r="O13" i="14"/>
  <c r="O12" i="14"/>
  <c r="N12" i="14"/>
  <c r="P12" i="14"/>
  <c r="N13" i="14"/>
  <c r="AF13" i="14"/>
  <c r="AB13" i="14"/>
  <c r="C89" i="17"/>
  <c r="C88" i="17"/>
  <c r="C87" i="17"/>
  <c r="C86" i="17"/>
  <c r="C85" i="17"/>
  <c r="C83" i="17"/>
  <c r="C82" i="17"/>
  <c r="C81" i="17"/>
  <c r="C79" i="17"/>
  <c r="C78" i="17"/>
  <c r="C58" i="17"/>
  <c r="C51" i="17"/>
  <c r="C19" i="17"/>
  <c r="C16" i="17"/>
  <c r="C15" i="17"/>
  <c r="C11" i="17"/>
  <c r="BD13" i="14"/>
  <c r="AC13" i="14"/>
  <c r="H13" i="14"/>
  <c r="C10" i="17" s="1"/>
  <c r="C63" i="17"/>
  <c r="C64" i="17"/>
  <c r="C65" i="17"/>
  <c r="C30" i="17"/>
  <c r="C27" i="17"/>
  <c r="C25" i="17"/>
  <c r="C24" i="17"/>
  <c r="AZ18" i="13"/>
  <c r="AY18" i="13"/>
  <c r="AC18" i="13"/>
  <c r="Z18" i="13"/>
  <c r="Y18" i="13"/>
  <c r="W18" i="13"/>
  <c r="R18" i="13"/>
  <c r="S18" i="13"/>
  <c r="N18" i="13"/>
  <c r="U18" i="13"/>
  <c r="V18" i="13"/>
  <c r="M18" i="13"/>
  <c r="G18" i="13"/>
  <c r="AZ17" i="13"/>
  <c r="AY17" i="13"/>
  <c r="AC17" i="13"/>
  <c r="AD17" i="13"/>
  <c r="Z17" i="13"/>
  <c r="Y17" i="13"/>
  <c r="W17" i="13"/>
  <c r="R17" i="13"/>
  <c r="S17" i="13"/>
  <c r="N17" i="13"/>
  <c r="U17" i="13"/>
  <c r="V17" i="13"/>
  <c r="M17" i="13"/>
  <c r="G17" i="13"/>
  <c r="AZ16" i="13"/>
  <c r="AY16" i="13"/>
  <c r="AC16" i="13"/>
  <c r="Z16" i="13"/>
  <c r="AA16" i="13"/>
  <c r="AI16" i="13"/>
  <c r="Y16" i="13"/>
  <c r="W16" i="13"/>
  <c r="R16" i="13"/>
  <c r="S16" i="13"/>
  <c r="N16" i="13"/>
  <c r="T16" i="13"/>
  <c r="M16" i="13"/>
  <c r="G16" i="13"/>
  <c r="AZ15" i="13"/>
  <c r="AY15" i="13"/>
  <c r="AC15" i="13"/>
  <c r="Z15" i="13"/>
  <c r="Y15" i="13"/>
  <c r="W15" i="13"/>
  <c r="R15" i="13"/>
  <c r="S15" i="13"/>
  <c r="N15" i="13"/>
  <c r="U15" i="13"/>
  <c r="V15" i="13"/>
  <c r="M15" i="13"/>
  <c r="G15" i="13"/>
  <c r="AZ14" i="13"/>
  <c r="AY14" i="13"/>
  <c r="AC14" i="13"/>
  <c r="AD14" i="13"/>
  <c r="Z14" i="13"/>
  <c r="Y14" i="13"/>
  <c r="W14" i="13"/>
  <c r="R14" i="13"/>
  <c r="S14" i="13"/>
  <c r="N14" i="13"/>
  <c r="U14" i="13"/>
  <c r="V14" i="13"/>
  <c r="M14" i="13"/>
  <c r="G14" i="13"/>
  <c r="AZ13" i="13"/>
  <c r="AY13" i="13"/>
  <c r="AC13" i="13"/>
  <c r="Z13" i="13"/>
  <c r="Y13" i="13"/>
  <c r="W13" i="13"/>
  <c r="AA13" i="13"/>
  <c r="AI13" i="13"/>
  <c r="R13" i="13"/>
  <c r="S13" i="13"/>
  <c r="N13" i="13"/>
  <c r="U13" i="13"/>
  <c r="V13" i="13"/>
  <c r="M13" i="13"/>
  <c r="G13" i="13"/>
  <c r="AZ12" i="13"/>
  <c r="AY12" i="13"/>
  <c r="AC12" i="13"/>
  <c r="Z12" i="13"/>
  <c r="Y12" i="13"/>
  <c r="W12" i="13"/>
  <c r="R12" i="13"/>
  <c r="S12" i="13"/>
  <c r="N12" i="13"/>
  <c r="M12" i="13"/>
  <c r="G12" i="13"/>
  <c r="AZ11" i="13"/>
  <c r="AY11" i="13"/>
  <c r="AC11" i="13"/>
  <c r="Z11" i="13"/>
  <c r="Y11" i="13"/>
  <c r="AA11" i="13"/>
  <c r="AI11" i="13"/>
  <c r="AJ11" i="13"/>
  <c r="AQ11" i="13"/>
  <c r="W11" i="13"/>
  <c r="S11" i="13"/>
  <c r="R11" i="13"/>
  <c r="N11" i="13"/>
  <c r="T11" i="13"/>
  <c r="M11" i="13"/>
  <c r="AD11" i="13"/>
  <c r="G11" i="13"/>
  <c r="AZ10" i="13"/>
  <c r="AY10" i="13"/>
  <c r="AC10" i="13"/>
  <c r="Z10" i="13"/>
  <c r="Y10" i="13"/>
  <c r="W10" i="13"/>
  <c r="S10" i="13"/>
  <c r="R10" i="13"/>
  <c r="N10" i="13"/>
  <c r="T10" i="13"/>
  <c r="M10" i="13"/>
  <c r="AD10" i="13"/>
  <c r="G10" i="13"/>
  <c r="AZ9" i="13"/>
  <c r="AY9" i="13"/>
  <c r="AC9" i="13"/>
  <c r="Z9" i="13"/>
  <c r="Y9" i="13"/>
  <c r="W9" i="13"/>
  <c r="S9" i="13"/>
  <c r="R9" i="13"/>
  <c r="N9" i="13"/>
  <c r="T9" i="13"/>
  <c r="M9" i="13"/>
  <c r="G9" i="13"/>
  <c r="AZ8" i="13"/>
  <c r="AY8" i="13"/>
  <c r="AC8" i="13"/>
  <c r="Z8" i="13"/>
  <c r="Y8" i="13"/>
  <c r="W8" i="13"/>
  <c r="AA8" i="13"/>
  <c r="V8" i="13"/>
  <c r="R8" i="13"/>
  <c r="S8" i="13"/>
  <c r="N8" i="13"/>
  <c r="T8" i="13"/>
  <c r="U8" i="13"/>
  <c r="M8" i="13"/>
  <c r="AD8" i="13"/>
  <c r="G8" i="13"/>
  <c r="U11" i="13"/>
  <c r="V11" i="13"/>
  <c r="U10" i="13"/>
  <c r="V10" i="13"/>
  <c r="U9" i="13"/>
  <c r="V9" i="13"/>
  <c r="AD13" i="13"/>
  <c r="AA12" i="13"/>
  <c r="AI12" i="13"/>
  <c r="AG12" i="13"/>
  <c r="AA14" i="13"/>
  <c r="AI14" i="13"/>
  <c r="AA15" i="13"/>
  <c r="AI15" i="13"/>
  <c r="AA18" i="13"/>
  <c r="AI18" i="13"/>
  <c r="AK18" i="13"/>
  <c r="U16" i="13"/>
  <c r="V16" i="13"/>
  <c r="AA17" i="13"/>
  <c r="AI17" i="13"/>
  <c r="AE17" i="13"/>
  <c r="AL17" i="13"/>
  <c r="AD15" i="13"/>
  <c r="AD16" i="13"/>
  <c r="T18" i="13"/>
  <c r="AD18" i="13"/>
  <c r="AI8" i="13"/>
  <c r="AD9" i="13"/>
  <c r="AA9" i="13"/>
  <c r="AI9" i="13"/>
  <c r="AA10" i="13"/>
  <c r="AI10" i="13"/>
  <c r="T13" i="13"/>
  <c r="T14" i="13"/>
  <c r="T15" i="13"/>
  <c r="T17" i="13"/>
  <c r="X13" i="12"/>
  <c r="Y13" i="12"/>
  <c r="X14" i="12"/>
  <c r="Z14" i="12"/>
  <c r="X15" i="12"/>
  <c r="X12" i="12"/>
  <c r="Z12" i="12"/>
  <c r="AZ14" i="12"/>
  <c r="AY14" i="12"/>
  <c r="AC14" i="12"/>
  <c r="Y14" i="12"/>
  <c r="W14" i="12"/>
  <c r="R14" i="12"/>
  <c r="S14" i="12"/>
  <c r="N14" i="12"/>
  <c r="U14" i="12"/>
  <c r="V14" i="12"/>
  <c r="M14" i="12"/>
  <c r="AD14" i="12"/>
  <c r="G14" i="12"/>
  <c r="AZ19" i="12"/>
  <c r="AY19" i="12"/>
  <c r="AC19" i="12"/>
  <c r="Z19" i="12"/>
  <c r="Y19" i="12"/>
  <c r="AA19" i="12"/>
  <c r="AI19" i="12"/>
  <c r="AJ19" i="12"/>
  <c r="W19" i="12"/>
  <c r="T19" i="12"/>
  <c r="R19" i="12"/>
  <c r="S19" i="12"/>
  <c r="N19" i="12"/>
  <c r="AD19" i="12"/>
  <c r="U19" i="12"/>
  <c r="V19" i="12"/>
  <c r="M19" i="12"/>
  <c r="G19" i="12"/>
  <c r="AZ18" i="12"/>
  <c r="AY18" i="12"/>
  <c r="AC18" i="12"/>
  <c r="Z18" i="12"/>
  <c r="Y18" i="12"/>
  <c r="W18" i="12"/>
  <c r="R18" i="12"/>
  <c r="S18" i="12"/>
  <c r="N18" i="12"/>
  <c r="U18" i="12"/>
  <c r="V18" i="12"/>
  <c r="M18" i="12"/>
  <c r="G18" i="12"/>
  <c r="AZ17" i="12"/>
  <c r="AY17" i="12"/>
  <c r="AC17" i="12"/>
  <c r="AD17" i="12"/>
  <c r="Z17" i="12"/>
  <c r="Y17" i="12"/>
  <c r="W17" i="12"/>
  <c r="R17" i="12"/>
  <c r="S17" i="12"/>
  <c r="N17" i="12"/>
  <c r="U17" i="12"/>
  <c r="V17" i="12"/>
  <c r="M17" i="12"/>
  <c r="G17" i="12"/>
  <c r="AZ16" i="12"/>
  <c r="AY16" i="12"/>
  <c r="AC16" i="12"/>
  <c r="Z16" i="12"/>
  <c r="Y16" i="12"/>
  <c r="W16" i="12"/>
  <c r="S16" i="12"/>
  <c r="R16" i="12"/>
  <c r="N16" i="12"/>
  <c r="U16" i="12"/>
  <c r="V16" i="12"/>
  <c r="M16" i="12"/>
  <c r="G16" i="12"/>
  <c r="AZ15" i="12"/>
  <c r="AY15" i="12"/>
  <c r="AC15" i="12"/>
  <c r="W15" i="12"/>
  <c r="R15" i="12"/>
  <c r="S15" i="12"/>
  <c r="N15" i="12"/>
  <c r="U15" i="12"/>
  <c r="V15" i="12"/>
  <c r="M15" i="12"/>
  <c r="G15" i="12"/>
  <c r="AZ13" i="12"/>
  <c r="AY13" i="12"/>
  <c r="AC13" i="12"/>
  <c r="AD13" i="12"/>
  <c r="W13" i="12"/>
  <c r="S13" i="12"/>
  <c r="R13" i="12"/>
  <c r="N13" i="12"/>
  <c r="U13" i="12"/>
  <c r="V13" i="12"/>
  <c r="M13" i="12"/>
  <c r="G13" i="12"/>
  <c r="AZ12" i="12"/>
  <c r="AY12" i="12"/>
  <c r="AC12" i="12"/>
  <c r="Y12" i="12"/>
  <c r="AA12" i="12"/>
  <c r="AI12" i="12"/>
  <c r="W12" i="12"/>
  <c r="R12" i="12"/>
  <c r="S12" i="12"/>
  <c r="N12" i="12"/>
  <c r="U12" i="12"/>
  <c r="V12" i="12"/>
  <c r="T12" i="12"/>
  <c r="M12" i="12"/>
  <c r="G12" i="12"/>
  <c r="AZ11" i="12"/>
  <c r="AY11" i="12"/>
  <c r="AC11" i="12"/>
  <c r="Z11" i="12"/>
  <c r="Y11" i="12"/>
  <c r="AA11" i="12"/>
  <c r="AI11" i="12"/>
  <c r="W11" i="12"/>
  <c r="R11" i="12"/>
  <c r="S11" i="12"/>
  <c r="N11" i="12"/>
  <c r="T11" i="12"/>
  <c r="M11" i="12"/>
  <c r="G11" i="12"/>
  <c r="AZ10" i="12"/>
  <c r="AY10" i="12"/>
  <c r="AC10" i="12"/>
  <c r="Z10" i="12"/>
  <c r="AA10" i="12"/>
  <c r="AI10" i="12"/>
  <c r="Y10" i="12"/>
  <c r="W10" i="12"/>
  <c r="U10" i="12"/>
  <c r="V10" i="12"/>
  <c r="R10" i="12"/>
  <c r="S10" i="12"/>
  <c r="N10" i="12"/>
  <c r="T10" i="12"/>
  <c r="M10" i="12"/>
  <c r="G10" i="12"/>
  <c r="AZ9" i="12"/>
  <c r="AY9" i="12"/>
  <c r="AC9" i="12"/>
  <c r="Z9" i="12"/>
  <c r="AA9" i="12"/>
  <c r="AI9" i="12"/>
  <c r="Y9" i="12"/>
  <c r="W9" i="12"/>
  <c r="R9" i="12"/>
  <c r="S9" i="12"/>
  <c r="N9" i="12"/>
  <c r="T9" i="12"/>
  <c r="M9" i="12"/>
  <c r="AD9" i="12"/>
  <c r="G9" i="12"/>
  <c r="AZ8" i="12"/>
  <c r="AY8" i="12"/>
  <c r="AC8" i="12"/>
  <c r="Z8" i="12"/>
  <c r="Y8" i="12"/>
  <c r="AA8" i="12"/>
  <c r="W8" i="12"/>
  <c r="S8" i="12"/>
  <c r="R8" i="12"/>
  <c r="N8" i="12"/>
  <c r="U8" i="12"/>
  <c r="V8" i="12"/>
  <c r="M8" i="12"/>
  <c r="AD8" i="12"/>
  <c r="G8" i="12"/>
  <c r="AZ18" i="11"/>
  <c r="AY18" i="11"/>
  <c r="AC18" i="11"/>
  <c r="Z18" i="11"/>
  <c r="Y18" i="11"/>
  <c r="W18" i="11"/>
  <c r="R18" i="11"/>
  <c r="S18" i="11"/>
  <c r="N18" i="11"/>
  <c r="U18" i="11"/>
  <c r="V18" i="11"/>
  <c r="M18" i="11"/>
  <c r="AD18" i="11"/>
  <c r="G18" i="11"/>
  <c r="AZ17" i="11"/>
  <c r="AY17" i="11"/>
  <c r="AC17" i="11"/>
  <c r="Z17" i="11"/>
  <c r="Y17" i="11"/>
  <c r="W17" i="11"/>
  <c r="R17" i="11"/>
  <c r="S17" i="11"/>
  <c r="N17" i="11"/>
  <c r="M17" i="11"/>
  <c r="G17" i="11"/>
  <c r="AZ16" i="11"/>
  <c r="AY16" i="11"/>
  <c r="AC16" i="11"/>
  <c r="AD16" i="11"/>
  <c r="Z16" i="11"/>
  <c r="Y16" i="11"/>
  <c r="W16" i="11"/>
  <c r="R16" i="11"/>
  <c r="S16" i="11"/>
  <c r="N16" i="11"/>
  <c r="U16" i="11"/>
  <c r="V16" i="11"/>
  <c r="M16" i="11"/>
  <c r="G16" i="11"/>
  <c r="AZ15" i="11"/>
  <c r="AY15" i="11"/>
  <c r="AC15" i="11"/>
  <c r="Z15" i="11"/>
  <c r="Y15" i="11"/>
  <c r="W15" i="11"/>
  <c r="AA15" i="11"/>
  <c r="R15" i="11"/>
  <c r="S15" i="11"/>
  <c r="N15" i="11"/>
  <c r="U15" i="11"/>
  <c r="V15" i="11"/>
  <c r="M15" i="11"/>
  <c r="G15" i="11"/>
  <c r="AZ14" i="11"/>
  <c r="AY14" i="11"/>
  <c r="AC14" i="11"/>
  <c r="Z14" i="11"/>
  <c r="Y14" i="11"/>
  <c r="W14" i="11"/>
  <c r="AA14" i="11"/>
  <c r="R14" i="11"/>
  <c r="S14" i="11"/>
  <c r="N14" i="11"/>
  <c r="M14" i="11"/>
  <c r="G14" i="11"/>
  <c r="AZ13" i="11"/>
  <c r="AY13" i="11"/>
  <c r="AC13" i="11"/>
  <c r="AD13" i="11"/>
  <c r="Z13" i="11"/>
  <c r="Y13" i="11"/>
  <c r="W13" i="11"/>
  <c r="AA13" i="11"/>
  <c r="AI13" i="11"/>
  <c r="R13" i="11"/>
  <c r="S13" i="11"/>
  <c r="N13" i="11"/>
  <c r="U13" i="11"/>
  <c r="V13" i="11"/>
  <c r="M13" i="11"/>
  <c r="G13" i="11"/>
  <c r="AZ12" i="11"/>
  <c r="AY12" i="11"/>
  <c r="AC12" i="11"/>
  <c r="Z12" i="11"/>
  <c r="Y12" i="11"/>
  <c r="W12" i="11"/>
  <c r="AA12" i="11"/>
  <c r="AI12" i="11"/>
  <c r="S12" i="11"/>
  <c r="R12" i="11"/>
  <c r="N12" i="11"/>
  <c r="T12" i="11"/>
  <c r="M12" i="11"/>
  <c r="G12" i="11"/>
  <c r="AZ11" i="11"/>
  <c r="AY11" i="11"/>
  <c r="AC11" i="11"/>
  <c r="AD11" i="11"/>
  <c r="Z11" i="11"/>
  <c r="Y11" i="11"/>
  <c r="W11" i="11"/>
  <c r="R11" i="11"/>
  <c r="S11" i="11"/>
  <c r="N11" i="11"/>
  <c r="U11" i="11"/>
  <c r="V11" i="11"/>
  <c r="T11" i="11"/>
  <c r="M11" i="11"/>
  <c r="G11" i="11"/>
  <c r="AZ10" i="11"/>
  <c r="AY10" i="11"/>
  <c r="AC10" i="11"/>
  <c r="Z10" i="11"/>
  <c r="AA10" i="11"/>
  <c r="AI10" i="11"/>
  <c r="AG10" i="11"/>
  <c r="AN10" i="11"/>
  <c r="Y10" i="11"/>
  <c r="W10" i="11"/>
  <c r="S10" i="11"/>
  <c r="R10" i="11"/>
  <c r="N10" i="11"/>
  <c r="T10" i="11"/>
  <c r="M10" i="11"/>
  <c r="G10" i="11"/>
  <c r="AZ9" i="11"/>
  <c r="AY9" i="11"/>
  <c r="AC9" i="11"/>
  <c r="Z9" i="11"/>
  <c r="Y9" i="11"/>
  <c r="W9" i="11"/>
  <c r="R9" i="11"/>
  <c r="S9" i="11"/>
  <c r="N9" i="11"/>
  <c r="AD9" i="11"/>
  <c r="T9" i="11"/>
  <c r="M9" i="11"/>
  <c r="G9" i="11"/>
  <c r="AZ8" i="11"/>
  <c r="AY8" i="11"/>
  <c r="AC8" i="11"/>
  <c r="AD8" i="11"/>
  <c r="Z8" i="11"/>
  <c r="Y8" i="11"/>
  <c r="W8" i="11"/>
  <c r="R8" i="11"/>
  <c r="S8" i="11"/>
  <c r="N8" i="11"/>
  <c r="U8" i="11"/>
  <c r="V8" i="11"/>
  <c r="M8" i="11"/>
  <c r="G8" i="11"/>
  <c r="AZ18" i="10"/>
  <c r="AY18" i="10"/>
  <c r="AC18" i="10"/>
  <c r="Z18" i="10"/>
  <c r="Y18" i="10"/>
  <c r="AA18" i="10"/>
  <c r="AI18" i="10"/>
  <c r="W18" i="10"/>
  <c r="R18" i="10"/>
  <c r="S18" i="10"/>
  <c r="N18" i="10"/>
  <c r="T18" i="10"/>
  <c r="M18" i="10"/>
  <c r="AD18" i="10"/>
  <c r="G18" i="10"/>
  <c r="AZ17" i="10"/>
  <c r="AY17" i="10"/>
  <c r="AC17" i="10"/>
  <c r="Z17" i="10"/>
  <c r="Y17" i="10"/>
  <c r="W17" i="10"/>
  <c r="AA17" i="10"/>
  <c r="AI17" i="10"/>
  <c r="R17" i="10"/>
  <c r="S17" i="10"/>
  <c r="N17" i="10"/>
  <c r="U17" i="10"/>
  <c r="V17" i="10"/>
  <c r="M17" i="10"/>
  <c r="AD17" i="10"/>
  <c r="G17" i="10"/>
  <c r="AZ16" i="10"/>
  <c r="AY16" i="10"/>
  <c r="AC16" i="10"/>
  <c r="AD16" i="10"/>
  <c r="Z16" i="10"/>
  <c r="Y16" i="10"/>
  <c r="AA16" i="10"/>
  <c r="AI16" i="10"/>
  <c r="W16" i="10"/>
  <c r="R16" i="10"/>
  <c r="S16" i="10"/>
  <c r="N16" i="10"/>
  <c r="U16" i="10"/>
  <c r="V16" i="10"/>
  <c r="M16" i="10"/>
  <c r="G16" i="10"/>
  <c r="AZ15" i="10"/>
  <c r="AY15" i="10"/>
  <c r="AC15" i="10"/>
  <c r="Z15" i="10"/>
  <c r="Y15" i="10"/>
  <c r="AA15" i="10"/>
  <c r="AI15" i="10"/>
  <c r="W15" i="10"/>
  <c r="R15" i="10"/>
  <c r="S15" i="10"/>
  <c r="N15" i="10"/>
  <c r="U15" i="10"/>
  <c r="V15" i="10"/>
  <c r="M15" i="10"/>
  <c r="AD15" i="10"/>
  <c r="G15" i="10"/>
  <c r="AZ14" i="10"/>
  <c r="AY14" i="10"/>
  <c r="AC14" i="10"/>
  <c r="Z14" i="10"/>
  <c r="Y14" i="10"/>
  <c r="AA14" i="10"/>
  <c r="AI14" i="10"/>
  <c r="W14" i="10"/>
  <c r="R14" i="10"/>
  <c r="S14" i="10"/>
  <c r="N14" i="10"/>
  <c r="U14" i="10"/>
  <c r="V14" i="10"/>
  <c r="M14" i="10"/>
  <c r="AD14" i="10"/>
  <c r="G14" i="10"/>
  <c r="AZ13" i="10"/>
  <c r="AY13" i="10"/>
  <c r="AC13" i="10"/>
  <c r="Z13" i="10"/>
  <c r="AA13" i="10"/>
  <c r="AI13" i="10"/>
  <c r="AF13" i="10"/>
  <c r="AM13" i="10"/>
  <c r="Y13" i="10"/>
  <c r="W13" i="10"/>
  <c r="R13" i="10"/>
  <c r="S13" i="10"/>
  <c r="N13" i="10"/>
  <c r="U13" i="10"/>
  <c r="V13" i="10"/>
  <c r="M13" i="10"/>
  <c r="AD13" i="10"/>
  <c r="G13" i="10"/>
  <c r="AZ12" i="10"/>
  <c r="AY12" i="10"/>
  <c r="AC12" i="10"/>
  <c r="Z12" i="10"/>
  <c r="Y12" i="10"/>
  <c r="AA12" i="10"/>
  <c r="AI12" i="10"/>
  <c r="AK12" i="10"/>
  <c r="W12" i="10"/>
  <c r="R12" i="10"/>
  <c r="S12" i="10"/>
  <c r="N12" i="10"/>
  <c r="U12" i="10"/>
  <c r="V12" i="10"/>
  <c r="T12" i="10"/>
  <c r="M12" i="10"/>
  <c r="AD12" i="10"/>
  <c r="G12" i="10"/>
  <c r="AZ11" i="10"/>
  <c r="AY11" i="10"/>
  <c r="AC11" i="10"/>
  <c r="Z11" i="10"/>
  <c r="Y11" i="10"/>
  <c r="AA11" i="10"/>
  <c r="AI11" i="10"/>
  <c r="AP11" i="10"/>
  <c r="W11" i="10"/>
  <c r="R11" i="10"/>
  <c r="S11" i="10"/>
  <c r="N11" i="10"/>
  <c r="U11" i="10"/>
  <c r="V11" i="10"/>
  <c r="M11" i="10"/>
  <c r="AD11" i="10"/>
  <c r="G11" i="10"/>
  <c r="AZ10" i="10"/>
  <c r="BA10" i="10"/>
  <c r="AY10" i="10"/>
  <c r="AC10" i="10"/>
  <c r="Z10" i="10"/>
  <c r="Y10" i="10"/>
  <c r="AA10" i="10"/>
  <c r="AI10" i="10"/>
  <c r="W10" i="10"/>
  <c r="R10" i="10"/>
  <c r="S10" i="10"/>
  <c r="N10" i="10"/>
  <c r="M10" i="10"/>
  <c r="G10" i="10"/>
  <c r="AZ9" i="10"/>
  <c r="AY9" i="10"/>
  <c r="AC9" i="10"/>
  <c r="Z9" i="10"/>
  <c r="Y9" i="10"/>
  <c r="W9" i="10"/>
  <c r="R9" i="10"/>
  <c r="S9" i="10"/>
  <c r="N9" i="10"/>
  <c r="T9" i="10"/>
  <c r="M9" i="10"/>
  <c r="G9" i="10"/>
  <c r="AZ8" i="10"/>
  <c r="AY8" i="10"/>
  <c r="AC8" i="10"/>
  <c r="Z8" i="10"/>
  <c r="AA8" i="10"/>
  <c r="AI8" i="10"/>
  <c r="Y8" i="10"/>
  <c r="W8" i="10"/>
  <c r="R8" i="10"/>
  <c r="S8" i="10"/>
  <c r="N8" i="10"/>
  <c r="M8" i="10"/>
  <c r="G8" i="10"/>
  <c r="Z13" i="12"/>
  <c r="AA13" i="12"/>
  <c r="AI13" i="12"/>
  <c r="AF13" i="12"/>
  <c r="AE11" i="12"/>
  <c r="AL11" i="12"/>
  <c r="AI8" i="12"/>
  <c r="AD18" i="12"/>
  <c r="T17" i="12"/>
  <c r="AA14" i="12"/>
  <c r="AI14" i="12"/>
  <c r="T14" i="12"/>
  <c r="AA16" i="12"/>
  <c r="AI16" i="12"/>
  <c r="AA17" i="12"/>
  <c r="AI17" i="12"/>
  <c r="AA18" i="12"/>
  <c r="AI18" i="12"/>
  <c r="AD11" i="12"/>
  <c r="AD16" i="12"/>
  <c r="AD10" i="12"/>
  <c r="T18" i="12"/>
  <c r="U11" i="12"/>
  <c r="V11" i="12"/>
  <c r="T8" i="12"/>
  <c r="AD15" i="12"/>
  <c r="AH19" i="12"/>
  <c r="AK19" i="12"/>
  <c r="AG10" i="12"/>
  <c r="AN10" i="12"/>
  <c r="AX10" i="12"/>
  <c r="U9" i="12"/>
  <c r="V9" i="12"/>
  <c r="T13" i="12"/>
  <c r="T15" i="12"/>
  <c r="T16" i="12"/>
  <c r="AA16" i="11"/>
  <c r="AI16" i="11"/>
  <c r="AK16" i="11"/>
  <c r="AD10" i="11"/>
  <c r="AD15" i="11"/>
  <c r="T18" i="11"/>
  <c r="T16" i="11"/>
  <c r="AA17" i="11"/>
  <c r="AI17" i="11"/>
  <c r="AG17" i="11"/>
  <c r="AN17" i="11"/>
  <c r="AX17" i="11"/>
  <c r="U12" i="11"/>
  <c r="V12" i="11"/>
  <c r="AD12" i="11"/>
  <c r="AA11" i="11"/>
  <c r="AI11" i="11"/>
  <c r="AA18" i="11"/>
  <c r="AI18" i="11"/>
  <c r="AH10" i="11"/>
  <c r="AO10" i="11"/>
  <c r="AI14" i="11"/>
  <c r="AA8" i="11"/>
  <c r="AI8" i="11"/>
  <c r="AA9" i="11"/>
  <c r="AI9" i="11"/>
  <c r="U9" i="11"/>
  <c r="V9" i="11"/>
  <c r="T13" i="11"/>
  <c r="T15" i="11"/>
  <c r="T8" i="11"/>
  <c r="AF12" i="10"/>
  <c r="AM12" i="10"/>
  <c r="AG10" i="10"/>
  <c r="AN10" i="10"/>
  <c r="AX10" i="10"/>
  <c r="AK8" i="10"/>
  <c r="AF14" i="10"/>
  <c r="AG17" i="10"/>
  <c r="AN17" i="10"/>
  <c r="AX17" i="10"/>
  <c r="BA17" i="10"/>
  <c r="T13" i="10"/>
  <c r="T14" i="10"/>
  <c r="T15" i="10"/>
  <c r="T17" i="10"/>
  <c r="AH8" i="12"/>
  <c r="AO8" i="12"/>
  <c r="AE8" i="12"/>
  <c r="AL8" i="12"/>
  <c r="AK16" i="12"/>
  <c r="AE13" i="12"/>
  <c r="AL13" i="12"/>
  <c r="AM13" i="12"/>
  <c r="AG16" i="11"/>
  <c r="AN16" i="11"/>
  <c r="AX16" i="11"/>
  <c r="BA16" i="11"/>
  <c r="AE16" i="11"/>
  <c r="AL16" i="11"/>
  <c r="AK8" i="11"/>
  <c r="AR8" i="11"/>
  <c r="AX10" i="11"/>
  <c r="BA10" i="11"/>
  <c r="AP14" i="11"/>
  <c r="AG8" i="11"/>
  <c r="AN8" i="11"/>
  <c r="AX8" i="11"/>
  <c r="BA8" i="11"/>
  <c r="AY16" i="9"/>
  <c r="AY17" i="9"/>
  <c r="AX7" i="9"/>
  <c r="AX12" i="9"/>
  <c r="Q7" i="9"/>
  <c r="R7" i="9"/>
  <c r="V7" i="9"/>
  <c r="AB7" i="9"/>
  <c r="Y7" i="9"/>
  <c r="X7" i="9"/>
  <c r="Z7" i="9"/>
  <c r="AH7" i="9"/>
  <c r="AO7" i="9"/>
  <c r="M11" i="9"/>
  <c r="T11" i="9"/>
  <c r="U11" i="9"/>
  <c r="S11" i="9"/>
  <c r="L11" i="9"/>
  <c r="AC11" i="9"/>
  <c r="L8" i="9"/>
  <c r="L7" i="9"/>
  <c r="F11" i="9"/>
  <c r="Q11" i="9"/>
  <c r="R11" i="9"/>
  <c r="V11" i="9"/>
  <c r="X11" i="9"/>
  <c r="Y11" i="9"/>
  <c r="AB11" i="9"/>
  <c r="AX11" i="9"/>
  <c r="AY11" i="9"/>
  <c r="F8" i="9"/>
  <c r="F9" i="9"/>
  <c r="F10" i="9"/>
  <c r="F12" i="9"/>
  <c r="F13" i="9"/>
  <c r="F14" i="9"/>
  <c r="F15" i="9"/>
  <c r="F16" i="9"/>
  <c r="F17" i="9"/>
  <c r="F18" i="9"/>
  <c r="F19" i="9"/>
  <c r="F20" i="9"/>
  <c r="F21" i="9"/>
  <c r="F22" i="9"/>
  <c r="F7" i="9"/>
  <c r="K53" i="9"/>
  <c r="K54" i="9"/>
  <c r="K55" i="9"/>
  <c r="K56" i="9"/>
  <c r="K57" i="9"/>
  <c r="K58" i="9"/>
  <c r="K59" i="9"/>
  <c r="K61" i="9"/>
  <c r="K62" i="9"/>
  <c r="K63" i="9"/>
  <c r="K64" i="9"/>
  <c r="K65" i="9"/>
  <c r="K66" i="9"/>
  <c r="K67" i="9"/>
  <c r="K68" i="9"/>
  <c r="K69" i="9"/>
  <c r="K52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51" i="9"/>
  <c r="AY21" i="9"/>
  <c r="AY22" i="9"/>
  <c r="AY20" i="9"/>
  <c r="AY7" i="9"/>
  <c r="AX9" i="9"/>
  <c r="AX10" i="9"/>
  <c r="AX13" i="9"/>
  <c r="AX14" i="9"/>
  <c r="AX15" i="9"/>
  <c r="AX16" i="9"/>
  <c r="AX17" i="9"/>
  <c r="AX18" i="9"/>
  <c r="AX19" i="9"/>
  <c r="AX20" i="9"/>
  <c r="AX21" i="9"/>
  <c r="AX22" i="9"/>
  <c r="AX8" i="9"/>
  <c r="AY9" i="9"/>
  <c r="AY10" i="9"/>
  <c r="AY12" i="9"/>
  <c r="AY13" i="9"/>
  <c r="AY14" i="9"/>
  <c r="AY15" i="9"/>
  <c r="AY18" i="9"/>
  <c r="AY19" i="9"/>
  <c r="AY8" i="9"/>
  <c r="L15" i="9"/>
  <c r="M15" i="9"/>
  <c r="Q15" i="9"/>
  <c r="R15" i="9"/>
  <c r="V15" i="9"/>
  <c r="X15" i="9"/>
  <c r="Y15" i="9"/>
  <c r="AB15" i="9"/>
  <c r="AB22" i="9"/>
  <c r="Y22" i="9"/>
  <c r="X22" i="9"/>
  <c r="Z22" i="9"/>
  <c r="AH22" i="9"/>
  <c r="AG22" i="9"/>
  <c r="AN22" i="9"/>
  <c r="V22" i="9"/>
  <c r="Q22" i="9"/>
  <c r="R22" i="9"/>
  <c r="M22" i="9"/>
  <c r="L22" i="9"/>
  <c r="AB21" i="9"/>
  <c r="Y21" i="9"/>
  <c r="X21" i="9"/>
  <c r="V21" i="9"/>
  <c r="Z21" i="9"/>
  <c r="AH21" i="9"/>
  <c r="Q21" i="9"/>
  <c r="R21" i="9"/>
  <c r="M21" i="9"/>
  <c r="L21" i="9"/>
  <c r="AB20" i="9"/>
  <c r="Y20" i="9"/>
  <c r="X20" i="9"/>
  <c r="V20" i="9"/>
  <c r="Z20" i="9"/>
  <c r="AH20" i="9"/>
  <c r="Q20" i="9"/>
  <c r="R20" i="9"/>
  <c r="M20" i="9"/>
  <c r="S20" i="9"/>
  <c r="L20" i="9"/>
  <c r="AC20" i="9"/>
  <c r="L17" i="9"/>
  <c r="M17" i="9"/>
  <c r="T17" i="9"/>
  <c r="U17" i="9"/>
  <c r="Q17" i="9"/>
  <c r="V17" i="9"/>
  <c r="X17" i="9"/>
  <c r="Z17" i="9"/>
  <c r="AH17" i="9"/>
  <c r="Y17" i="9"/>
  <c r="AB17" i="9"/>
  <c r="AC17" i="9"/>
  <c r="L18" i="9"/>
  <c r="M18" i="9"/>
  <c r="T18" i="9"/>
  <c r="U18" i="9"/>
  <c r="Q18" i="9"/>
  <c r="V18" i="9"/>
  <c r="X18" i="9"/>
  <c r="Z18" i="9"/>
  <c r="AH18" i="9"/>
  <c r="AE18" i="9"/>
  <c r="Y18" i="9"/>
  <c r="AB18" i="9"/>
  <c r="L19" i="9"/>
  <c r="M19" i="9"/>
  <c r="Q19" i="9"/>
  <c r="V19" i="9"/>
  <c r="X19" i="9"/>
  <c r="Y19" i="9"/>
  <c r="Z19" i="9"/>
  <c r="AH19" i="9"/>
  <c r="AJ19" i="9"/>
  <c r="AQ19" i="9"/>
  <c r="AB19" i="9"/>
  <c r="AB14" i="9"/>
  <c r="Y14" i="9"/>
  <c r="Z14" i="9"/>
  <c r="X14" i="9"/>
  <c r="V14" i="9"/>
  <c r="Q14" i="9"/>
  <c r="R14" i="9"/>
  <c r="M14" i="9"/>
  <c r="T14" i="9"/>
  <c r="U14" i="9"/>
  <c r="L14" i="9"/>
  <c r="AB16" i="9"/>
  <c r="AB13" i="9"/>
  <c r="AB12" i="9"/>
  <c r="AB10" i="9"/>
  <c r="AB9" i="9"/>
  <c r="AB8" i="9"/>
  <c r="Y8" i="9"/>
  <c r="Y9" i="9"/>
  <c r="Y10" i="9"/>
  <c r="Y12" i="9"/>
  <c r="Y13" i="9"/>
  <c r="Z13" i="9"/>
  <c r="AH13" i="9"/>
  <c r="Y16" i="9"/>
  <c r="X8" i="9"/>
  <c r="X9" i="9"/>
  <c r="X10" i="9"/>
  <c r="X12" i="9"/>
  <c r="X13" i="9"/>
  <c r="X16" i="9"/>
  <c r="L16" i="9"/>
  <c r="AC16" i="9"/>
  <c r="M16" i="9"/>
  <c r="T16" i="9"/>
  <c r="S16" i="9"/>
  <c r="V16" i="9"/>
  <c r="Q16" i="9"/>
  <c r="Q8" i="9"/>
  <c r="R8" i="9"/>
  <c r="Q9" i="9"/>
  <c r="R9" i="9"/>
  <c r="Q10" i="9"/>
  <c r="R10" i="9"/>
  <c r="Q12" i="9"/>
  <c r="R12" i="9"/>
  <c r="Q13" i="9"/>
  <c r="R13" i="9"/>
  <c r="M8" i="9"/>
  <c r="S8" i="9"/>
  <c r="L9" i="9"/>
  <c r="M9" i="9"/>
  <c r="L10" i="9"/>
  <c r="M10" i="9"/>
  <c r="S10" i="9"/>
  <c r="L12" i="9"/>
  <c r="M12" i="9"/>
  <c r="T12" i="9"/>
  <c r="U12" i="9"/>
  <c r="L13" i="9"/>
  <c r="M13" i="9"/>
  <c r="T13" i="9"/>
  <c r="U13" i="9"/>
  <c r="V8" i="9"/>
  <c r="V9" i="9"/>
  <c r="V10" i="9"/>
  <c r="V12" i="9"/>
  <c r="V13" i="9"/>
  <c r="M7" i="9"/>
  <c r="S7" i="9"/>
  <c r="T7" i="9"/>
  <c r="U7" i="9"/>
  <c r="Z11" i="9"/>
  <c r="AH11" i="9"/>
  <c r="S13" i="9"/>
  <c r="Z16" i="9"/>
  <c r="AH16" i="9"/>
  <c r="AE16" i="9"/>
  <c r="Z9" i="9"/>
  <c r="AH9" i="9"/>
  <c r="Z8" i="9"/>
  <c r="AH8" i="9"/>
  <c r="AC13" i="9"/>
  <c r="AH14" i="9"/>
  <c r="AG14" i="9"/>
  <c r="AN14" i="9"/>
  <c r="Z15" i="9"/>
  <c r="AH15" i="9"/>
  <c r="Z10" i="9"/>
  <c r="AH10" i="9"/>
  <c r="T20" i="9"/>
  <c r="U20" i="9"/>
  <c r="AC18" i="9"/>
  <c r="S17" i="9"/>
  <c r="U16" i="9"/>
  <c r="S14" i="9"/>
  <c r="AC10" i="9"/>
  <c r="AI9" i="9"/>
  <c r="AP9" i="9"/>
  <c r="AG9" i="9"/>
  <c r="AN9" i="9"/>
  <c r="AE9" i="9"/>
  <c r="AL9" i="9"/>
  <c r="AO14" i="9"/>
  <c r="AI14" i="9"/>
  <c r="AP14" i="9"/>
  <c r="AO9" i="9"/>
  <c r="AF14" i="13"/>
  <c r="AM14" i="13"/>
  <c r="AN12" i="13"/>
  <c r="AX12" i="13"/>
  <c r="AJ13" i="13"/>
  <c r="AQ13" i="13"/>
  <c r="AE12" i="13"/>
  <c r="AL12" i="13"/>
  <c r="AF12" i="13"/>
  <c r="AM12" i="13"/>
  <c r="AH12" i="13"/>
  <c r="AJ12" i="13"/>
  <c r="AK12" i="13"/>
  <c r="AK13" i="13"/>
  <c r="AR13" i="13"/>
  <c r="AF13" i="13"/>
  <c r="AM13" i="13"/>
  <c r="AF15" i="13"/>
  <c r="AM15" i="13"/>
  <c r="AE15" i="13"/>
  <c r="AL15" i="13"/>
  <c r="AF18" i="13"/>
  <c r="AM18" i="13"/>
  <c r="AG18" i="13"/>
  <c r="AN18" i="13"/>
  <c r="AH17" i="13"/>
  <c r="AG17" i="13"/>
  <c r="AN17" i="13"/>
  <c r="AX17" i="13"/>
  <c r="BA17" i="13"/>
  <c r="AK17" i="13"/>
  <c r="AF17" i="13"/>
  <c r="AM17" i="13"/>
  <c r="AH15" i="13"/>
  <c r="AJ15" i="13"/>
  <c r="AX18" i="13"/>
  <c r="BA18" i="13"/>
  <c r="AE18" i="13"/>
  <c r="AL18" i="13"/>
  <c r="AH18" i="13"/>
  <c r="AJ17" i="13"/>
  <c r="AJ18" i="13"/>
  <c r="AJ9" i="13"/>
  <c r="AQ9" i="13"/>
  <c r="AP9" i="13"/>
  <c r="AH9" i="13"/>
  <c r="AO9" i="13"/>
  <c r="AK9" i="13"/>
  <c r="AR9" i="13"/>
  <c r="AG9" i="13"/>
  <c r="AN9" i="13"/>
  <c r="AX9" i="13"/>
  <c r="BA9" i="13"/>
  <c r="AF9" i="13"/>
  <c r="AM9" i="13"/>
  <c r="AE9" i="13"/>
  <c r="AL9" i="13"/>
  <c r="AJ10" i="13"/>
  <c r="AQ10" i="13"/>
  <c r="AP10" i="13"/>
  <c r="AH10" i="13"/>
  <c r="AO10" i="13"/>
  <c r="AF10" i="13"/>
  <c r="AM10" i="13"/>
  <c r="AG10" i="13"/>
  <c r="AN10" i="13"/>
  <c r="AX10" i="13"/>
  <c r="BA10" i="13"/>
  <c r="AK10" i="13"/>
  <c r="AR10" i="13"/>
  <c r="AE10" i="13"/>
  <c r="AL10" i="13"/>
  <c r="AE8" i="13"/>
  <c r="AL8" i="13"/>
  <c r="AK8" i="13"/>
  <c r="AR8" i="13"/>
  <c r="AJ8" i="13"/>
  <c r="AQ8" i="13"/>
  <c r="AG8" i="13"/>
  <c r="AN8" i="13"/>
  <c r="AX8" i="13"/>
  <c r="BA8" i="13"/>
  <c r="AF8" i="13"/>
  <c r="AM8" i="13"/>
  <c r="AP8" i="13"/>
  <c r="AH8" i="13"/>
  <c r="AO8" i="13"/>
  <c r="AK11" i="10"/>
  <c r="AR11" i="10"/>
  <c r="AG11" i="10"/>
  <c r="AN11" i="10"/>
  <c r="AX11" i="10"/>
  <c r="BA11" i="10"/>
  <c r="AF11" i="10"/>
  <c r="AM11" i="10"/>
  <c r="AH11" i="10"/>
  <c r="AO11" i="10"/>
  <c r="AJ11" i="10"/>
  <c r="AQ11" i="10"/>
  <c r="AE11" i="10"/>
  <c r="AL11" i="10"/>
  <c r="AG16" i="9"/>
  <c r="AJ16" i="9"/>
  <c r="AI16" i="9"/>
  <c r="AF16" i="9"/>
  <c r="AD16" i="9"/>
  <c r="AD18" i="9"/>
  <c r="AK18" i="9"/>
  <c r="AL18" i="9"/>
  <c r="AG18" i="9"/>
  <c r="AN18" i="9"/>
  <c r="AJ18" i="9"/>
  <c r="AQ18" i="9"/>
  <c r="AF7" i="9"/>
  <c r="AM7" i="9"/>
  <c r="AW7" i="9"/>
  <c r="AZ7" i="9"/>
  <c r="AI7" i="9"/>
  <c r="AP7" i="9"/>
  <c r="AJ7" i="9"/>
  <c r="AQ7" i="9"/>
  <c r="AE7" i="9"/>
  <c r="AL7" i="9"/>
  <c r="AG7" i="9"/>
  <c r="AN7" i="9"/>
  <c r="AD7" i="9"/>
  <c r="AK7" i="9"/>
  <c r="AF22" i="9"/>
  <c r="AM22" i="9"/>
  <c r="AW22" i="9"/>
  <c r="AZ22" i="9"/>
  <c r="AD22" i="9"/>
  <c r="AK22" i="9"/>
  <c r="AJ22" i="9"/>
  <c r="AQ22" i="9"/>
  <c r="AJ13" i="9"/>
  <c r="AQ13" i="9"/>
  <c r="AG13" i="9"/>
  <c r="AN13" i="9"/>
  <c r="AO13" i="9"/>
  <c r="AJ20" i="9"/>
  <c r="AQ20" i="9"/>
  <c r="AI20" i="9"/>
  <c r="AP20" i="9"/>
  <c r="AD20" i="9"/>
  <c r="AK20" i="9"/>
  <c r="AF20" i="9"/>
  <c r="AM20" i="9"/>
  <c r="AW20" i="9"/>
  <c r="AZ20" i="9"/>
  <c r="AE20" i="9"/>
  <c r="AL20" i="9"/>
  <c r="AI19" i="9"/>
  <c r="AP19" i="9"/>
  <c r="AF19" i="9"/>
  <c r="AM19" i="9"/>
  <c r="AW19" i="9"/>
  <c r="AZ19" i="9"/>
  <c r="AE19" i="9"/>
  <c r="AL19" i="9"/>
  <c r="AD19" i="9"/>
  <c r="AK19" i="9"/>
  <c r="AG19" i="9"/>
  <c r="AN19" i="9"/>
  <c r="AH17" i="12"/>
  <c r="AK17" i="12"/>
  <c r="AE17" i="12"/>
  <c r="AL17" i="12"/>
  <c r="AG17" i="12"/>
  <c r="AN17" i="12"/>
  <c r="AX17" i="12"/>
  <c r="BA17" i="12"/>
  <c r="AF17" i="12"/>
  <c r="AM17" i="12"/>
  <c r="AJ17" i="12"/>
  <c r="AE17" i="9"/>
  <c r="AL17" i="9"/>
  <c r="AO17" i="9"/>
  <c r="AG17" i="9"/>
  <c r="AN17" i="9"/>
  <c r="AI17" i="9"/>
  <c r="AP17" i="9"/>
  <c r="AD17" i="9"/>
  <c r="AK17" i="9"/>
  <c r="AJ17" i="9"/>
  <c r="AQ17" i="9"/>
  <c r="AF17" i="9"/>
  <c r="AM17" i="9"/>
  <c r="AW17" i="9"/>
  <c r="AZ17" i="9"/>
  <c r="AI10" i="9"/>
  <c r="AP10" i="9"/>
  <c r="AO11" i="9"/>
  <c r="AI11" i="9"/>
  <c r="AP11" i="9"/>
  <c r="AJ11" i="9"/>
  <c r="AQ11" i="9"/>
  <c r="AF11" i="9"/>
  <c r="AM11" i="9"/>
  <c r="AW11" i="9"/>
  <c r="AZ11" i="9"/>
  <c r="AE11" i="9"/>
  <c r="AL11" i="9"/>
  <c r="AG11" i="9"/>
  <c r="AN11" i="9"/>
  <c r="AD11" i="9"/>
  <c r="AK11" i="9"/>
  <c r="AD21" i="9"/>
  <c r="AJ21" i="9"/>
  <c r="AI21" i="9"/>
  <c r="AE21" i="9"/>
  <c r="AG21" i="9"/>
  <c r="AF21" i="9"/>
  <c r="AF15" i="9"/>
  <c r="AM15" i="9"/>
  <c r="AW15" i="9"/>
  <c r="AZ15" i="9"/>
  <c r="AO15" i="9"/>
  <c r="AI15" i="9"/>
  <c r="AP15" i="9"/>
  <c r="AD15" i="9"/>
  <c r="AK15" i="9"/>
  <c r="AE15" i="9"/>
  <c r="AL15" i="9"/>
  <c r="AJ15" i="9"/>
  <c r="AQ15" i="9"/>
  <c r="AG15" i="9"/>
  <c r="AN15" i="9"/>
  <c r="AP11" i="11"/>
  <c r="AE11" i="11"/>
  <c r="AL11" i="11"/>
  <c r="AG11" i="11"/>
  <c r="AN11" i="11"/>
  <c r="AX11" i="11"/>
  <c r="BA11" i="11"/>
  <c r="BB8" i="11"/>
  <c r="AH11" i="11"/>
  <c r="AO11" i="11"/>
  <c r="AK11" i="11"/>
  <c r="AR11" i="11"/>
  <c r="AJ11" i="11"/>
  <c r="AQ11" i="11"/>
  <c r="AF11" i="11"/>
  <c r="AM11" i="11"/>
  <c r="AP14" i="12"/>
  <c r="AF14" i="12"/>
  <c r="AM14" i="12"/>
  <c r="AK14" i="12"/>
  <c r="AR14" i="12"/>
  <c r="AE14" i="12"/>
  <c r="AL14" i="12"/>
  <c r="AH14" i="12"/>
  <c r="AO14" i="12"/>
  <c r="AG14" i="12"/>
  <c r="AN14" i="12"/>
  <c r="AX14" i="12"/>
  <c r="BA14" i="12"/>
  <c r="AJ14" i="12"/>
  <c r="AQ14" i="12"/>
  <c r="AF18" i="12"/>
  <c r="AM18" i="12"/>
  <c r="AG18" i="12"/>
  <c r="AN18" i="12"/>
  <c r="AX18" i="12"/>
  <c r="BA18" i="12"/>
  <c r="S12" i="9"/>
  <c r="AP13" i="10"/>
  <c r="AG16" i="12"/>
  <c r="AN16" i="12"/>
  <c r="AX16" i="12"/>
  <c r="BA16" i="12"/>
  <c r="AH16" i="12"/>
  <c r="AE16" i="12"/>
  <c r="AL16" i="12"/>
  <c r="AD8" i="10"/>
  <c r="AA9" i="10"/>
  <c r="AI9" i="10"/>
  <c r="AH9" i="10"/>
  <c r="AH18" i="10"/>
  <c r="AK18" i="10"/>
  <c r="AG18" i="10"/>
  <c r="AN18" i="10"/>
  <c r="AX18" i="10"/>
  <c r="BA18" i="10"/>
  <c r="AJ18" i="10"/>
  <c r="AF12" i="11"/>
  <c r="AM12" i="11"/>
  <c r="AG12" i="11"/>
  <c r="AN12" i="11"/>
  <c r="AX12" i="11"/>
  <c r="BA12" i="11"/>
  <c r="AK12" i="11"/>
  <c r="AJ12" i="11"/>
  <c r="AJ9" i="9"/>
  <c r="AQ9" i="9"/>
  <c r="AC7" i="9"/>
  <c r="AP14" i="10"/>
  <c r="AJ13" i="10"/>
  <c r="AQ13" i="10"/>
  <c r="AG14" i="11"/>
  <c r="AN14" i="11"/>
  <c r="AX14" i="11"/>
  <c r="AE14" i="11"/>
  <c r="AL14" i="11"/>
  <c r="AH16" i="11"/>
  <c r="AJ16" i="11"/>
  <c r="AF16" i="11"/>
  <c r="AM16" i="11"/>
  <c r="T11" i="10"/>
  <c r="AI15" i="11"/>
  <c r="AF15" i="11"/>
  <c r="AM15" i="11"/>
  <c r="AK9" i="12"/>
  <c r="AR9" i="12"/>
  <c r="AH11" i="12"/>
  <c r="AO11" i="12"/>
  <c r="AP11" i="12"/>
  <c r="AF11" i="12"/>
  <c r="AM11" i="12"/>
  <c r="AK11" i="12"/>
  <c r="AR11" i="12"/>
  <c r="AC12" i="9"/>
  <c r="AK10" i="10"/>
  <c r="AR10" i="10"/>
  <c r="AE10" i="10"/>
  <c r="AL10" i="10"/>
  <c r="AH10" i="10"/>
  <c r="AO10" i="10"/>
  <c r="AE12" i="10"/>
  <c r="AL12" i="10"/>
  <c r="AH12" i="10"/>
  <c r="AG12" i="10"/>
  <c r="AN12" i="10"/>
  <c r="AX12" i="10"/>
  <c r="BA12" i="10"/>
  <c r="BA10" i="12"/>
  <c r="AF19" i="12"/>
  <c r="AM19" i="12"/>
  <c r="AG19" i="12"/>
  <c r="AN19" i="12"/>
  <c r="AX19" i="12"/>
  <c r="S18" i="9"/>
  <c r="AG11" i="12"/>
  <c r="AN11" i="12"/>
  <c r="AX11" i="12"/>
  <c r="BA11" i="12"/>
  <c r="AM14" i="10"/>
  <c r="AE13" i="10"/>
  <c r="AL13" i="10"/>
  <c r="AJ13" i="12"/>
  <c r="AQ13" i="12"/>
  <c r="AH13" i="12"/>
  <c r="AO13" i="12"/>
  <c r="AP13" i="12"/>
  <c r="AK13" i="12"/>
  <c r="AR13" i="12"/>
  <c r="AG13" i="12"/>
  <c r="AN13" i="12"/>
  <c r="AX13" i="12"/>
  <c r="BA13" i="12"/>
  <c r="U14" i="11"/>
  <c r="V14" i="11"/>
  <c r="BA14" i="11"/>
  <c r="AP9" i="11"/>
  <c r="AG9" i="11"/>
  <c r="AN9" i="11"/>
  <c r="AX9" i="11"/>
  <c r="BA9" i="11"/>
  <c r="AF10" i="11"/>
  <c r="AM10" i="11"/>
  <c r="AE10" i="11"/>
  <c r="AL10" i="11"/>
  <c r="AK10" i="11"/>
  <c r="AR10" i="11"/>
  <c r="AP10" i="11"/>
  <c r="AE15" i="10"/>
  <c r="AL15" i="10"/>
  <c r="AK15" i="10"/>
  <c r="AH15" i="10"/>
  <c r="AJ15" i="10"/>
  <c r="AJ17" i="10"/>
  <c r="AF17" i="10"/>
  <c r="AM17" i="10"/>
  <c r="AK17" i="10"/>
  <c r="AH17" i="11"/>
  <c r="AF17" i="11"/>
  <c r="AM17" i="11"/>
  <c r="AK17" i="11"/>
  <c r="T8" i="10"/>
  <c r="U8" i="10"/>
  <c r="V8" i="10"/>
  <c r="AJ16" i="10"/>
  <c r="AF16" i="10"/>
  <c r="AM16" i="10"/>
  <c r="AE16" i="10"/>
  <c r="AL16" i="10"/>
  <c r="AG16" i="10"/>
  <c r="AN16" i="10"/>
  <c r="AX16" i="10"/>
  <c r="BA16" i="10"/>
  <c r="AH9" i="11"/>
  <c r="AO9" i="11"/>
  <c r="AJ9" i="11"/>
  <c r="AQ9" i="11"/>
  <c r="AJ13" i="11"/>
  <c r="AQ13" i="11"/>
  <c r="AJ10" i="11"/>
  <c r="AQ10" i="11"/>
  <c r="AH18" i="12"/>
  <c r="AH13" i="10"/>
  <c r="AO13" i="10"/>
  <c r="AK13" i="10"/>
  <c r="AR13" i="10"/>
  <c r="AE17" i="11"/>
  <c r="AL17" i="11"/>
  <c r="AJ11" i="12"/>
  <c r="AQ11" i="12"/>
  <c r="AG13" i="10"/>
  <c r="AN13" i="10"/>
  <c r="AX13" i="10"/>
  <c r="BA13" i="10"/>
  <c r="AJ8" i="11"/>
  <c r="AQ8" i="11"/>
  <c r="AF8" i="11"/>
  <c r="AM8" i="11"/>
  <c r="AH8" i="11"/>
  <c r="AO8" i="11"/>
  <c r="AE8" i="11"/>
  <c r="AL8" i="11"/>
  <c r="AP8" i="11"/>
  <c r="AJ18" i="11"/>
  <c r="AJ8" i="12"/>
  <c r="AQ8" i="12"/>
  <c r="AP8" i="12"/>
  <c r="AD10" i="10"/>
  <c r="U10" i="10"/>
  <c r="V10" i="10"/>
  <c r="T10" i="10"/>
  <c r="AE14" i="10"/>
  <c r="AL14" i="10"/>
  <c r="AK14" i="10"/>
  <c r="AR14" i="10"/>
  <c r="AJ10" i="12"/>
  <c r="AQ10" i="12"/>
  <c r="AP10" i="12"/>
  <c r="AH10" i="12"/>
  <c r="AO10" i="12"/>
  <c r="AE10" i="12"/>
  <c r="AL10" i="12"/>
  <c r="U18" i="10"/>
  <c r="V18" i="10"/>
  <c r="AJ12" i="12"/>
  <c r="AE12" i="12"/>
  <c r="AL12" i="12"/>
  <c r="AD12" i="12"/>
  <c r="U9" i="10"/>
  <c r="V9" i="10"/>
  <c r="AF12" i="12"/>
  <c r="AM12" i="12"/>
  <c r="T16" i="10"/>
  <c r="AE9" i="10"/>
  <c r="AJ9" i="10"/>
  <c r="AF9" i="10"/>
  <c r="AG9" i="10"/>
  <c r="AK9" i="10"/>
  <c r="AE15" i="11"/>
  <c r="AL15" i="11"/>
  <c r="AO9" i="10"/>
  <c r="S9" i="9"/>
  <c r="T9" i="9"/>
  <c r="U9" i="9"/>
  <c r="AC9" i="9"/>
  <c r="AJ8" i="9"/>
  <c r="AE8" i="9"/>
  <c r="AF8" i="9"/>
  <c r="AI8" i="9"/>
  <c r="AG8" i="9"/>
  <c r="AN9" i="10"/>
  <c r="AX9" i="10"/>
  <c r="BA9" i="10"/>
  <c r="AM16" i="9"/>
  <c r="AW16" i="9"/>
  <c r="AZ16" i="9"/>
  <c r="AF8" i="10"/>
  <c r="AM8" i="10"/>
  <c r="AG8" i="10"/>
  <c r="AN8" i="10"/>
  <c r="AX8" i="10"/>
  <c r="BA8" i="10"/>
  <c r="BB8" i="10"/>
  <c r="AP8" i="10"/>
  <c r="AJ8" i="10"/>
  <c r="AQ8" i="10"/>
  <c r="AH8" i="10"/>
  <c r="AO8" i="10"/>
  <c r="AE8" i="10"/>
  <c r="AL8" i="10"/>
  <c r="AP16" i="9"/>
  <c r="AO10" i="9"/>
  <c r="AJ10" i="9"/>
  <c r="AQ10" i="9"/>
  <c r="AF10" i="9"/>
  <c r="AM10" i="9"/>
  <c r="AW10" i="9"/>
  <c r="AZ10" i="9"/>
  <c r="AG10" i="9"/>
  <c r="AN10" i="9"/>
  <c r="AD10" i="9"/>
  <c r="AK10" i="9"/>
  <c r="AE10" i="9"/>
  <c r="AL10" i="9"/>
  <c r="BA19" i="12"/>
  <c r="BB16" i="12"/>
  <c r="AE18" i="11"/>
  <c r="AL18" i="11"/>
  <c r="AH18" i="11"/>
  <c r="AK18" i="11"/>
  <c r="AF18" i="11"/>
  <c r="AM18" i="11"/>
  <c r="AG18" i="11"/>
  <c r="AN18" i="11"/>
  <c r="AX18" i="11"/>
  <c r="BA18" i="11"/>
  <c r="AP13" i="11"/>
  <c r="AF13" i="11"/>
  <c r="AM13" i="11"/>
  <c r="AE13" i="11"/>
  <c r="AL13" i="11"/>
  <c r="AG13" i="11"/>
  <c r="AN13" i="11"/>
  <c r="AX13" i="11"/>
  <c r="BA13" i="11"/>
  <c r="BB12" i="11"/>
  <c r="AK13" i="11"/>
  <c r="AR13" i="11"/>
  <c r="AH13" i="11"/>
  <c r="AO13" i="11"/>
  <c r="AD14" i="11"/>
  <c r="T14" i="11"/>
  <c r="AP9" i="12"/>
  <c r="AH9" i="12"/>
  <c r="AO9" i="12"/>
  <c r="AE9" i="12"/>
  <c r="AL9" i="12"/>
  <c r="AF9" i="12"/>
  <c r="AM9" i="12"/>
  <c r="AJ9" i="12"/>
  <c r="AQ9" i="12"/>
  <c r="AG9" i="12"/>
  <c r="AN9" i="12"/>
  <c r="AX9" i="12"/>
  <c r="BA9" i="12"/>
  <c r="AH15" i="11"/>
  <c r="AK15" i="11"/>
  <c r="AJ15" i="11"/>
  <c r="AD8" i="9"/>
  <c r="AL16" i="9"/>
  <c r="AO16" i="9"/>
  <c r="AK16" i="9"/>
  <c r="AI13" i="9"/>
  <c r="AP13" i="9"/>
  <c r="AD13" i="9"/>
  <c r="AK13" i="9"/>
  <c r="AF13" i="9"/>
  <c r="AM13" i="9"/>
  <c r="AW13" i="9"/>
  <c r="AZ13" i="9"/>
  <c r="AE13" i="9"/>
  <c r="AL13" i="9"/>
  <c r="T19" i="9"/>
  <c r="U19" i="9"/>
  <c r="S19" i="9"/>
  <c r="AC19" i="9"/>
  <c r="AG15" i="11"/>
  <c r="AN15" i="11"/>
  <c r="AX15" i="11"/>
  <c r="BA15" i="11"/>
  <c r="AR8" i="10"/>
  <c r="AK18" i="12"/>
  <c r="AE18" i="12"/>
  <c r="AL18" i="12"/>
  <c r="AJ18" i="12"/>
  <c r="AC8" i="9"/>
  <c r="AO8" i="9"/>
  <c r="AG20" i="9"/>
  <c r="AN20" i="9"/>
  <c r="AO20" i="9"/>
  <c r="AF8" i="12"/>
  <c r="AM8" i="12"/>
  <c r="AG8" i="12"/>
  <c r="AN8" i="12"/>
  <c r="AX8" i="12"/>
  <c r="BA8" i="12"/>
  <c r="BB8" i="12"/>
  <c r="AK8" i="12"/>
  <c r="AR8" i="12"/>
  <c r="AD9" i="10"/>
  <c r="AF10" i="10"/>
  <c r="AM10" i="10"/>
  <c r="AJ10" i="10"/>
  <c r="AQ10" i="10"/>
  <c r="AP10" i="10"/>
  <c r="AF15" i="10"/>
  <c r="AM15" i="10"/>
  <c r="AG15" i="10"/>
  <c r="AN15" i="10"/>
  <c r="AX15" i="10"/>
  <c r="BA15" i="10"/>
  <c r="BB15" i="10"/>
  <c r="AE17" i="10"/>
  <c r="AL17" i="10"/>
  <c r="AH17" i="10"/>
  <c r="AE11" i="13"/>
  <c r="AL11" i="13"/>
  <c r="AD9" i="9"/>
  <c r="AK9" i="9"/>
  <c r="AF9" i="9"/>
  <c r="AM9" i="9"/>
  <c r="AW9" i="9"/>
  <c r="AZ9" i="9"/>
  <c r="Z12" i="9"/>
  <c r="AH12" i="9"/>
  <c r="AC14" i="9"/>
  <c r="AF9" i="11"/>
  <c r="AM9" i="11"/>
  <c r="AK9" i="11"/>
  <c r="AR9" i="11"/>
  <c r="AE9" i="11"/>
  <c r="AL9" i="11"/>
  <c r="AH12" i="11"/>
  <c r="AE12" i="11"/>
  <c r="AL12" i="11"/>
  <c r="AK15" i="13"/>
  <c r="AG15" i="13"/>
  <c r="AN15" i="13"/>
  <c r="AX15" i="13"/>
  <c r="BA15" i="13"/>
  <c r="BB15" i="13"/>
  <c r="AE22" i="9"/>
  <c r="AL22" i="9"/>
  <c r="AI18" i="9"/>
  <c r="AP18" i="9"/>
  <c r="AO18" i="9"/>
  <c r="AC15" i="9"/>
  <c r="S15" i="9"/>
  <c r="T15" i="9"/>
  <c r="U15" i="9"/>
  <c r="AF16" i="12"/>
  <c r="AM16" i="12"/>
  <c r="AJ16" i="12"/>
  <c r="AG14" i="10"/>
  <c r="AN14" i="10"/>
  <c r="AX14" i="10"/>
  <c r="BA14" i="10"/>
  <c r="BB12" i="10"/>
  <c r="AJ14" i="10"/>
  <c r="AQ14" i="10"/>
  <c r="AH14" i="10"/>
  <c r="AO14" i="10"/>
  <c r="AF10" i="12"/>
  <c r="AM10" i="12"/>
  <c r="AK10" i="12"/>
  <c r="AR10" i="12"/>
  <c r="T12" i="13"/>
  <c r="AD12" i="13"/>
  <c r="U12" i="13"/>
  <c r="V12" i="13"/>
  <c r="BA12" i="13"/>
  <c r="AE13" i="13"/>
  <c r="AL13" i="13"/>
  <c r="AP13" i="13"/>
  <c r="AG13" i="13"/>
  <c r="AN13" i="13"/>
  <c r="AX13" i="13"/>
  <c r="BA13" i="13"/>
  <c r="AH13" i="13"/>
  <c r="AO13" i="13"/>
  <c r="AJ16" i="13"/>
  <c r="AH16" i="13"/>
  <c r="AG16" i="13"/>
  <c r="AN16" i="13"/>
  <c r="AX16" i="13"/>
  <c r="BA16" i="13"/>
  <c r="AE16" i="13"/>
  <c r="AL16" i="13"/>
  <c r="AF16" i="13"/>
  <c r="AM16" i="13"/>
  <c r="AK16" i="13"/>
  <c r="AO22" i="9"/>
  <c r="AF18" i="9"/>
  <c r="AM18" i="9"/>
  <c r="AW18" i="9"/>
  <c r="AZ18" i="9"/>
  <c r="AJ14" i="13"/>
  <c r="AQ14" i="13"/>
  <c r="AP14" i="13"/>
  <c r="AE14" i="13"/>
  <c r="AL14" i="13"/>
  <c r="AK14" i="13"/>
  <c r="AR14" i="13"/>
  <c r="AH14" i="13"/>
  <c r="AO14" i="13"/>
  <c r="AG14" i="13"/>
  <c r="AN14" i="13"/>
  <c r="AX14" i="13"/>
  <c r="BA14" i="13"/>
  <c r="AP11" i="13"/>
  <c r="AH11" i="13"/>
  <c r="AO11" i="13"/>
  <c r="AG11" i="13"/>
  <c r="AN11" i="13"/>
  <c r="AX11" i="13"/>
  <c r="BA11" i="13"/>
  <c r="BB8" i="13"/>
  <c r="AF11" i="13"/>
  <c r="AM11" i="13"/>
  <c r="AK11" i="13"/>
  <c r="AR11" i="13"/>
  <c r="AO19" i="9"/>
  <c r="AI22" i="9"/>
  <c r="AP22" i="9"/>
  <c r="AQ16" i="9"/>
  <c r="T8" i="9"/>
  <c r="U8" i="9"/>
  <c r="T21" i="9"/>
  <c r="U21" i="9"/>
  <c r="AC21" i="9"/>
  <c r="S21" i="9"/>
  <c r="T22" i="9"/>
  <c r="U22" i="9"/>
  <c r="AC22" i="9"/>
  <c r="S22" i="9"/>
  <c r="AK14" i="11"/>
  <c r="AR14" i="11"/>
  <c r="AF14" i="11"/>
  <c r="AM14" i="11"/>
  <c r="AH14" i="11"/>
  <c r="AO14" i="11"/>
  <c r="AJ14" i="11"/>
  <c r="AQ14" i="11"/>
  <c r="AJ17" i="11"/>
  <c r="AE18" i="10"/>
  <c r="AL18" i="10"/>
  <c r="AF18" i="10"/>
  <c r="AM18" i="10"/>
  <c r="U17" i="11"/>
  <c r="V17" i="11"/>
  <c r="AD17" i="11"/>
  <c r="T17" i="11"/>
  <c r="BA17" i="11"/>
  <c r="AN16" i="9"/>
  <c r="AD14" i="9"/>
  <c r="AK14" i="9"/>
  <c r="AE14" i="9"/>
  <c r="AL14" i="9"/>
  <c r="AF14" i="9"/>
  <c r="AM14" i="9"/>
  <c r="AW14" i="9"/>
  <c r="AZ14" i="9"/>
  <c r="AJ14" i="9"/>
  <c r="AQ14" i="9"/>
  <c r="AK16" i="10"/>
  <c r="AH16" i="10"/>
  <c r="AG12" i="12"/>
  <c r="AN12" i="12"/>
  <c r="AX12" i="12"/>
  <c r="BA12" i="12"/>
  <c r="AK12" i="12"/>
  <c r="AH12" i="12"/>
  <c r="Z15" i="12"/>
  <c r="Y15" i="12"/>
  <c r="AA15" i="12"/>
  <c r="AI15" i="12"/>
  <c r="AJ12" i="10"/>
  <c r="U10" i="11"/>
  <c r="V10" i="11"/>
  <c r="T10" i="9"/>
  <c r="U10" i="9"/>
  <c r="AE19" i="12"/>
  <c r="AL19" i="12"/>
  <c r="AP9" i="10"/>
  <c r="AQ9" i="10"/>
  <c r="AM9" i="10"/>
  <c r="BA16" i="9"/>
  <c r="AR9" i="10"/>
  <c r="AF15" i="12"/>
  <c r="AM15" i="12"/>
  <c r="AJ15" i="12"/>
  <c r="AQ15" i="12"/>
  <c r="AE15" i="12"/>
  <c r="AL15" i="12"/>
  <c r="AG15" i="12"/>
  <c r="AN15" i="12"/>
  <c r="AX15" i="12"/>
  <c r="BA15" i="12"/>
  <c r="AH15" i="12"/>
  <c r="AO15" i="12"/>
  <c r="AK15" i="12"/>
  <c r="AR15" i="12"/>
  <c r="AP15" i="12"/>
  <c r="BB12" i="12"/>
  <c r="AO21" i="9"/>
  <c r="AM21" i="9"/>
  <c r="AW21" i="9"/>
  <c r="AZ21" i="9"/>
  <c r="BA20" i="9"/>
  <c r="AK21" i="9"/>
  <c r="AQ21" i="9"/>
  <c r="AL9" i="10"/>
  <c r="AN8" i="9"/>
  <c r="AL21" i="9"/>
  <c r="AP8" i="9"/>
  <c r="BB15" i="11"/>
  <c r="AM8" i="9"/>
  <c r="AW8" i="9"/>
  <c r="AZ8" i="9"/>
  <c r="BA7" i="9"/>
  <c r="AL8" i="9"/>
  <c r="BB12" i="13"/>
  <c r="AQ8" i="9"/>
  <c r="AI12" i="9"/>
  <c r="AP12" i="9"/>
  <c r="AD12" i="9"/>
  <c r="AK12" i="9"/>
  <c r="AF12" i="9"/>
  <c r="AM12" i="9"/>
  <c r="AW12" i="9"/>
  <c r="AZ12" i="9"/>
  <c r="BA12" i="9"/>
  <c r="AE12" i="9"/>
  <c r="AL12" i="9"/>
  <c r="AG12" i="9"/>
  <c r="AN12" i="9"/>
  <c r="AO12" i="9"/>
  <c r="AJ12" i="9"/>
  <c r="AQ12" i="9"/>
  <c r="AP21" i="9"/>
  <c r="AN21" i="9"/>
  <c r="AK8" i="9"/>
  <c r="C68" i="17"/>
  <c r="C55" i="17"/>
  <c r="C54" i="17"/>
  <c r="C59" i="17"/>
  <c r="F5" i="17"/>
  <c r="H5" i="17"/>
  <c r="G5" i="17"/>
  <c r="D5" i="17"/>
  <c r="K5" i="17"/>
  <c r="J5" i="17"/>
  <c r="E5" i="17"/>
  <c r="BM699" i="19"/>
  <c r="BM642" i="19"/>
  <c r="BM641" i="19"/>
  <c r="BM749" i="19"/>
  <c r="BM718" i="19"/>
  <c r="BM532" i="19"/>
  <c r="BM467" i="19"/>
  <c r="BM312" i="19"/>
  <c r="BM684" i="19"/>
  <c r="BM636" i="19"/>
  <c r="BM601" i="19"/>
  <c r="BM454" i="19"/>
  <c r="BM135" i="19"/>
  <c r="BM67" i="19"/>
  <c r="BM523" i="19"/>
  <c r="BM272" i="19"/>
  <c r="BM65" i="19"/>
  <c r="BM398" i="19"/>
  <c r="BM113" i="19"/>
  <c r="BM72" i="19"/>
  <c r="BM520" i="19"/>
  <c r="BM481" i="19"/>
  <c r="BM439" i="19"/>
  <c r="BM649" i="19"/>
  <c r="BM105" i="19"/>
  <c r="BM182" i="19"/>
  <c r="BM144" i="19"/>
  <c r="BM103" i="19"/>
  <c r="BM769" i="19"/>
  <c r="BM658" i="19"/>
  <c r="BM402" i="19"/>
  <c r="BM336" i="19"/>
  <c r="BM286" i="19"/>
  <c r="BM263" i="19"/>
  <c r="BM210" i="19"/>
  <c r="BM156" i="19"/>
  <c r="BM143" i="19"/>
  <c r="BM763" i="19"/>
  <c r="BM703" i="19"/>
  <c r="BM631" i="19"/>
  <c r="BM408" i="19"/>
  <c r="BM174" i="19"/>
  <c r="BM745" i="19"/>
  <c r="BM369" i="19"/>
  <c r="BM255" i="19"/>
  <c r="BM163" i="19"/>
  <c r="BM253" i="19"/>
  <c r="BM728" i="19"/>
  <c r="BM359" i="19"/>
  <c r="BM426" i="19"/>
  <c r="BM299" i="19"/>
  <c r="BM197" i="19"/>
  <c r="BM77" i="19"/>
  <c r="BM540" i="19"/>
  <c r="BM412" i="19"/>
  <c r="BM295" i="19"/>
  <c r="R126" i="19"/>
  <c r="R576" i="19"/>
  <c r="R729" i="19"/>
  <c r="R731" i="19"/>
  <c r="R751" i="19"/>
  <c r="C696" i="19"/>
  <c r="C497" i="19"/>
  <c r="C499" i="19"/>
  <c r="C502" i="19"/>
  <c r="C596" i="19"/>
  <c r="AW32" i="19"/>
  <c r="AW64" i="19"/>
  <c r="AW555" i="19"/>
  <c r="AW686" i="19"/>
  <c r="AW5" i="19"/>
  <c r="AW17" i="19"/>
  <c r="AW704" i="19"/>
  <c r="AW50" i="19"/>
  <c r="AW117" i="19"/>
  <c r="AW298" i="19"/>
  <c r="AW381" i="19"/>
  <c r="AW419" i="19"/>
  <c r="AW175" i="19"/>
  <c r="AW759" i="19"/>
  <c r="AW43" i="19"/>
  <c r="AW342" i="19"/>
  <c r="AW760" i="19"/>
  <c r="AW68" i="19"/>
  <c r="AW530" i="19"/>
  <c r="AW613" i="19"/>
  <c r="AW493" i="19"/>
  <c r="AW741" i="19"/>
  <c r="AW178" i="19"/>
  <c r="AW526" i="19"/>
  <c r="AW183" i="19"/>
  <c r="AW418" i="19"/>
  <c r="AW711" i="19"/>
  <c r="AW771" i="19"/>
  <c r="AW249" i="19"/>
  <c r="AW9" i="19"/>
  <c r="AW251" i="19"/>
  <c r="AW311" i="19"/>
  <c r="AW371" i="19"/>
  <c r="AW431" i="19"/>
  <c r="AW564" i="19"/>
  <c r="AW624" i="19"/>
  <c r="AW681" i="19"/>
  <c r="AW565" i="19"/>
  <c r="AW567" i="19"/>
  <c r="AW515" i="19"/>
  <c r="AW223" i="19"/>
  <c r="AW692" i="19"/>
  <c r="AW752" i="19"/>
  <c r="AW290" i="19"/>
  <c r="AW496" i="19"/>
  <c r="AW205" i="19"/>
  <c r="AW379" i="19"/>
  <c r="AW77" i="19"/>
  <c r="AW15" i="19"/>
  <c r="AW615" i="19"/>
  <c r="R455" i="19"/>
  <c r="AW744" i="19"/>
  <c r="AW436" i="19"/>
  <c r="AW352" i="19"/>
  <c r="AW212" i="19"/>
  <c r="AW758" i="19"/>
  <c r="AW730" i="19"/>
  <c r="AW674" i="19"/>
  <c r="AW308" i="19"/>
  <c r="AW280" i="19"/>
  <c r="AW196" i="19"/>
  <c r="AW56" i="19"/>
  <c r="AG107" i="19"/>
  <c r="AG609" i="19"/>
  <c r="AG610" i="19"/>
  <c r="AG325" i="19"/>
  <c r="AG329" i="19"/>
  <c r="AG484" i="19"/>
  <c r="AG579" i="19"/>
  <c r="AG581" i="19"/>
  <c r="AG582" i="19"/>
  <c r="AG583" i="19"/>
  <c r="R6" i="19"/>
  <c r="R273" i="19"/>
  <c r="R777" i="19"/>
  <c r="R348" i="19"/>
  <c r="R764" i="19"/>
  <c r="R243" i="19"/>
  <c r="AG613" i="19"/>
  <c r="AG611" i="19"/>
  <c r="AG323" i="19"/>
  <c r="AG320" i="19"/>
  <c r="AG318" i="19"/>
  <c r="AG316" i="19"/>
  <c r="AG268" i="19"/>
  <c r="R627" i="19"/>
  <c r="R59" i="19"/>
  <c r="AG261" i="19"/>
  <c r="AG535" i="19"/>
  <c r="AG260" i="19"/>
  <c r="AG533" i="19"/>
  <c r="AG259" i="19"/>
  <c r="R735" i="19"/>
  <c r="AG486" i="19"/>
  <c r="AG222" i="19"/>
  <c r="R538" i="19"/>
  <c r="R445" i="19"/>
  <c r="AG485" i="19"/>
  <c r="AG219" i="19"/>
  <c r="R42" i="19"/>
  <c r="R317" i="19"/>
  <c r="R350" i="19"/>
  <c r="R387" i="19"/>
  <c r="R149" i="19"/>
  <c r="R219" i="19"/>
  <c r="R86" i="19"/>
  <c r="R119" i="19"/>
  <c r="R152" i="19"/>
  <c r="R699" i="19"/>
  <c r="R766" i="19"/>
  <c r="R123" i="19"/>
  <c r="R159" i="19"/>
  <c r="R227" i="19"/>
  <c r="R363" i="19"/>
  <c r="R430" i="19"/>
  <c r="R303" i="19"/>
  <c r="R609" i="19"/>
  <c r="R643" i="19"/>
  <c r="R677" i="19"/>
  <c r="R744" i="19"/>
  <c r="R652" i="19"/>
  <c r="R698" i="19"/>
  <c r="R742" i="19"/>
  <c r="R39" i="19"/>
  <c r="R138" i="19"/>
  <c r="R40" i="19"/>
  <c r="R92" i="19"/>
  <c r="R654" i="19"/>
  <c r="R703" i="19"/>
  <c r="R191" i="19"/>
  <c r="R719" i="19"/>
  <c r="R528" i="19"/>
  <c r="R581" i="19"/>
  <c r="R310" i="19"/>
  <c r="R585" i="19"/>
  <c r="R76" i="19"/>
  <c r="R367" i="19"/>
  <c r="R418" i="19"/>
  <c r="R685" i="19"/>
  <c r="R83" i="19"/>
  <c r="R261" i="19"/>
  <c r="R145" i="19"/>
  <c r="R263" i="19"/>
  <c r="R648" i="19"/>
  <c r="R755" i="19"/>
  <c r="R378" i="19"/>
  <c r="R544" i="19"/>
  <c r="R151" i="19"/>
  <c r="R208" i="19"/>
  <c r="R271" i="19"/>
  <c r="R441" i="19"/>
  <c r="R614" i="19"/>
  <c r="R769" i="19"/>
  <c r="R398" i="19"/>
  <c r="R506" i="19"/>
  <c r="AG481" i="19"/>
  <c r="AG189" i="19"/>
  <c r="R727" i="19"/>
  <c r="R624" i="19"/>
  <c r="C542" i="19"/>
  <c r="C459" i="19"/>
  <c r="C630" i="19"/>
  <c r="C672" i="19"/>
  <c r="C372" i="19"/>
  <c r="C551" i="19"/>
  <c r="C452" i="19"/>
  <c r="C719" i="19"/>
  <c r="C767" i="19"/>
  <c r="C21" i="19"/>
  <c r="C23" i="19"/>
  <c r="C255" i="19"/>
  <c r="C775" i="19"/>
  <c r="C52" i="19"/>
  <c r="C362" i="19"/>
  <c r="C429" i="19"/>
  <c r="AG477" i="19"/>
  <c r="AG187" i="19"/>
  <c r="C569" i="19"/>
  <c r="C444" i="19"/>
  <c r="R725" i="19"/>
  <c r="R622" i="19"/>
  <c r="AG773" i="19"/>
  <c r="AG471" i="19"/>
  <c r="AG176" i="19"/>
  <c r="AG750" i="19"/>
  <c r="AG470" i="19"/>
  <c r="AG175" i="19"/>
  <c r="R723" i="19"/>
  <c r="R202" i="19"/>
  <c r="R103" i="19"/>
  <c r="AG740" i="19"/>
  <c r="AG460" i="19"/>
  <c r="AG174" i="19"/>
  <c r="AG734" i="19"/>
  <c r="AG452" i="19"/>
  <c r="AG167" i="19"/>
  <c r="R713" i="19"/>
  <c r="R618" i="19"/>
  <c r="R406" i="19"/>
  <c r="AG725" i="19"/>
  <c r="AG430" i="19"/>
  <c r="AG147" i="19"/>
  <c r="AG719" i="19"/>
  <c r="AG429" i="19"/>
  <c r="AG144" i="19"/>
  <c r="R709" i="19"/>
  <c r="AG689" i="19"/>
  <c r="AG428" i="19"/>
  <c r="AG143" i="19"/>
  <c r="AG218" i="19"/>
  <c r="AG684" i="19"/>
  <c r="AG427" i="19"/>
  <c r="AG115" i="19"/>
  <c r="R691" i="19"/>
  <c r="R601" i="19"/>
  <c r="R502" i="19"/>
  <c r="R400" i="19"/>
  <c r="AG113" i="19"/>
  <c r="AG647" i="19"/>
  <c r="AG365" i="19"/>
  <c r="AG109" i="19"/>
  <c r="AG665" i="19"/>
  <c r="C521" i="19"/>
  <c r="C416" i="19"/>
  <c r="C305" i="19"/>
  <c r="AG628" i="19"/>
  <c r="AG348" i="19"/>
  <c r="AG9" i="19"/>
  <c r="AG110" i="19"/>
  <c r="AG191" i="19"/>
  <c r="AG278" i="19"/>
  <c r="AG368" i="19"/>
  <c r="AG455" i="19"/>
  <c r="AG537" i="19"/>
  <c r="AG631" i="19"/>
  <c r="AG716" i="19"/>
  <c r="AG16" i="19"/>
  <c r="AG111" i="19"/>
  <c r="AG197" i="19"/>
  <c r="AG282" i="19"/>
  <c r="AG369" i="19"/>
  <c r="AG458" i="19"/>
  <c r="AG538" i="19"/>
  <c r="AG635" i="19"/>
  <c r="AG717" i="19"/>
  <c r="AG33" i="19"/>
  <c r="AG114" i="19"/>
  <c r="AG212" i="19"/>
  <c r="AG290" i="19"/>
  <c r="AG376" i="19"/>
  <c r="AG465" i="19"/>
  <c r="AG540" i="19"/>
  <c r="AG639" i="19"/>
  <c r="AG720" i="19"/>
  <c r="AG36" i="19"/>
  <c r="AG118" i="19"/>
  <c r="AG216" i="19"/>
  <c r="AG297" i="19"/>
  <c r="AG381" i="19"/>
  <c r="AG474" i="19"/>
  <c r="AG559" i="19"/>
  <c r="AG643" i="19"/>
  <c r="AG735" i="19"/>
  <c r="AG40" i="19"/>
  <c r="AG119" i="19"/>
  <c r="AG217" i="19"/>
  <c r="AG299" i="19"/>
  <c r="AG385" i="19"/>
  <c r="AG475" i="19"/>
  <c r="AG563" i="19"/>
  <c r="AG645" i="19"/>
  <c r="AG736" i="19"/>
  <c r="AG57" i="19"/>
  <c r="AG142" i="19"/>
  <c r="AG221" i="19"/>
  <c r="AG317" i="19"/>
  <c r="AG398" i="19"/>
  <c r="AG483" i="19"/>
  <c r="AG576" i="19"/>
  <c r="AG663" i="19"/>
  <c r="AG747" i="19"/>
  <c r="AG68" i="19"/>
  <c r="AG161" i="19"/>
  <c r="AG247" i="19"/>
  <c r="AG327" i="19"/>
  <c r="AG424" i="19"/>
  <c r="AG505" i="19"/>
  <c r="AG589" i="19"/>
  <c r="AG680" i="19"/>
  <c r="AG765" i="19"/>
  <c r="AG71" i="19"/>
  <c r="AG163" i="19"/>
  <c r="AG249" i="19"/>
  <c r="AG328" i="19"/>
  <c r="AG425" i="19"/>
  <c r="AG506" i="19"/>
  <c r="AG591" i="19"/>
  <c r="AG681" i="19"/>
  <c r="AG768" i="19"/>
  <c r="AG32" i="19"/>
  <c r="AG155" i="19"/>
  <c r="AG271" i="19"/>
  <c r="AG397" i="19"/>
  <c r="AG516" i="19"/>
  <c r="AG638" i="19"/>
  <c r="AG751" i="19"/>
  <c r="AG165" i="19"/>
  <c r="AG34" i="19"/>
  <c r="AG156" i="19"/>
  <c r="AG272" i="19"/>
  <c r="AG399" i="19"/>
  <c r="AG524" i="19"/>
  <c r="AG641" i="19"/>
  <c r="AG753" i="19"/>
  <c r="AG35" i="19"/>
  <c r="AG273" i="19"/>
  <c r="AG401" i="19"/>
  <c r="AG527" i="19"/>
  <c r="AG642" i="19"/>
  <c r="AG771" i="19"/>
  <c r="AG49" i="19"/>
  <c r="AG274" i="19"/>
  <c r="AG402" i="19"/>
  <c r="AG531" i="19"/>
  <c r="AG646" i="19"/>
  <c r="AG772" i="19"/>
  <c r="AG166" i="19"/>
  <c r="AG58" i="19"/>
  <c r="AG171" i="19"/>
  <c r="AG292" i="19"/>
  <c r="AG421" i="19"/>
  <c r="AG534" i="19"/>
  <c r="AG664" i="19"/>
  <c r="AG5" i="19"/>
  <c r="AG83" i="19"/>
  <c r="AG201" i="19"/>
  <c r="AG324" i="19"/>
  <c r="AG435" i="19"/>
  <c r="AG569" i="19"/>
  <c r="AG688" i="19"/>
  <c r="AG54" i="19"/>
  <c r="AG190" i="19"/>
  <c r="AG353" i="19"/>
  <c r="AG492" i="19"/>
  <c r="AG666" i="19"/>
  <c r="AG215" i="19"/>
  <c r="AG356" i="19"/>
  <c r="AG507" i="19"/>
  <c r="AG676" i="19"/>
  <c r="AG63" i="19"/>
  <c r="AG359" i="19"/>
  <c r="AG509" i="19"/>
  <c r="AG682" i="19"/>
  <c r="AG59" i="19"/>
  <c r="AG213" i="19"/>
  <c r="AG355" i="19"/>
  <c r="AG503" i="19"/>
  <c r="AG670" i="19"/>
  <c r="AG60" i="19"/>
  <c r="AG82" i="19"/>
  <c r="AG225" i="19"/>
  <c r="AG373" i="19"/>
  <c r="AG536" i="19"/>
  <c r="AG691" i="19"/>
  <c r="AG85" i="19"/>
  <c r="AG226" i="19"/>
  <c r="AG379" i="19"/>
  <c r="AG539" i="19"/>
  <c r="AG695" i="19"/>
  <c r="AG89" i="19"/>
  <c r="AG243" i="19"/>
  <c r="AG380" i="19"/>
  <c r="AG557" i="19"/>
  <c r="AG698" i="19"/>
  <c r="AG91" i="19"/>
  <c r="AG246" i="19"/>
  <c r="AG389" i="19"/>
  <c r="AG558" i="19"/>
  <c r="AG699" i="19"/>
  <c r="AG94" i="19"/>
  <c r="AG250" i="19"/>
  <c r="AG413" i="19"/>
  <c r="AG566" i="19"/>
  <c r="AG701" i="19"/>
  <c r="AG106" i="19"/>
  <c r="AG254" i="19"/>
  <c r="AG426" i="19"/>
  <c r="AG577" i="19"/>
  <c r="AG715" i="19"/>
  <c r="AG117" i="19"/>
  <c r="AG283" i="19"/>
  <c r="AG432" i="19"/>
  <c r="AG592" i="19"/>
  <c r="AG745" i="19"/>
  <c r="AG139" i="19"/>
  <c r="AG296" i="19"/>
  <c r="AG436" i="19"/>
  <c r="AG593" i="19"/>
  <c r="AG748" i="19"/>
  <c r="AG141" i="19"/>
  <c r="AG307" i="19"/>
  <c r="AG451" i="19"/>
  <c r="AG594" i="19"/>
  <c r="AG749" i="19"/>
  <c r="AG367" i="19"/>
  <c r="C730" i="19"/>
  <c r="C292" i="19"/>
  <c r="AG619" i="19"/>
  <c r="AG344" i="19"/>
  <c r="AG72" i="19"/>
  <c r="R275" i="19"/>
  <c r="AG614" i="19"/>
  <c r="AG331" i="19"/>
  <c r="AG66" i="19"/>
  <c r="AG11" i="19"/>
  <c r="AG39" i="19"/>
  <c r="AG67" i="19"/>
  <c r="AG95" i="19"/>
  <c r="AG123" i="19"/>
  <c r="AG151" i="19"/>
  <c r="AG179" i="19"/>
  <c r="AG207" i="19"/>
  <c r="AG235" i="19"/>
  <c r="AG263" i="19"/>
  <c r="AG291" i="19"/>
  <c r="AG319" i="19"/>
  <c r="AG347" i="19"/>
  <c r="AG375" i="19"/>
  <c r="AG403" i="19"/>
  <c r="AG431" i="19"/>
  <c r="AG459" i="19"/>
  <c r="AG487" i="19"/>
  <c r="AG515" i="19"/>
  <c r="AG543" i="19"/>
  <c r="AG571" i="19"/>
  <c r="AG599" i="19"/>
  <c r="AG627" i="19"/>
  <c r="AG655" i="19"/>
  <c r="AG683" i="19"/>
  <c r="AG711" i="19"/>
  <c r="AG739" i="19"/>
  <c r="AG767" i="19"/>
  <c r="AG13" i="19"/>
  <c r="AG41" i="19"/>
  <c r="AG69" i="19"/>
  <c r="AG97" i="19"/>
  <c r="AG125" i="19"/>
  <c r="AG153" i="19"/>
  <c r="AG181" i="19"/>
  <c r="AG209" i="19"/>
  <c r="AG237" i="19"/>
  <c r="AG265" i="19"/>
  <c r="AG293" i="19"/>
  <c r="AG321" i="19"/>
  <c r="AG349" i="19"/>
  <c r="AG377" i="19"/>
  <c r="AG405" i="19"/>
  <c r="AG433" i="19"/>
  <c r="AG461" i="19"/>
  <c r="AG489" i="19"/>
  <c r="AG517" i="19"/>
  <c r="AG545" i="19"/>
  <c r="AG573" i="19"/>
  <c r="AG601" i="19"/>
  <c r="AG629" i="19"/>
  <c r="AG657" i="19"/>
  <c r="AG685" i="19"/>
  <c r="AG713" i="19"/>
  <c r="AG741" i="19"/>
  <c r="AG769" i="19"/>
  <c r="AG14" i="19"/>
  <c r="AG42" i="19"/>
  <c r="AG70" i="19"/>
  <c r="AG98" i="19"/>
  <c r="AG126" i="19"/>
  <c r="AG154" i="19"/>
  <c r="AG182" i="19"/>
  <c r="AG210" i="19"/>
  <c r="AG238" i="19"/>
  <c r="AG266" i="19"/>
  <c r="AG294" i="19"/>
  <c r="AG322" i="19"/>
  <c r="AG350" i="19"/>
  <c r="AG378" i="19"/>
  <c r="AG406" i="19"/>
  <c r="AG434" i="19"/>
  <c r="AG462" i="19"/>
  <c r="AG490" i="19"/>
  <c r="AG518" i="19"/>
  <c r="AG546" i="19"/>
  <c r="AG574" i="19"/>
  <c r="AG602" i="19"/>
  <c r="AG630" i="19"/>
  <c r="AG658" i="19"/>
  <c r="AG686" i="19"/>
  <c r="AG714" i="19"/>
  <c r="AG742" i="19"/>
  <c r="AG770" i="19"/>
  <c r="AG18" i="19"/>
  <c r="AG46" i="19"/>
  <c r="AG74" i="19"/>
  <c r="AG102" i="19"/>
  <c r="AG130" i="19"/>
  <c r="AG158" i="19"/>
  <c r="AG186" i="19"/>
  <c r="AG214" i="19"/>
  <c r="AG242" i="19"/>
  <c r="AG270" i="19"/>
  <c r="AG298" i="19"/>
  <c r="AG326" i="19"/>
  <c r="AG354" i="19"/>
  <c r="AG382" i="19"/>
  <c r="AG410" i="19"/>
  <c r="AG438" i="19"/>
  <c r="AG466" i="19"/>
  <c r="AG494" i="19"/>
  <c r="AG522" i="19"/>
  <c r="AG550" i="19"/>
  <c r="AG578" i="19"/>
  <c r="AG606" i="19"/>
  <c r="AG634" i="19"/>
  <c r="AG662" i="19"/>
  <c r="AG690" i="19"/>
  <c r="AG718" i="19"/>
  <c r="AG746" i="19"/>
  <c r="AG774" i="19"/>
  <c r="AG19" i="19"/>
  <c r="AG47" i="19"/>
  <c r="AG24" i="19"/>
  <c r="AG52" i="19"/>
  <c r="AG80" i="19"/>
  <c r="AG108" i="19"/>
  <c r="AG136" i="19"/>
  <c r="AG164" i="19"/>
  <c r="AG192" i="19"/>
  <c r="AG220" i="19"/>
  <c r="AG248" i="19"/>
  <c r="AG276" i="19"/>
  <c r="AG304" i="19"/>
  <c r="AG332" i="19"/>
  <c r="AG360" i="19"/>
  <c r="AG388" i="19"/>
  <c r="AG416" i="19"/>
  <c r="AG444" i="19"/>
  <c r="AG472" i="19"/>
  <c r="AG500" i="19"/>
  <c r="AG528" i="19"/>
  <c r="AG556" i="19"/>
  <c r="AG584" i="19"/>
  <c r="AG612" i="19"/>
  <c r="AG640" i="19"/>
  <c r="AG668" i="19"/>
  <c r="AG696" i="19"/>
  <c r="AG724" i="19"/>
  <c r="AG752" i="19"/>
  <c r="AG780" i="19"/>
  <c r="AG28" i="19"/>
  <c r="AG56" i="19"/>
  <c r="AG84" i="19"/>
  <c r="AG112" i="19"/>
  <c r="AG140" i="19"/>
  <c r="AG168" i="19"/>
  <c r="AG196" i="19"/>
  <c r="AG224" i="19"/>
  <c r="AG252" i="19"/>
  <c r="AG280" i="19"/>
  <c r="AG308" i="19"/>
  <c r="AG336" i="19"/>
  <c r="AG364" i="19"/>
  <c r="AG392" i="19"/>
  <c r="AG420" i="19"/>
  <c r="AG448" i="19"/>
  <c r="AG476" i="19"/>
  <c r="AG504" i="19"/>
  <c r="AG532" i="19"/>
  <c r="AG560" i="19"/>
  <c r="AG588" i="19"/>
  <c r="AG616" i="19"/>
  <c r="AG644" i="19"/>
  <c r="AG672" i="19"/>
  <c r="AG700" i="19"/>
  <c r="AG728" i="19"/>
  <c r="AG756" i="19"/>
  <c r="AG6" i="19"/>
  <c r="AG44" i="19"/>
  <c r="AG81" i="19"/>
  <c r="AG116" i="19"/>
  <c r="AG150" i="19"/>
  <c r="AG188" i="19"/>
  <c r="AG223" i="19"/>
  <c r="AG258" i="19"/>
  <c r="AG295" i="19"/>
  <c r="AG330" i="19"/>
  <c r="AG366" i="19"/>
  <c r="AG400" i="19"/>
  <c r="AG437" i="19"/>
  <c r="AG473" i="19"/>
  <c r="AG508" i="19"/>
  <c r="AG542" i="19"/>
  <c r="AG580" i="19"/>
  <c r="AG615" i="19"/>
  <c r="AG650" i="19"/>
  <c r="AG687" i="19"/>
  <c r="AG722" i="19"/>
  <c r="AG758" i="19"/>
  <c r="AG7" i="19"/>
  <c r="AG8" i="19"/>
  <c r="AG10" i="19"/>
  <c r="AG50" i="19"/>
  <c r="AG86" i="19"/>
  <c r="AG120" i="19"/>
  <c r="AG157" i="19"/>
  <c r="AG193" i="19"/>
  <c r="AG228" i="19"/>
  <c r="AG262" i="19"/>
  <c r="AG300" i="19"/>
  <c r="AG335" i="19"/>
  <c r="AG370" i="19"/>
  <c r="AG407" i="19"/>
  <c r="AG442" i="19"/>
  <c r="AG478" i="19"/>
  <c r="AG512" i="19"/>
  <c r="AG549" i="19"/>
  <c r="AG585" i="19"/>
  <c r="AG620" i="19"/>
  <c r="AG654" i="19"/>
  <c r="AG692" i="19"/>
  <c r="AG727" i="19"/>
  <c r="AG762" i="19"/>
  <c r="AG12" i="19"/>
  <c r="AG51" i="19"/>
  <c r="AG87" i="19"/>
  <c r="AG121" i="19"/>
  <c r="AG159" i="19"/>
  <c r="AG194" i="19"/>
  <c r="AG229" i="19"/>
  <c r="AG264" i="19"/>
  <c r="AG301" i="19"/>
  <c r="AG337" i="19"/>
  <c r="AG371" i="19"/>
  <c r="AG408" i="19"/>
  <c r="AG443" i="19"/>
  <c r="AG479" i="19"/>
  <c r="AG513" i="19"/>
  <c r="AG551" i="19"/>
  <c r="AG586" i="19"/>
  <c r="AG621" i="19"/>
  <c r="AG656" i="19"/>
  <c r="AG693" i="19"/>
  <c r="AG729" i="19"/>
  <c r="AG763" i="19"/>
  <c r="AG15" i="19"/>
  <c r="AG53" i="19"/>
  <c r="AG88" i="19"/>
  <c r="AG122" i="19"/>
  <c r="AG160" i="19"/>
  <c r="AG195" i="19"/>
  <c r="AG230" i="19"/>
  <c r="AG267" i="19"/>
  <c r="AG302" i="19"/>
  <c r="AG338" i="19"/>
  <c r="AG372" i="19"/>
  <c r="AG409" i="19"/>
  <c r="AG445" i="19"/>
  <c r="AG480" i="19"/>
  <c r="AG514" i="19"/>
  <c r="AG552" i="19"/>
  <c r="AG587" i="19"/>
  <c r="AG622" i="19"/>
  <c r="AG659" i="19"/>
  <c r="AG694" i="19"/>
  <c r="AG730" i="19"/>
  <c r="AG764" i="19"/>
  <c r="AG17" i="19"/>
  <c r="AG55" i="19"/>
  <c r="AG90" i="19"/>
  <c r="AG127" i="19"/>
  <c r="AG162" i="19"/>
  <c r="AG198" i="19"/>
  <c r="AG232" i="19"/>
  <c r="AG269" i="19"/>
  <c r="AG305" i="19"/>
  <c r="AG340" i="19"/>
  <c r="AG374" i="19"/>
  <c r="AG412" i="19"/>
  <c r="AG447" i="19"/>
  <c r="AG482" i="19"/>
  <c r="AG519" i="19"/>
  <c r="AG554" i="19"/>
  <c r="AG590" i="19"/>
  <c r="AG624" i="19"/>
  <c r="AG661" i="19"/>
  <c r="AG697" i="19"/>
  <c r="AG732" i="19"/>
  <c r="AG766" i="19"/>
  <c r="AG25" i="19"/>
  <c r="AG61" i="19"/>
  <c r="AG96" i="19"/>
  <c r="AG133" i="19"/>
  <c r="AG169" i="19"/>
  <c r="AG203" i="19"/>
  <c r="AG240" i="19"/>
  <c r="AG275" i="19"/>
  <c r="AG311" i="19"/>
  <c r="AG345" i="19"/>
  <c r="AG383" i="19"/>
  <c r="AG418" i="19"/>
  <c r="AG453" i="19"/>
  <c r="AG488" i="19"/>
  <c r="AG525" i="19"/>
  <c r="AG561" i="19"/>
  <c r="AG595" i="19"/>
  <c r="AG632" i="19"/>
  <c r="AG667" i="19"/>
  <c r="AG703" i="19"/>
  <c r="AG737" i="19"/>
  <c r="AG775" i="19"/>
  <c r="AG26" i="19"/>
  <c r="AG62" i="19"/>
  <c r="AG99" i="19"/>
  <c r="AG134" i="19"/>
  <c r="AG170" i="19"/>
  <c r="AG204" i="19"/>
  <c r="AG241" i="19"/>
  <c r="AG277" i="19"/>
  <c r="AG312" i="19"/>
  <c r="AG346" i="19"/>
  <c r="AG384" i="19"/>
  <c r="AG419" i="19"/>
  <c r="AG454" i="19"/>
  <c r="AG491" i="19"/>
  <c r="AG526" i="19"/>
  <c r="AG562" i="19"/>
  <c r="AG596" i="19"/>
  <c r="AG633" i="19"/>
  <c r="AG669" i="19"/>
  <c r="AG704" i="19"/>
  <c r="AG738" i="19"/>
  <c r="AG776" i="19"/>
  <c r="AG29" i="19"/>
  <c r="AG64" i="19"/>
  <c r="AG101" i="19"/>
  <c r="AG137" i="19"/>
  <c r="AG172" i="19"/>
  <c r="AG206" i="19"/>
  <c r="AG244" i="19"/>
  <c r="AG279" i="19"/>
  <c r="AG314" i="19"/>
  <c r="AG351" i="19"/>
  <c r="AG386" i="19"/>
  <c r="AG422" i="19"/>
  <c r="AG456" i="19"/>
  <c r="AG493" i="19"/>
  <c r="AG529" i="19"/>
  <c r="AG564" i="19"/>
  <c r="AG598" i="19"/>
  <c r="AG636" i="19"/>
  <c r="AG671" i="19"/>
  <c r="AG706" i="19"/>
  <c r="AG743" i="19"/>
  <c r="AG778" i="19"/>
  <c r="AG30" i="19"/>
  <c r="AG65" i="19"/>
  <c r="AG103" i="19"/>
  <c r="AG138" i="19"/>
  <c r="AG173" i="19"/>
  <c r="AG208" i="19"/>
  <c r="AG245" i="19"/>
  <c r="AG281" i="19"/>
  <c r="AG315" i="19"/>
  <c r="AG352" i="19"/>
  <c r="AG387" i="19"/>
  <c r="AG423" i="19"/>
  <c r="AG457" i="19"/>
  <c r="AG495" i="19"/>
  <c r="AG530" i="19"/>
  <c r="AG565" i="19"/>
  <c r="AG600" i="19"/>
  <c r="AG637" i="19"/>
  <c r="AG673" i="19"/>
  <c r="AG707" i="19"/>
  <c r="AG744" i="19"/>
  <c r="AG779" i="19"/>
  <c r="AG733" i="19"/>
  <c r="AG679" i="19"/>
  <c r="AG626" i="19"/>
  <c r="AG575" i="19"/>
  <c r="AG523" i="19"/>
  <c r="AG469" i="19"/>
  <c r="AG417" i="19"/>
  <c r="AG363" i="19"/>
  <c r="AG313" i="19"/>
  <c r="AG257" i="19"/>
  <c r="AG211" i="19"/>
  <c r="AG152" i="19"/>
  <c r="AG105" i="19"/>
  <c r="AG48" i="19"/>
  <c r="AG731" i="19"/>
  <c r="AG678" i="19"/>
  <c r="AG625" i="19"/>
  <c r="AG572" i="19"/>
  <c r="AG521" i="19"/>
  <c r="AG468" i="19"/>
  <c r="AG415" i="19"/>
  <c r="AG362" i="19"/>
  <c r="AG310" i="19"/>
  <c r="AG256" i="19"/>
  <c r="AG205" i="19"/>
  <c r="AG149" i="19"/>
  <c r="AG104" i="19"/>
  <c r="AG45" i="19"/>
  <c r="C171" i="19"/>
  <c r="C200" i="19"/>
  <c r="C316" i="19"/>
  <c r="C345" i="19"/>
  <c r="C5" i="19"/>
  <c r="C675" i="19"/>
  <c r="C703" i="19"/>
  <c r="C22" i="19"/>
  <c r="C161" i="19"/>
  <c r="C194" i="19"/>
  <c r="C449" i="19"/>
  <c r="C482" i="19"/>
  <c r="AG726" i="19"/>
  <c r="AG677" i="19"/>
  <c r="AG623" i="19"/>
  <c r="AG570" i="19"/>
  <c r="AG520" i="19"/>
  <c r="AG467" i="19"/>
  <c r="AG414" i="19"/>
  <c r="AG361" i="19"/>
  <c r="AG309" i="19"/>
  <c r="AG255" i="19"/>
  <c r="AG202" i="19"/>
  <c r="AG148" i="19"/>
  <c r="AG100" i="19"/>
  <c r="AG43" i="19"/>
  <c r="AG781" i="19"/>
  <c r="AG723" i="19"/>
  <c r="AG675" i="19"/>
  <c r="AG618" i="19"/>
  <c r="AG568" i="19"/>
  <c r="AG511" i="19"/>
  <c r="AG464" i="19"/>
  <c r="AG411" i="19"/>
  <c r="AG358" i="19"/>
  <c r="AG306" i="19"/>
  <c r="AG253" i="19"/>
  <c r="AG200" i="19"/>
  <c r="AG146" i="19"/>
  <c r="AG93" i="19"/>
  <c r="AG38" i="19"/>
  <c r="C53" i="19"/>
  <c r="C12" i="19"/>
  <c r="AG777" i="19"/>
  <c r="AG721" i="19"/>
  <c r="AG674" i="19"/>
  <c r="AG617" i="19"/>
  <c r="AG567" i="19"/>
  <c r="AG510" i="19"/>
  <c r="AG463" i="19"/>
  <c r="AG404" i="19"/>
  <c r="AG357" i="19"/>
  <c r="AG303" i="19"/>
  <c r="AG251" i="19"/>
  <c r="AG199" i="19"/>
  <c r="AG145" i="19"/>
  <c r="AG92" i="19"/>
  <c r="AG37" i="19"/>
  <c r="AG761" i="19"/>
  <c r="AG712" i="19"/>
  <c r="AG660" i="19"/>
  <c r="AG608" i="19"/>
  <c r="AG555" i="19"/>
  <c r="AG502" i="19"/>
  <c r="AG450" i="19"/>
  <c r="AG396" i="19"/>
  <c r="AG343" i="19"/>
  <c r="AG289" i="19"/>
  <c r="AG239" i="19"/>
  <c r="AG185" i="19"/>
  <c r="AG135" i="19"/>
  <c r="AG79" i="19"/>
  <c r="AG31" i="19"/>
  <c r="AG760" i="19"/>
  <c r="AG710" i="19"/>
  <c r="AG653" i="19"/>
  <c r="AG607" i="19"/>
  <c r="AG553" i="19"/>
  <c r="AG501" i="19"/>
  <c r="AG449" i="19"/>
  <c r="AG395" i="19"/>
  <c r="AG342" i="19"/>
  <c r="AG288" i="19"/>
  <c r="AG236" i="19"/>
  <c r="AG184" i="19"/>
  <c r="AG132" i="19"/>
  <c r="AG78" i="19"/>
  <c r="AG27" i="19"/>
  <c r="AG759" i="19"/>
  <c r="AG709" i="19"/>
  <c r="AG652" i="19"/>
  <c r="AG605" i="19"/>
  <c r="AG548" i="19"/>
  <c r="AG499" i="19"/>
  <c r="AG446" i="19"/>
  <c r="AG394" i="19"/>
  <c r="AG341" i="19"/>
  <c r="AG287" i="19"/>
  <c r="AG234" i="19"/>
  <c r="AG183" i="19"/>
  <c r="AG131" i="19"/>
  <c r="AG23" i="19"/>
  <c r="AG757" i="19"/>
  <c r="AG708" i="19"/>
  <c r="AG651" i="19"/>
  <c r="AG604" i="19"/>
  <c r="AG547" i="19"/>
  <c r="AG498" i="19"/>
  <c r="AG441" i="19"/>
  <c r="AG393" i="19"/>
  <c r="AG339" i="19"/>
  <c r="AG286" i="19"/>
  <c r="AG233" i="19"/>
  <c r="AG180" i="19"/>
  <c r="AG129" i="19"/>
  <c r="AG76" i="19"/>
  <c r="AG22" i="19"/>
  <c r="AG77" i="19"/>
  <c r="AG755" i="19"/>
  <c r="AG705" i="19"/>
  <c r="AG649" i="19"/>
  <c r="AG603" i="19"/>
  <c r="AG544" i="19"/>
  <c r="AG497" i="19"/>
  <c r="AG440" i="19"/>
  <c r="AG391" i="19"/>
  <c r="AG334" i="19"/>
  <c r="AG285" i="19"/>
  <c r="AG231" i="19"/>
  <c r="AG178" i="19"/>
  <c r="AG128" i="19"/>
  <c r="AG75" i="19"/>
  <c r="AG21" i="19"/>
  <c r="C254" i="19"/>
  <c r="AG754" i="19"/>
  <c r="AG702" i="19"/>
  <c r="AG648" i="19"/>
  <c r="AG597" i="19"/>
  <c r="AG541" i="19"/>
  <c r="AG496" i="19"/>
  <c r="AG439" i="19"/>
  <c r="AG390" i="19"/>
  <c r="AG333" i="19"/>
  <c r="AG284" i="19"/>
  <c r="AG227" i="19"/>
  <c r="AG177" i="19"/>
  <c r="AG124" i="19"/>
  <c r="AG73" i="19"/>
  <c r="AG20" i="19"/>
  <c r="R588" i="19"/>
  <c r="R504" i="19"/>
  <c r="R224" i="19"/>
  <c r="R168" i="19"/>
  <c r="R140" i="19"/>
  <c r="R28" i="19"/>
  <c r="R78" i="19"/>
  <c r="R50" i="19"/>
  <c r="R22" i="19"/>
  <c r="R774" i="19"/>
  <c r="R718" i="19"/>
  <c r="R18" i="19"/>
  <c r="R549" i="19"/>
  <c r="R521" i="19"/>
  <c r="R493" i="19"/>
  <c r="R437" i="19"/>
  <c r="R575" i="19"/>
  <c r="R547" i="19"/>
  <c r="R519" i="19"/>
  <c r="R491" i="19"/>
  <c r="R351" i="19"/>
  <c r="R143" i="19"/>
  <c r="R676" i="19"/>
  <c r="R570" i="19"/>
  <c r="R5" i="19"/>
  <c r="R117" i="19"/>
  <c r="R180" i="19"/>
  <c r="R626" i="19"/>
  <c r="R19" i="19"/>
  <c r="R193" i="19"/>
  <c r="R574" i="19"/>
  <c r="R415" i="19"/>
  <c r="R480" i="19"/>
  <c r="R431" i="19"/>
  <c r="R433" i="19"/>
  <c r="R449" i="19"/>
  <c r="R305" i="19"/>
  <c r="R288" i="19"/>
  <c r="R62" i="19"/>
  <c r="R196" i="19"/>
  <c r="R186" i="19"/>
  <c r="R160" i="19"/>
  <c r="R245" i="19"/>
  <c r="R443" i="19"/>
  <c r="R553" i="19"/>
  <c r="R230" i="19"/>
  <c r="R222" i="19"/>
  <c r="R427" i="19"/>
  <c r="R636" i="19"/>
  <c r="R97" i="19"/>
  <c r="R332" i="19"/>
  <c r="R739" i="19"/>
  <c r="R754" i="19"/>
  <c r="R34" i="19"/>
  <c r="R107" i="19"/>
  <c r="R312" i="19"/>
  <c r="R481" i="19"/>
  <c r="R364" i="19"/>
  <c r="R330" i="19"/>
  <c r="R298" i="19"/>
  <c r="R239" i="19"/>
  <c r="R761" i="19"/>
  <c r="R115" i="19"/>
  <c r="R121" i="19"/>
  <c r="R349" i="19"/>
  <c r="R256" i="19"/>
  <c r="R133" i="19"/>
  <c r="R515" i="19"/>
  <c r="R376" i="19"/>
  <c r="R674" i="19"/>
  <c r="R417" i="19"/>
  <c r="R165" i="19"/>
  <c r="R226" i="19"/>
  <c r="R210" i="19"/>
  <c r="R503" i="19"/>
  <c r="R384" i="19"/>
  <c r="R241" i="19"/>
  <c r="R211" i="19"/>
  <c r="R571" i="19"/>
  <c r="R468" i="19"/>
  <c r="R385" i="19"/>
  <c r="R496" i="19"/>
  <c r="R704" i="19"/>
  <c r="R167" i="19"/>
  <c r="R663" i="19"/>
  <c r="R536" i="19"/>
  <c r="R421" i="19"/>
  <c r="R322" i="19"/>
  <c r="R630" i="19"/>
  <c r="R166" i="19"/>
  <c r="R424" i="19"/>
  <c r="R309" i="19"/>
  <c r="R432" i="19"/>
  <c r="R595" i="19"/>
  <c r="R759" i="19"/>
  <c r="R724" i="19"/>
  <c r="R386" i="19"/>
  <c r="R242" i="19"/>
  <c r="R129" i="19"/>
  <c r="R43" i="19"/>
  <c r="R675" i="19"/>
  <c r="R146" i="19"/>
  <c r="R454" i="19"/>
  <c r="R359" i="19"/>
  <c r="R667" i="19"/>
  <c r="R541" i="19"/>
  <c r="R135" i="19"/>
  <c r="R365" i="19"/>
  <c r="R484" i="19"/>
  <c r="R649" i="19"/>
  <c r="R342" i="19"/>
  <c r="R448" i="19"/>
  <c r="R358" i="19"/>
  <c r="R214" i="19"/>
  <c r="R101" i="19"/>
  <c r="R161" i="19"/>
  <c r="R487" i="19"/>
  <c r="R393" i="19"/>
  <c r="R701" i="19"/>
  <c r="R233" i="19"/>
  <c r="R516" i="19"/>
  <c r="R416" i="19"/>
  <c r="R542" i="19"/>
  <c r="R706" i="19"/>
  <c r="R221" i="19"/>
  <c r="R518" i="19"/>
  <c r="R274" i="19"/>
  <c r="R158" i="19"/>
  <c r="R73" i="19"/>
  <c r="R457" i="19"/>
  <c r="R244" i="19"/>
  <c r="R116" i="19"/>
  <c r="R426" i="19"/>
  <c r="R734" i="19"/>
  <c r="R266" i="19"/>
  <c r="R254" i="19"/>
  <c r="R757" i="19"/>
  <c r="R277" i="19"/>
  <c r="R752" i="19"/>
  <c r="R357" i="19"/>
  <c r="R556" i="19"/>
  <c r="R737" i="19"/>
  <c r="R440" i="19"/>
  <c r="R612" i="19"/>
  <c r="R444" i="19"/>
  <c r="R539" i="19"/>
  <c r="R509" i="19"/>
  <c r="R620" i="19"/>
  <c r="R296" i="19"/>
  <c r="R728" i="19"/>
  <c r="R382" i="19"/>
  <c r="R644" i="19"/>
  <c r="R768" i="19"/>
  <c r="R552" i="19"/>
  <c r="R446" i="19"/>
  <c r="R525" i="19"/>
  <c r="R474" i="19"/>
  <c r="R653" i="19"/>
  <c r="R488" i="19"/>
  <c r="R198" i="19"/>
  <c r="R207" i="19"/>
  <c r="R514" i="19"/>
  <c r="R177" i="19"/>
  <c r="R700" i="19"/>
  <c r="R526" i="19"/>
  <c r="R17" i="19"/>
  <c r="R343" i="19"/>
  <c r="R623" i="19"/>
  <c r="R559" i="19"/>
  <c r="R257" i="19"/>
  <c r="R645" i="19"/>
  <c r="R255" i="19"/>
  <c r="R646" i="19"/>
  <c r="R264" i="19"/>
  <c r="R651" i="19"/>
  <c r="R411" i="19"/>
  <c r="R672" i="19"/>
  <c r="R498" i="19"/>
  <c r="R326" i="19"/>
  <c r="R771" i="19"/>
  <c r="R695" i="19"/>
  <c r="R669" i="19"/>
  <c r="R579" i="19"/>
  <c r="R470" i="19"/>
  <c r="R130" i="19"/>
  <c r="R238" i="19"/>
  <c r="R593" i="19"/>
  <c r="R290" i="19"/>
  <c r="R63" i="19"/>
  <c r="R678" i="19"/>
  <c r="R220" i="19"/>
  <c r="R188" i="19"/>
  <c r="R260" i="19"/>
  <c r="R201" i="19"/>
  <c r="R279" i="19"/>
  <c r="R688" i="19"/>
  <c r="R557" i="19"/>
  <c r="R714" i="19"/>
  <c r="R405" i="19"/>
  <c r="R693" i="19"/>
  <c r="R414" i="19"/>
  <c r="R125" i="19"/>
  <c r="R776" i="19"/>
  <c r="R147" i="19"/>
  <c r="R329" i="19"/>
  <c r="R20" i="19"/>
  <c r="R178" i="19"/>
  <c r="R218" i="19"/>
  <c r="R58" i="19"/>
  <c r="R335" i="19"/>
  <c r="R459" i="19"/>
  <c r="R375" i="19"/>
  <c r="R14" i="19"/>
  <c r="R741" i="19"/>
  <c r="R88" i="19"/>
  <c r="R615" i="19"/>
  <c r="R68" i="19"/>
  <c r="R172" i="19"/>
  <c r="R246" i="19"/>
  <c r="R717" i="19"/>
  <c r="R495" i="19"/>
  <c r="R148" i="19"/>
  <c r="R513" i="19"/>
  <c r="R682" i="19"/>
  <c r="R756" i="19"/>
  <c r="R407" i="19"/>
  <c r="R360" i="19"/>
  <c r="R439" i="19"/>
  <c r="R374" i="19"/>
  <c r="R749" i="19"/>
  <c r="R314" i="19"/>
  <c r="R217" i="19"/>
  <c r="R192" i="19"/>
  <c r="R402" i="19"/>
  <c r="R589" i="19"/>
  <c r="R578" i="19"/>
  <c r="R249" i="19"/>
  <c r="R423" i="19"/>
  <c r="R394" i="19"/>
  <c r="R473" i="19"/>
  <c r="R41" i="19"/>
  <c r="R490" i="19"/>
  <c r="R716" i="19"/>
  <c r="R111" i="19"/>
  <c r="R412" i="19"/>
  <c r="R501" i="19"/>
  <c r="R213" i="19"/>
  <c r="R258" i="19"/>
  <c r="R240" i="19"/>
  <c r="R642" i="19"/>
  <c r="R529" i="19"/>
  <c r="R236" i="19"/>
  <c r="R535" i="19"/>
  <c r="R318" i="19"/>
  <c r="R497" i="19"/>
  <c r="R292" i="19"/>
  <c r="R267" i="19"/>
  <c r="R155" i="19"/>
  <c r="R272" i="19"/>
  <c r="R760" i="19"/>
  <c r="R11" i="19"/>
  <c r="R658" i="19"/>
  <c r="R10" i="19"/>
  <c r="R96" i="19"/>
  <c r="R251" i="19"/>
  <c r="R100" i="19"/>
  <c r="R44" i="19"/>
  <c r="R665" i="19"/>
  <c r="R608" i="19"/>
  <c r="R300" i="19"/>
  <c r="R555" i="19"/>
  <c r="R551" i="19"/>
  <c r="R726" i="19"/>
  <c r="R563" i="19"/>
  <c r="R567" i="19"/>
  <c r="R282" i="19"/>
  <c r="R340" i="19"/>
  <c r="R408" i="19"/>
  <c r="R175" i="19"/>
  <c r="R666" i="19"/>
  <c r="R447" i="19"/>
  <c r="R640" i="19"/>
  <c r="R395" i="19"/>
  <c r="R199" i="19"/>
  <c r="R638" i="19"/>
  <c r="R344" i="19"/>
  <c r="R72" i="19"/>
  <c r="R505" i="19"/>
  <c r="R605" i="19"/>
  <c r="R368" i="19"/>
  <c r="R594" i="19"/>
  <c r="R577" i="19"/>
  <c r="R36" i="19"/>
  <c r="R339" i="19"/>
  <c r="R319" i="19"/>
  <c r="R31" i="19"/>
  <c r="R483" i="19"/>
  <c r="R380" i="19"/>
  <c r="R720" i="19"/>
  <c r="R587" i="19"/>
  <c r="R662" i="19"/>
  <c r="R124" i="19"/>
  <c r="R229" i="19"/>
  <c r="R355" i="19"/>
  <c r="R23" i="19"/>
  <c r="R235" i="19"/>
  <c r="R492" i="19"/>
  <c r="R772" i="19"/>
  <c r="R499" i="19"/>
  <c r="R308" i="19"/>
  <c r="R659" i="19"/>
  <c r="R118" i="19"/>
  <c r="R456" i="19"/>
  <c r="R57" i="19"/>
  <c r="R304" i="19"/>
  <c r="R738" i="19"/>
  <c r="R545" i="19"/>
  <c r="R55" i="19"/>
  <c r="R390" i="19"/>
  <c r="R280" i="19"/>
  <c r="R606" i="19"/>
  <c r="R561" i="19"/>
  <c r="R660" i="19"/>
  <c r="R90" i="19"/>
  <c r="R338" i="19"/>
  <c r="R425" i="19"/>
  <c r="R21" i="19"/>
  <c r="R598" i="19"/>
  <c r="R110" i="19"/>
  <c r="R104" i="19"/>
  <c r="R65" i="19"/>
  <c r="R252" i="19"/>
  <c r="R522" i="19"/>
  <c r="R603" i="19"/>
  <c r="R134" i="19"/>
  <c r="R154" i="19"/>
  <c r="R637" i="19"/>
  <c r="R613" i="19"/>
  <c r="R573" i="19"/>
  <c r="R52" i="19"/>
  <c r="R732" i="19"/>
  <c r="R346" i="19"/>
  <c r="C757" i="19"/>
  <c r="C495" i="19"/>
  <c r="C610" i="19"/>
  <c r="C302" i="19"/>
  <c r="C176" i="19"/>
  <c r="C312" i="19"/>
  <c r="C652" i="19"/>
  <c r="C332" i="19"/>
  <c r="C607" i="19"/>
  <c r="C189" i="19"/>
  <c r="C307" i="19"/>
  <c r="C41" i="19"/>
  <c r="C418" i="19"/>
  <c r="C369" i="19"/>
  <c r="C453" i="19"/>
  <c r="C752" i="19"/>
  <c r="C564" i="19"/>
  <c r="C144" i="19"/>
  <c r="C487" i="19"/>
  <c r="C623" i="19"/>
  <c r="C507" i="19"/>
  <c r="C158" i="19"/>
  <c r="C95" i="19"/>
  <c r="C390" i="19"/>
  <c r="C392" i="19"/>
  <c r="C660" i="19"/>
  <c r="C424" i="19"/>
  <c r="C205" i="19"/>
  <c r="C160" i="19"/>
  <c r="C73" i="19"/>
  <c r="C554" i="19"/>
  <c r="C470" i="19"/>
  <c r="C19" i="19"/>
  <c r="C192" i="19"/>
  <c r="C747" i="19"/>
  <c r="C733" i="19"/>
  <c r="C413" i="19"/>
  <c r="C331" i="19"/>
  <c r="C546" i="19"/>
  <c r="C20" i="19"/>
  <c r="C582" i="19"/>
  <c r="C529" i="19"/>
  <c r="C162" i="19"/>
  <c r="C403" i="19"/>
  <c r="C609" i="19"/>
  <c r="C11" i="19"/>
  <c r="C432" i="19"/>
  <c r="C637" i="19"/>
  <c r="C39" i="19"/>
  <c r="C143" i="19"/>
  <c r="C716" i="19"/>
  <c r="C589" i="19"/>
  <c r="C277" i="19"/>
  <c r="C65" i="19"/>
  <c r="C177" i="19"/>
  <c r="C396" i="19"/>
  <c r="C735" i="19"/>
  <c r="C187" i="19"/>
  <c r="C50" i="19"/>
  <c r="C670" i="19"/>
  <c r="C688" i="19"/>
  <c r="C393" i="19"/>
  <c r="C772" i="19"/>
  <c r="C164" i="19"/>
  <c r="C229" i="19"/>
  <c r="C552" i="19"/>
  <c r="C301" i="19"/>
  <c r="C460" i="19"/>
  <c r="C724" i="19"/>
  <c r="C590" i="19"/>
  <c r="C49" i="19"/>
  <c r="C206" i="19"/>
  <c r="C765" i="19"/>
  <c r="C661" i="19"/>
  <c r="C106" i="19"/>
  <c r="C346" i="19"/>
  <c r="C219" i="19"/>
  <c r="C294" i="19"/>
  <c r="C612" i="19"/>
  <c r="C677" i="19"/>
  <c r="C717" i="19"/>
  <c r="C228" i="19"/>
  <c r="C643" i="19"/>
  <c r="C319" i="19"/>
  <c r="C272" i="19"/>
  <c r="C268" i="19"/>
  <c r="C624" i="19"/>
  <c r="C475" i="19"/>
  <c r="C415" i="19"/>
  <c r="C300" i="19"/>
  <c r="C389" i="19"/>
  <c r="C751" i="19"/>
  <c r="C9" i="19"/>
  <c r="C769" i="19"/>
  <c r="C6" i="19"/>
  <c r="C92" i="19"/>
  <c r="C118" i="19"/>
  <c r="C695" i="19"/>
  <c r="C588" i="19"/>
  <c r="C511" i="19"/>
  <c r="C510" i="19"/>
  <c r="C557" i="19"/>
  <c r="C309" i="19"/>
  <c r="C628" i="19"/>
  <c r="C662" i="19"/>
  <c r="C411" i="19"/>
  <c r="C423" i="19"/>
  <c r="C727" i="19"/>
  <c r="C640" i="19"/>
  <c r="C383" i="19"/>
  <c r="C570" i="19"/>
  <c r="C664" i="19"/>
  <c r="C115" i="19"/>
  <c r="C201" i="19"/>
  <c r="C679" i="19"/>
  <c r="R715" i="19"/>
  <c r="R162" i="19"/>
  <c r="C26" i="19"/>
  <c r="C541" i="19"/>
  <c r="R98" i="19"/>
  <c r="R584" i="19"/>
  <c r="R566" i="19"/>
  <c r="R540" i="19"/>
  <c r="R16" i="19"/>
  <c r="C240" i="19"/>
  <c r="R47" i="19"/>
  <c r="R157" i="19"/>
  <c r="R442" i="19"/>
  <c r="C197" i="19"/>
  <c r="C421" i="19"/>
  <c r="C334" i="19"/>
  <c r="C274" i="19"/>
  <c r="R650" i="19"/>
  <c r="R531" i="19"/>
  <c r="R517" i="19"/>
  <c r="R507" i="19"/>
  <c r="R763" i="19"/>
  <c r="R569" i="19"/>
  <c r="R325" i="19"/>
  <c r="R722" i="19"/>
  <c r="C168" i="19"/>
  <c r="C559" i="19"/>
  <c r="C712" i="19"/>
  <c r="C288" i="19"/>
  <c r="R321" i="19"/>
  <c r="R248" i="19"/>
  <c r="R475" i="19"/>
  <c r="R403" i="19"/>
  <c r="R730" i="19"/>
  <c r="R163" i="19"/>
  <c r="R353" i="19"/>
  <c r="R750" i="19"/>
  <c r="R428" i="19"/>
  <c r="R265" i="19"/>
  <c r="R195" i="19"/>
  <c r="R139" i="19"/>
  <c r="R337" i="19"/>
  <c r="R696" i="19"/>
  <c r="C572" i="19"/>
  <c r="R673" i="19"/>
  <c r="R102" i="19"/>
  <c r="R616" i="19"/>
  <c r="R206" i="19"/>
  <c r="R181" i="19"/>
  <c r="R216" i="19"/>
  <c r="R410" i="19"/>
  <c r="C647" i="19"/>
  <c r="C419" i="19"/>
  <c r="R647" i="19"/>
  <c r="R137" i="19"/>
  <c r="R520" i="19"/>
  <c r="R438" i="19"/>
  <c r="R607" i="19"/>
  <c r="R212" i="19"/>
  <c r="C395" i="19"/>
  <c r="R225" i="19"/>
  <c r="R307" i="19"/>
  <c r="R89" i="19"/>
  <c r="R486" i="19"/>
  <c r="R482" i="19"/>
  <c r="R391" i="19"/>
  <c r="R169" i="19"/>
  <c r="R247" i="19"/>
  <c r="R153" i="19"/>
  <c r="R628" i="19"/>
  <c r="C518" i="19"/>
  <c r="C131" i="19"/>
  <c r="R580" i="19"/>
  <c r="R683" i="19"/>
  <c r="R413" i="19"/>
  <c r="R109" i="19"/>
  <c r="R262" i="19"/>
  <c r="R194" i="19"/>
  <c r="R747" i="19"/>
  <c r="R120" i="19"/>
  <c r="R419" i="19"/>
  <c r="C102" i="19"/>
  <c r="R228" i="19"/>
  <c r="R77" i="19"/>
  <c r="R341" i="19"/>
  <c r="R477" i="19"/>
  <c r="R564" i="19"/>
  <c r="R511" i="19"/>
  <c r="C61" i="19"/>
  <c r="R285" i="19"/>
  <c r="R362" i="19"/>
  <c r="R530" i="19"/>
  <c r="R388" i="19"/>
  <c r="R291" i="19"/>
  <c r="C327" i="19"/>
  <c r="R373" i="19"/>
  <c r="R324" i="19"/>
  <c r="R466" i="19"/>
  <c r="R712" i="19"/>
  <c r="R313" i="19"/>
  <c r="C776" i="19"/>
  <c r="C338" i="19"/>
  <c r="C90" i="19"/>
  <c r="R315" i="19"/>
  <c r="R38" i="19"/>
  <c r="R453" i="19"/>
  <c r="R494" i="19"/>
  <c r="R295" i="19"/>
  <c r="R690" i="19"/>
  <c r="C40" i="19"/>
  <c r="C243" i="19"/>
  <c r="C578" i="19"/>
  <c r="R681" i="19"/>
  <c r="R523" i="19"/>
  <c r="R54" i="19"/>
  <c r="R205" i="19"/>
  <c r="R128" i="19"/>
  <c r="R711" i="19"/>
  <c r="R87" i="19"/>
  <c r="R283" i="19"/>
  <c r="BM191" i="19"/>
  <c r="BM607" i="19"/>
  <c r="BM229" i="19"/>
  <c r="BM646" i="19"/>
  <c r="BM264" i="19"/>
  <c r="BM40" i="19"/>
  <c r="BM323" i="19"/>
  <c r="AW344" i="19"/>
  <c r="BM27" i="19"/>
  <c r="BM25" i="19"/>
  <c r="BM717" i="19"/>
  <c r="BM623" i="19"/>
  <c r="BM526" i="19"/>
  <c r="BM635" i="19"/>
  <c r="BM380" i="19"/>
  <c r="BM169" i="19"/>
  <c r="BM257" i="19"/>
  <c r="BM756" i="19"/>
  <c r="BM740" i="19"/>
  <c r="BM543" i="19"/>
  <c r="AW497" i="19"/>
  <c r="AW129" i="19"/>
  <c r="AW639" i="19"/>
  <c r="AW453" i="19"/>
  <c r="BM389" i="19"/>
  <c r="BM374" i="19"/>
  <c r="BM246" i="19"/>
  <c r="BM633" i="19"/>
  <c r="BM320" i="19"/>
  <c r="BM770" i="19"/>
  <c r="BM219" i="19"/>
  <c r="BM383" i="19"/>
  <c r="BM675" i="19"/>
  <c r="AW82" i="19"/>
  <c r="AW215" i="19"/>
  <c r="AW59" i="19"/>
  <c r="AW186" i="19"/>
  <c r="BM671" i="19"/>
  <c r="BM586" i="19"/>
  <c r="BM456" i="19"/>
  <c r="BM142" i="19"/>
  <c r="BM629" i="19"/>
  <c r="BM294" i="19"/>
  <c r="BM494" i="19"/>
  <c r="BM129" i="19"/>
  <c r="AW66" i="19"/>
  <c r="AW148" i="19"/>
  <c r="AW54" i="19"/>
  <c r="AW566" i="19"/>
  <c r="AW92" i="19"/>
  <c r="AW11" i="19"/>
  <c r="AW548" i="19"/>
  <c r="AW534" i="19"/>
  <c r="AW505" i="19"/>
  <c r="BM743" i="19"/>
  <c r="BM386" i="19"/>
  <c r="BM469" i="19"/>
  <c r="BM548" i="19"/>
  <c r="AW180" i="19"/>
  <c r="AW410" i="19"/>
  <c r="AW120" i="19"/>
  <c r="AW414" i="19"/>
  <c r="AW709" i="19"/>
  <c r="AW73" i="19"/>
  <c r="AW448" i="19"/>
  <c r="BM754" i="19"/>
  <c r="BM669" i="19"/>
  <c r="BM594" i="19"/>
  <c r="BM373" i="19"/>
  <c r="BM183" i="19"/>
  <c r="BM240" i="19"/>
  <c r="AW263" i="19"/>
  <c r="AW389" i="19"/>
  <c r="AW67" i="19"/>
  <c r="AW181" i="19"/>
  <c r="AW593" i="19"/>
  <c r="AW362" i="19"/>
  <c r="AW303" i="19"/>
  <c r="AW543" i="19"/>
  <c r="AW335" i="19"/>
  <c r="BM783" i="19"/>
  <c r="BM274" i="19"/>
  <c r="BM522" i="19"/>
  <c r="BM696" i="19"/>
  <c r="BM34" i="19"/>
  <c r="BM149" i="19"/>
  <c r="BM462" i="19"/>
  <c r="AW284" i="19"/>
  <c r="AW291" i="19"/>
  <c r="AW597" i="19"/>
  <c r="AW8" i="19"/>
  <c r="AW255" i="19"/>
  <c r="AW563" i="19"/>
  <c r="AW220" i="19"/>
  <c r="AW568" i="19"/>
  <c r="BM109" i="19"/>
  <c r="BM776" i="19"/>
  <c r="BM108" i="19"/>
  <c r="BM267" i="19"/>
  <c r="BM351" i="19"/>
  <c r="BM324" i="19"/>
  <c r="BM757" i="19"/>
  <c r="BM97" i="19"/>
  <c r="AW315" i="19"/>
  <c r="AW204" i="19"/>
  <c r="AW664" i="19"/>
  <c r="AW100" i="19"/>
  <c r="AW616" i="19"/>
  <c r="BM785" i="19"/>
  <c r="BM528" i="19"/>
  <c r="BM172" i="19"/>
  <c r="BM452" i="19"/>
  <c r="BM492" i="19"/>
  <c r="BM596" i="19"/>
  <c r="AW97" i="19"/>
  <c r="AW490" i="19"/>
  <c r="AW669" i="19"/>
  <c r="AW247" i="19"/>
  <c r="AW631" i="19"/>
  <c r="BM194" i="19"/>
  <c r="BM687" i="19"/>
  <c r="BM215" i="19"/>
  <c r="BM495" i="19"/>
  <c r="BM273" i="19"/>
  <c r="BM451" i="19"/>
  <c r="BM385" i="19"/>
  <c r="BM507" i="19"/>
  <c r="BM618" i="19"/>
  <c r="AW583" i="19"/>
  <c r="AW743" i="19"/>
  <c r="AW459" i="19"/>
  <c r="AW172" i="19"/>
  <c r="AW435" i="19"/>
  <c r="AW603" i="19"/>
  <c r="AW324" i="19"/>
  <c r="BM411" i="19"/>
  <c r="BM493" i="19"/>
  <c r="AW357" i="19"/>
  <c r="AW131" i="19"/>
  <c r="AW473" i="19"/>
  <c r="AW118" i="19"/>
  <c r="AW41" i="19"/>
  <c r="AW218" i="19"/>
  <c r="AW95" i="19"/>
  <c r="BM625" i="19"/>
  <c r="BM91" i="19"/>
  <c r="BM433" i="19"/>
  <c r="BM205" i="19"/>
  <c r="BM379" i="19"/>
  <c r="BM275" i="19"/>
  <c r="BM259" i="19"/>
  <c r="AW174" i="19"/>
  <c r="AW577" i="19"/>
  <c r="AW289" i="19"/>
  <c r="AW434" i="19"/>
  <c r="AW268" i="19"/>
  <c r="AW86" i="19"/>
  <c r="AW532" i="19"/>
  <c r="BM363" i="19"/>
  <c r="BM110" i="19"/>
  <c r="BM538" i="19"/>
  <c r="BM256" i="19"/>
  <c r="AW456" i="19"/>
  <c r="AW195" i="19"/>
  <c r="AW540" i="19"/>
  <c r="AW301" i="19"/>
  <c r="AW321" i="19"/>
  <c r="BM497" i="19"/>
  <c r="BM653" i="19"/>
  <c r="BM66" i="19"/>
  <c r="BM554" i="19"/>
  <c r="BM714" i="19"/>
  <c r="BM39" i="19"/>
  <c r="BM366" i="19"/>
  <c r="AW390" i="19"/>
  <c r="AW81" i="19"/>
  <c r="AW545" i="19"/>
  <c r="BM466" i="19"/>
  <c r="BM622" i="19"/>
  <c r="BM32" i="19"/>
  <c r="BM533" i="19"/>
  <c r="BM318" i="19"/>
  <c r="BM69" i="19"/>
  <c r="AW111" i="19"/>
  <c r="AW762" i="19"/>
  <c r="AW124" i="19"/>
  <c r="AW369" i="19"/>
  <c r="AW663" i="19"/>
  <c r="AW449" i="19"/>
  <c r="AW140" i="19"/>
  <c r="BM726" i="19"/>
  <c r="BM483" i="19"/>
  <c r="BM235" i="19"/>
  <c r="BM664" i="19"/>
  <c r="AW457" i="19"/>
  <c r="AW213" i="19"/>
  <c r="AW51" i="19"/>
  <c r="AW423" i="19"/>
  <c r="AW101" i="19"/>
  <c r="BM112" i="19"/>
  <c r="BM702" i="19"/>
  <c r="BM420" i="19"/>
  <c r="AW522" i="19"/>
  <c r="BM698" i="19"/>
  <c r="BM707" i="19"/>
  <c r="BM441" i="19"/>
  <c r="BM232" i="19"/>
  <c r="BM648" i="19"/>
  <c r="AW715" i="19"/>
  <c r="AW201" i="19"/>
  <c r="AW121" i="19"/>
  <c r="AW356" i="19"/>
  <c r="AW720" i="19"/>
  <c r="AW776" i="19"/>
  <c r="AW159" i="19"/>
  <c r="AW554" i="19"/>
  <c r="AW736" i="19"/>
  <c r="AW52" i="19"/>
  <c r="AW341" i="19"/>
  <c r="AW446" i="19"/>
  <c r="AW234" i="19"/>
  <c r="AW513" i="19"/>
  <c r="AW590" i="19"/>
  <c r="AW113" i="19"/>
  <c r="BM136" i="19"/>
  <c r="AW612" i="19"/>
  <c r="AW221" i="19"/>
  <c r="AW400" i="19"/>
  <c r="AW147" i="19"/>
  <c r="AW57" i="19"/>
  <c r="BM307" i="19"/>
  <c r="AW383" i="19"/>
  <c r="AW487" i="19"/>
  <c r="AW536" i="19"/>
  <c r="AW483" i="19"/>
  <c r="AW27" i="19"/>
  <c r="AW683" i="19"/>
  <c r="AW347" i="19"/>
  <c r="AW468" i="19"/>
  <c r="BM247" i="19"/>
  <c r="BM387" i="19"/>
  <c r="BM207" i="19"/>
  <c r="BM293" i="19"/>
  <c r="AW521" i="19"/>
  <c r="AW719" i="19"/>
  <c r="AW670" i="19"/>
  <c r="AW647" i="19"/>
  <c r="BM187" i="19"/>
  <c r="BM729" i="19"/>
  <c r="BM463" i="19"/>
  <c r="AW553" i="19"/>
  <c r="AW751" i="19"/>
  <c r="AW320" i="19"/>
  <c r="AW202" i="19"/>
  <c r="AW707" i="19"/>
  <c r="AW598" i="19"/>
  <c r="AW404" i="19"/>
  <c r="AW90" i="19"/>
  <c r="AW638" i="19"/>
  <c r="AW523" i="19"/>
  <c r="BM224" i="19"/>
  <c r="BM131" i="19"/>
  <c r="BM578" i="19"/>
  <c r="AW337" i="19"/>
  <c r="AW682" i="19"/>
  <c r="AW485" i="19"/>
  <c r="AW188" i="19"/>
  <c r="AW327" i="19"/>
  <c r="AW524" i="19"/>
  <c r="BM117" i="19"/>
  <c r="AW155" i="19"/>
  <c r="AW294" i="19"/>
  <c r="AW551" i="19"/>
  <c r="BM344" i="19"/>
  <c r="BM739" i="19"/>
  <c r="BM376" i="19"/>
  <c r="BM87" i="19"/>
  <c r="BM583" i="19"/>
  <c r="AW422" i="19"/>
  <c r="AW387" i="19"/>
  <c r="AW550" i="19"/>
  <c r="BM300" i="19"/>
  <c r="AW350" i="19"/>
  <c r="AW392" i="19"/>
  <c r="AW618" i="19"/>
  <c r="AW610" i="19"/>
  <c r="AW462" i="19"/>
  <c r="AW687" i="19"/>
  <c r="AW250" i="19"/>
  <c r="BM326" i="19"/>
  <c r="BM640" i="19"/>
  <c r="BM125" i="19"/>
  <c r="BM500" i="19"/>
  <c r="BM84" i="19"/>
  <c r="BM316" i="19"/>
  <c r="BM695" i="19"/>
  <c r="AW450" i="19"/>
  <c r="AW693" i="19"/>
  <c r="AW330" i="19"/>
  <c r="BM737" i="19"/>
  <c r="AW49" i="19"/>
  <c r="AW488" i="19"/>
  <c r="BM102" i="19"/>
  <c r="BM248" i="19"/>
  <c r="BM449" i="19"/>
  <c r="BM159" i="19"/>
  <c r="BM429" i="19"/>
  <c r="BM585" i="19"/>
  <c r="C440" i="19"/>
  <c r="C370" i="19"/>
  <c r="C173" i="19"/>
  <c r="C83" i="19"/>
  <c r="C520" i="19"/>
  <c r="C250" i="19"/>
  <c r="C308" i="19"/>
  <c r="C166" i="19"/>
  <c r="C298" i="19"/>
  <c r="C753" i="19"/>
  <c r="C614" i="19"/>
  <c r="C691" i="19"/>
  <c r="BM350" i="19"/>
  <c r="BM175" i="19"/>
  <c r="AW413" i="19"/>
  <c r="BM537" i="19"/>
  <c r="BM637" i="19"/>
  <c r="AW465" i="19"/>
  <c r="BM628" i="19"/>
  <c r="AW306" i="19"/>
  <c r="BM140" i="19"/>
  <c r="AW114" i="19"/>
  <c r="AW34" i="19"/>
  <c r="BM626" i="19"/>
  <c r="BM657" i="19"/>
  <c r="AW644" i="19"/>
  <c r="AW477" i="19"/>
  <c r="AW388" i="19"/>
  <c r="BM442" i="19"/>
  <c r="BM378" i="19"/>
  <c r="BM673" i="19"/>
  <c r="C774" i="19"/>
  <c r="C368" i="19"/>
  <c r="C381" i="19"/>
  <c r="C575" i="19"/>
  <c r="C306" i="19"/>
  <c r="C442" i="19"/>
  <c r="C399" i="19"/>
  <c r="C527" i="19"/>
  <c r="C778" i="19"/>
  <c r="C290" i="19"/>
  <c r="C563" i="19"/>
  <c r="C366" i="19"/>
  <c r="AW265" i="19"/>
  <c r="AW501" i="19"/>
  <c r="AW778" i="19"/>
  <c r="AW262" i="19"/>
  <c r="BM677" i="19"/>
  <c r="BM329" i="19"/>
  <c r="BM440" i="19"/>
  <c r="BM139" i="19"/>
  <c r="BM260" i="19"/>
  <c r="AW277" i="19"/>
  <c r="BM535" i="19"/>
  <c r="AW589" i="19"/>
  <c r="BM304" i="19"/>
  <c r="BM41" i="19"/>
  <c r="BM225" i="19"/>
  <c r="BM327" i="19"/>
  <c r="AW61" i="19"/>
  <c r="BM730" i="19"/>
  <c r="AW296" i="19"/>
  <c r="AW325" i="19"/>
  <c r="BM401" i="19"/>
  <c r="BM487" i="19"/>
  <c r="AW673" i="19"/>
  <c r="AW626" i="19"/>
  <c r="AW75" i="19"/>
  <c r="BM595" i="19"/>
  <c r="BM604" i="19"/>
  <c r="BM560" i="19"/>
  <c r="C45" i="19"/>
  <c r="C516" i="19"/>
  <c r="C377" i="19"/>
  <c r="C736" i="19"/>
  <c r="C67" i="19"/>
  <c r="C748" i="19"/>
  <c r="C576" i="19"/>
  <c r="C235" i="19"/>
  <c r="C465" i="19"/>
  <c r="C98" i="19"/>
  <c r="C261" i="19"/>
  <c r="C509" i="19"/>
  <c r="AW552" i="19"/>
  <c r="AW271" i="19"/>
  <c r="AW739" i="19"/>
  <c r="AW230" i="19"/>
  <c r="BM116" i="19"/>
  <c r="BM285" i="19"/>
  <c r="BM237" i="19"/>
  <c r="BM167" i="19"/>
  <c r="AW312" i="19"/>
  <c r="AW88" i="19"/>
  <c r="BM37" i="19"/>
  <c r="AW166" i="19"/>
  <c r="BM355" i="19"/>
  <c r="BM472" i="19"/>
  <c r="BM580" i="19"/>
  <c r="BM584" i="19"/>
  <c r="AW582" i="19"/>
  <c r="BM772" i="19"/>
  <c r="AW318" i="19"/>
  <c r="BM76" i="19"/>
  <c r="BM70" i="19"/>
  <c r="BM206" i="19"/>
  <c r="AW702" i="19"/>
  <c r="AW444" i="19"/>
  <c r="AW7" i="19"/>
  <c r="BM612" i="19"/>
  <c r="BM188" i="19"/>
  <c r="BM54" i="19"/>
  <c r="C286" i="19"/>
  <c r="C358" i="19"/>
  <c r="C172" i="19"/>
  <c r="C479" i="19"/>
  <c r="C93" i="19"/>
  <c r="C122" i="19"/>
  <c r="C682" i="19"/>
  <c r="C354" i="19"/>
  <c r="C124" i="19"/>
  <c r="C601" i="19"/>
  <c r="C182" i="19"/>
  <c r="C232" i="19"/>
  <c r="C155" i="19"/>
  <c r="AW152" i="19"/>
  <c r="AW695" i="19"/>
  <c r="AW326" i="19"/>
  <c r="BM681" i="19"/>
  <c r="BM332" i="19"/>
  <c r="BM271" i="19"/>
  <c r="BM223" i="19"/>
  <c r="AW511" i="19"/>
  <c r="AW467" i="19"/>
  <c r="BM200" i="19"/>
  <c r="AW332" i="19"/>
  <c r="BM155" i="19"/>
  <c r="BM668" i="19"/>
  <c r="BM42" i="19"/>
  <c r="BM476" i="19"/>
  <c r="AW594" i="19"/>
  <c r="BM22" i="19"/>
  <c r="AW516" i="19"/>
  <c r="BM118" i="19"/>
  <c r="BM736" i="19"/>
  <c r="BM276" i="19"/>
  <c r="AW580" i="19"/>
  <c r="AW269" i="19"/>
  <c r="AW649" i="19"/>
  <c r="BM661" i="19"/>
  <c r="BM150" i="19"/>
  <c r="BM55" i="19"/>
  <c r="C555" i="19"/>
  <c r="C438" i="19"/>
  <c r="C51" i="19"/>
  <c r="C498" i="19"/>
  <c r="C454" i="19"/>
  <c r="C687" i="19"/>
  <c r="C741" i="19"/>
  <c r="C467" i="19"/>
  <c r="C267" i="19"/>
  <c r="C210" i="19"/>
  <c r="C203" i="19"/>
  <c r="C605" i="19"/>
  <c r="AW328" i="19"/>
  <c r="AW679" i="19"/>
  <c r="AW656" i="19"/>
  <c r="AW228" i="19"/>
  <c r="BM6" i="19"/>
  <c r="BM712" i="19"/>
  <c r="BM598" i="19"/>
  <c r="BM587" i="19"/>
  <c r="AW472" i="19"/>
  <c r="AW740" i="19"/>
  <c r="BM616" i="19"/>
  <c r="AW10" i="19"/>
  <c r="BM121" i="19"/>
  <c r="BM417" i="19"/>
  <c r="BM430" i="19"/>
  <c r="BM691" i="19"/>
  <c r="AW769" i="19"/>
  <c r="BM151" i="19"/>
  <c r="AW38" i="19"/>
  <c r="BM127" i="19"/>
  <c r="BM611" i="19"/>
  <c r="BM562" i="19"/>
  <c r="AW460" i="19"/>
  <c r="AW138" i="19"/>
  <c r="AW354" i="19"/>
  <c r="BM258" i="19"/>
  <c r="BM525" i="19"/>
  <c r="C606" i="19"/>
  <c r="C225" i="19"/>
  <c r="C667" i="19"/>
  <c r="C38" i="19"/>
  <c r="C114" i="19"/>
  <c r="C278" i="19"/>
  <c r="C284" i="19"/>
  <c r="C77" i="19"/>
  <c r="C653" i="19"/>
  <c r="C705" i="19"/>
  <c r="C238" i="19"/>
  <c r="C43" i="19"/>
  <c r="C116" i="19"/>
  <c r="C218" i="19"/>
  <c r="AW373" i="19"/>
  <c r="AW499" i="19"/>
  <c r="AW735" i="19"/>
  <c r="AW161" i="19"/>
  <c r="BM468" i="19"/>
  <c r="BM217" i="19"/>
  <c r="BM777" i="19"/>
  <c r="BM615" i="19"/>
  <c r="C689" i="19"/>
  <c r="C539" i="19"/>
  <c r="C766" i="19"/>
  <c r="C405" i="19"/>
  <c r="C142" i="19"/>
  <c r="C759" i="19"/>
  <c r="C384" i="19"/>
  <c r="C195" i="19"/>
  <c r="C709" i="19"/>
  <c r="C594" i="19"/>
  <c r="C579" i="19"/>
  <c r="C734" i="19"/>
  <c r="C149" i="19"/>
  <c r="C303" i="19"/>
  <c r="C702" i="19"/>
  <c r="C154" i="19"/>
  <c r="C68" i="19"/>
  <c r="C562" i="19"/>
  <c r="C76" i="19"/>
  <c r="C146" i="19"/>
  <c r="C215" i="19"/>
  <c r="C241" i="19"/>
  <c r="C468" i="19"/>
  <c r="C252" i="19"/>
  <c r="C167" i="19"/>
  <c r="C27" i="19"/>
  <c r="C64" i="19"/>
  <c r="C137" i="19"/>
  <c r="C88" i="19"/>
  <c r="C24" i="19"/>
  <c r="C175" i="19"/>
  <c r="C545" i="19"/>
  <c r="C573" i="19"/>
  <c r="C631" i="19"/>
  <c r="C644" i="19"/>
  <c r="C72" i="19"/>
  <c r="C63" i="19"/>
  <c r="C291" i="19"/>
  <c r="C178" i="19"/>
  <c r="C481" i="19"/>
  <c r="C663" i="19"/>
  <c r="C126" i="19"/>
  <c r="C193" i="19"/>
  <c r="C257" i="19"/>
  <c r="C333" i="19"/>
  <c r="C731" i="19"/>
  <c r="C101" i="19"/>
  <c r="C540" i="19"/>
  <c r="C135" i="19"/>
  <c r="C494" i="19"/>
  <c r="C97" i="19"/>
  <c r="C425" i="19"/>
  <c r="C37" i="19"/>
  <c r="C500" i="19"/>
  <c r="C340" i="19"/>
  <c r="C693" i="19"/>
  <c r="C770" i="19"/>
  <c r="C472" i="19"/>
  <c r="C183" i="19"/>
  <c r="C365" i="19"/>
  <c r="C543" i="19"/>
  <c r="C188" i="19"/>
  <c r="C568" i="19"/>
  <c r="C400" i="19"/>
  <c r="C394" i="19"/>
  <c r="C450" i="19"/>
  <c r="C80" i="19"/>
  <c r="C412" i="19"/>
  <c r="C285" i="19"/>
  <c r="C150" i="19"/>
  <c r="C120" i="19"/>
  <c r="C649" i="19"/>
  <c r="C264" i="19"/>
  <c r="C355" i="19"/>
  <c r="C237" i="19"/>
  <c r="C376" i="19"/>
  <c r="C714" i="19"/>
  <c r="C152" i="19"/>
  <c r="C560" i="19"/>
  <c r="C430" i="19"/>
  <c r="C378" i="19"/>
  <c r="C420" i="19"/>
  <c r="C398" i="19"/>
  <c r="C151" i="19"/>
  <c r="C351" i="19"/>
  <c r="C16" i="19"/>
  <c r="C279" i="19"/>
  <c r="C565" i="19"/>
  <c r="C553" i="19"/>
  <c r="C270" i="19"/>
  <c r="C668" i="19"/>
  <c r="C617" i="19"/>
  <c r="C54" i="19"/>
  <c r="C75" i="19"/>
  <c r="C496" i="19"/>
  <c r="C512" i="19"/>
  <c r="C360" i="19"/>
  <c r="C669" i="19"/>
  <c r="C550" i="19"/>
  <c r="C513" i="19"/>
  <c r="C17" i="19"/>
  <c r="C282" i="19"/>
  <c r="C655" i="19"/>
  <c r="C127" i="19"/>
  <c r="C604" i="19"/>
  <c r="C434" i="19"/>
  <c r="C112" i="19"/>
  <c r="C506" i="19"/>
  <c r="C676" i="19"/>
  <c r="C119" i="19"/>
  <c r="C266" i="19"/>
  <c r="C181" i="19"/>
  <c r="C310" i="19"/>
  <c r="C259" i="19"/>
  <c r="C485" i="19"/>
  <c r="C379" i="19"/>
  <c r="C462" i="19"/>
  <c r="C686" i="19"/>
  <c r="C404" i="19"/>
  <c r="C456" i="19"/>
  <c r="C296" i="19"/>
  <c r="C725" i="19"/>
  <c r="C117" i="19"/>
  <c r="C571" i="19"/>
  <c r="C561" i="19"/>
  <c r="C249" i="19"/>
  <c r="C367" i="19"/>
  <c r="C566" i="19"/>
  <c r="C428" i="19"/>
  <c r="C697" i="19"/>
  <c r="C584" i="19"/>
  <c r="C441" i="19"/>
  <c r="C216" i="19"/>
  <c r="C361" i="19"/>
  <c r="C352" i="19"/>
  <c r="C297" i="19"/>
  <c r="C583" i="19"/>
  <c r="C678" i="19"/>
  <c r="C599" i="19"/>
  <c r="C350" i="19"/>
  <c r="C287" i="19"/>
  <c r="C373" i="19"/>
  <c r="C138" i="19"/>
  <c r="C89" i="19"/>
  <c r="C446" i="19"/>
  <c r="C707" i="19"/>
  <c r="C256" i="19"/>
  <c r="C683" i="19"/>
  <c r="C530" i="19"/>
  <c r="C349" i="19"/>
  <c r="C408" i="19"/>
  <c r="C34" i="19"/>
  <c r="C737" i="19"/>
  <c r="C386" i="19"/>
  <c r="C230" i="19"/>
  <c r="C726" i="19"/>
  <c r="C359" i="19"/>
  <c r="C283" i="19"/>
  <c r="C710" i="19"/>
  <c r="C341" i="19"/>
  <c r="C558" i="19"/>
  <c r="C715" i="19"/>
  <c r="C414" i="19"/>
  <c r="C488" i="19"/>
  <c r="C343" i="19"/>
  <c r="C532" i="19"/>
  <c r="C374" i="19"/>
  <c r="C638" i="19"/>
  <c r="C740" i="19"/>
  <c r="C70" i="19"/>
  <c r="C55" i="19"/>
  <c r="C732" i="19"/>
  <c r="C447" i="19"/>
  <c r="C547" i="19"/>
  <c r="C524" i="19"/>
  <c r="C474" i="19"/>
  <c r="C30" i="19"/>
  <c r="C299" i="19"/>
  <c r="C134" i="19"/>
  <c r="C581" i="19"/>
  <c r="C371" i="19"/>
  <c r="C646" i="19"/>
  <c r="C388" i="19"/>
  <c r="C729" i="19"/>
  <c r="C326" i="19"/>
  <c r="C621" i="19"/>
  <c r="C165" i="19"/>
  <c r="C236" i="19"/>
  <c r="C36" i="19"/>
  <c r="C490" i="19"/>
  <c r="C56" i="19"/>
  <c r="C476" i="19"/>
  <c r="C163" i="19"/>
  <c r="C91" i="19"/>
  <c r="C515" i="19"/>
  <c r="C522" i="19"/>
  <c r="C431" i="19"/>
  <c r="C276" i="19"/>
  <c r="C455" i="19"/>
  <c r="C746" i="19"/>
  <c r="C239" i="19"/>
  <c r="C665" i="19"/>
  <c r="C32" i="19"/>
  <c r="C258" i="19"/>
  <c r="C202" i="19"/>
  <c r="C739" i="19"/>
  <c r="C318" i="19"/>
  <c r="C364" i="19"/>
  <c r="C567" i="19"/>
  <c r="C44" i="19"/>
  <c r="C242" i="19"/>
  <c r="C139" i="19"/>
  <c r="C191" i="19"/>
  <c r="C504" i="19"/>
  <c r="C185" i="19"/>
  <c r="C391" i="19"/>
  <c r="C353" i="19"/>
  <c r="C184" i="19"/>
  <c r="C461" i="19"/>
  <c r="C692" i="19"/>
  <c r="C410" i="19"/>
  <c r="C94" i="19"/>
  <c r="C466" i="19"/>
  <c r="C342" i="19"/>
  <c r="C311" i="19"/>
  <c r="C174" i="19"/>
  <c r="C602" i="19"/>
  <c r="C517" i="19"/>
  <c r="C587" i="19"/>
  <c r="C198" i="19"/>
  <c r="C322" i="19"/>
  <c r="C107" i="19"/>
  <c r="C536" i="19"/>
  <c r="C13" i="19"/>
  <c r="C207" i="19"/>
  <c r="C620" i="19"/>
  <c r="C159" i="19"/>
  <c r="C439" i="19"/>
  <c r="C209" i="19"/>
  <c r="C457" i="19"/>
  <c r="C33" i="19"/>
  <c r="C204" i="19"/>
  <c r="C685" i="19"/>
  <c r="C330" i="19"/>
  <c r="C226" i="19"/>
  <c r="C407" i="19"/>
  <c r="C140" i="19"/>
  <c r="C211" i="19"/>
  <c r="C380" i="19"/>
  <c r="C78" i="19"/>
  <c r="C265" i="19"/>
  <c r="C280" i="19"/>
  <c r="C169" i="19"/>
  <c r="C722" i="19"/>
  <c r="C156" i="19"/>
  <c r="C401" i="19"/>
  <c r="C743" i="19"/>
  <c r="C363" i="19"/>
  <c r="C698" i="19"/>
  <c r="C74" i="19"/>
  <c r="C84" i="19"/>
  <c r="C471" i="19"/>
  <c r="C708" i="19"/>
  <c r="C336" i="19"/>
  <c r="C262" i="19"/>
  <c r="C701" i="19"/>
  <c r="C650" i="19"/>
  <c r="C406" i="19"/>
  <c r="C549" i="19"/>
  <c r="C344" i="19"/>
  <c r="C125" i="19"/>
  <c r="C779" i="19"/>
  <c r="C348" i="19"/>
  <c r="C141" i="19"/>
  <c r="C534" i="19"/>
  <c r="C501" i="19"/>
  <c r="C760" i="19"/>
  <c r="C35" i="19"/>
  <c r="C113" i="19"/>
  <c r="C505" i="19"/>
  <c r="C153" i="19"/>
  <c r="C656" i="19"/>
  <c r="C538" i="19"/>
  <c r="C593" i="19"/>
  <c r="C603" i="19"/>
  <c r="C483" i="19"/>
  <c r="C214" i="19"/>
  <c r="C758" i="19"/>
  <c r="C145" i="19"/>
  <c r="C46" i="19"/>
  <c r="C335" i="19"/>
  <c r="C484" i="19"/>
  <c r="C245" i="19"/>
  <c r="C531" i="19"/>
  <c r="C253" i="19"/>
  <c r="C66" i="19"/>
  <c r="C96" i="19"/>
  <c r="C273" i="19"/>
  <c r="C666" i="19"/>
  <c r="C526" i="19"/>
  <c r="C217" i="19"/>
  <c r="C629" i="19"/>
  <c r="C223" i="19"/>
  <c r="C109" i="19"/>
  <c r="C750" i="19"/>
  <c r="C248" i="19"/>
  <c r="C761" i="19"/>
  <c r="C417" i="19"/>
  <c r="C700" i="19"/>
  <c r="C597" i="19"/>
  <c r="C754" i="19"/>
  <c r="C357" i="19"/>
  <c r="C657" i="19"/>
  <c r="C148" i="19"/>
  <c r="C671" i="19"/>
  <c r="C244" i="19"/>
  <c r="C749" i="19"/>
  <c r="C773" i="19"/>
  <c r="C325" i="19"/>
  <c r="C289" i="19"/>
  <c r="C728" i="19"/>
  <c r="C437" i="19"/>
  <c r="C123" i="19"/>
  <c r="C213" i="19"/>
  <c r="C260" i="19"/>
  <c r="C433" i="19"/>
  <c r="C86" i="19"/>
  <c r="C514" i="19"/>
  <c r="C639" i="19"/>
  <c r="C329" i="19"/>
  <c r="C704" i="19"/>
  <c r="C130" i="19"/>
  <c r="C771" i="19"/>
  <c r="C320" i="19"/>
  <c r="C87" i="19"/>
  <c r="C744" i="19"/>
  <c r="C387" i="19"/>
  <c r="C71" i="19"/>
  <c r="C699" i="19"/>
  <c r="C762" i="19"/>
  <c r="C445" i="19"/>
  <c r="C690" i="19"/>
  <c r="C525" i="19"/>
  <c r="C684" i="19"/>
  <c r="C544" i="19"/>
  <c r="C251" i="19"/>
  <c r="C469" i="19"/>
  <c r="C246" i="19"/>
  <c r="C436" i="19"/>
  <c r="C615" i="19"/>
  <c r="C477" i="19"/>
  <c r="C129" i="19"/>
  <c r="C533" i="19"/>
  <c r="C31" i="19"/>
  <c r="C385" i="19"/>
  <c r="C7" i="19"/>
  <c r="C224" i="19"/>
  <c r="C271" i="19"/>
  <c r="C626" i="19"/>
  <c r="C59" i="19"/>
  <c r="C756" i="19"/>
  <c r="C448" i="19"/>
  <c r="C57" i="19"/>
  <c r="C221" i="19"/>
  <c r="C220" i="19"/>
  <c r="C293" i="19"/>
  <c r="C633" i="19"/>
  <c r="C133" i="19"/>
  <c r="C680" i="19"/>
  <c r="C480" i="19"/>
  <c r="C508" i="19"/>
  <c r="C618" i="19"/>
  <c r="C8" i="19"/>
  <c r="C464" i="19"/>
  <c r="C523" i="19"/>
  <c r="C711" i="19"/>
  <c r="C451" i="19"/>
  <c r="C718" i="19"/>
  <c r="C186" i="19"/>
  <c r="C231" i="19"/>
  <c r="C486" i="19"/>
  <c r="C281" i="19"/>
  <c r="C645" i="19"/>
  <c r="C586" i="19"/>
  <c r="C69" i="19"/>
  <c r="C18" i="19"/>
  <c r="C528" i="19"/>
  <c r="C613" i="19"/>
  <c r="C478" i="19"/>
  <c r="C170" i="19"/>
  <c r="C777" i="19"/>
  <c r="C190" i="19"/>
  <c r="C577" i="19"/>
  <c r="C608" i="19"/>
  <c r="C426" i="19"/>
  <c r="C720" i="19"/>
  <c r="C409" i="19"/>
  <c r="C595" i="19"/>
  <c r="C28" i="19"/>
  <c r="C295" i="19"/>
  <c r="C742" i="19"/>
  <c r="C619" i="19"/>
  <c r="C723" i="19"/>
  <c r="C81" i="19"/>
  <c r="C592" i="19"/>
  <c r="C641" i="19"/>
  <c r="C85" i="19"/>
  <c r="C222" i="19"/>
  <c r="C706" i="19"/>
  <c r="C548" i="19"/>
  <c r="C157" i="19"/>
  <c r="C659" i="19"/>
  <c r="C694" i="19"/>
  <c r="C136" i="19"/>
  <c r="C323" i="19"/>
  <c r="C304" i="19"/>
  <c r="C627" i="19"/>
  <c r="C585" i="19"/>
  <c r="C642" i="19"/>
  <c r="C58" i="19"/>
  <c r="C42" i="19"/>
  <c r="C247" i="19"/>
  <c r="C128" i="19"/>
  <c r="C347" i="19"/>
  <c r="AW20" i="19"/>
  <c r="AW749" i="19"/>
  <c r="AW295" i="19"/>
  <c r="BM774" i="19"/>
  <c r="BM764" i="19"/>
  <c r="BM672" i="19"/>
  <c r="AW633" i="19"/>
  <c r="AW279" i="19"/>
  <c r="BM325" i="19"/>
  <c r="BM559" i="19"/>
  <c r="AW445" i="19"/>
  <c r="BM544" i="19"/>
  <c r="BM93" i="19"/>
  <c r="AW331" i="19"/>
  <c r="C147" i="19"/>
  <c r="C463" i="19"/>
  <c r="C458" i="19"/>
  <c r="C314" i="19"/>
  <c r="C443" i="19"/>
  <c r="C622" i="19"/>
  <c r="C764" i="19"/>
  <c r="C62" i="19"/>
  <c r="C713" i="19"/>
  <c r="AW636" i="19"/>
  <c r="BM477" i="19"/>
  <c r="BM342" i="19"/>
  <c r="AW588" i="19"/>
  <c r="BM679" i="19"/>
  <c r="BM346" i="19"/>
  <c r="AW229" i="19"/>
  <c r="C654" i="19"/>
  <c r="C227" i="19"/>
  <c r="C611" i="19"/>
  <c r="C99" i="19"/>
  <c r="C658" i="19"/>
  <c r="C263" i="19"/>
  <c r="C29" i="19"/>
  <c r="C681" i="19"/>
  <c r="C473" i="19"/>
  <c r="AW305" i="19"/>
  <c r="BM732" i="19"/>
  <c r="AW627" i="19"/>
  <c r="BM424" i="19"/>
  <c r="BM94" i="19"/>
  <c r="BM645" i="19"/>
  <c r="BM683" i="19"/>
  <c r="AW504" i="19"/>
  <c r="BM413" i="19"/>
  <c r="AW729" i="19"/>
  <c r="AW447" i="19"/>
  <c r="BM470" i="19"/>
  <c r="BM514" i="19"/>
  <c r="BM33" i="19"/>
  <c r="AW96" i="19"/>
  <c r="C108" i="19"/>
  <c r="C492" i="19"/>
  <c r="C382" i="19"/>
  <c r="C537" i="19"/>
  <c r="C721" i="19"/>
  <c r="C535" i="19"/>
  <c r="C755" i="19"/>
  <c r="C556" i="19"/>
  <c r="C635" i="19"/>
  <c r="AW29" i="19"/>
  <c r="AW574" i="19"/>
  <c r="BM353" i="19"/>
  <c r="AW420" i="19"/>
  <c r="AW717" i="19"/>
  <c r="BM216" i="19"/>
  <c r="BM603" i="19"/>
  <c r="BM670" i="19"/>
  <c r="BM384" i="19"/>
  <c r="AW143" i="19"/>
  <c r="BM239" i="19"/>
  <c r="AW72" i="19"/>
  <c r="BM119" i="19"/>
  <c r="BM130" i="19"/>
  <c r="BM480" i="19"/>
  <c r="AW189" i="19"/>
  <c r="AW498" i="19"/>
  <c r="C132" i="19"/>
  <c r="C634" i="19"/>
  <c r="C110" i="19"/>
  <c r="C100" i="19"/>
  <c r="C25" i="19"/>
  <c r="C574" i="19"/>
  <c r="C179" i="19"/>
  <c r="C269" i="19"/>
  <c r="C196" i="19"/>
  <c r="AW443" i="19"/>
  <c r="AW370" i="19"/>
  <c r="AW127" i="19"/>
  <c r="AW272" i="19"/>
  <c r="BM148" i="19"/>
  <c r="AW421" i="19"/>
  <c r="BM766" i="19"/>
  <c r="AW349" i="19"/>
  <c r="BM464" i="19"/>
  <c r="AW348" i="19"/>
  <c r="AW637" i="19"/>
  <c r="BM10" i="19"/>
  <c r="BM192" i="19"/>
  <c r="BM153" i="19"/>
  <c r="BM666" i="19"/>
  <c r="C356" i="19"/>
  <c r="C427" i="19"/>
  <c r="C648" i="19"/>
  <c r="C82" i="19"/>
  <c r="C104" i="19"/>
  <c r="AW701" i="19"/>
  <c r="AW690" i="19"/>
  <c r="AW471" i="19"/>
  <c r="BM758" i="19"/>
  <c r="BM432" i="19"/>
  <c r="BM61" i="19"/>
  <c r="AW753" i="19"/>
  <c r="AW775" i="19"/>
  <c r="BM416" i="19"/>
  <c r="BM659" i="19"/>
  <c r="AW210" i="19"/>
  <c r="BM531" i="19"/>
  <c r="AW45" i="19"/>
  <c r="BM208" i="19"/>
  <c r="BM738" i="19"/>
  <c r="AW699" i="19"/>
  <c r="C489" i="19"/>
  <c r="C763" i="19"/>
  <c r="C397" i="19"/>
  <c r="C493" i="19"/>
  <c r="C632" i="19"/>
  <c r="C47" i="19"/>
  <c r="AW254" i="19"/>
  <c r="AW399" i="19"/>
  <c r="AW297" i="19"/>
  <c r="AW313" i="19"/>
  <c r="BM12" i="19"/>
  <c r="BM479" i="19"/>
  <c r="C105" i="19"/>
  <c r="C324" i="19"/>
  <c r="C14" i="19"/>
  <c r="C636" i="19"/>
  <c r="C422" i="19"/>
  <c r="C103" i="19"/>
  <c r="C199" i="19"/>
  <c r="C745" i="19"/>
  <c r="BM780" i="19"/>
  <c r="BM778" i="19"/>
  <c r="BM98" i="19"/>
  <c r="BM517" i="19"/>
  <c r="BM588" i="19"/>
  <c r="BM36" i="19"/>
  <c r="BM291" i="19"/>
  <c r="BM241" i="19"/>
  <c r="AW718" i="19"/>
  <c r="AW475" i="19"/>
  <c r="AW21" i="19"/>
  <c r="AW25" i="19"/>
  <c r="AW651" i="19"/>
  <c r="AW500" i="19"/>
  <c r="AW747" i="19"/>
  <c r="AW665" i="19"/>
  <c r="AW338" i="19"/>
  <c r="BM498" i="19"/>
  <c r="BM101" i="19"/>
  <c r="BM610" i="19"/>
  <c r="BM605" i="19"/>
  <c r="BM644" i="19"/>
  <c r="BM575" i="19"/>
  <c r="BM368" i="19"/>
  <c r="BM199" i="19"/>
  <c r="AW28" i="19"/>
  <c r="AW572" i="19"/>
  <c r="AW257" i="19"/>
  <c r="AW239" i="19"/>
  <c r="AW765" i="19"/>
  <c r="AW662" i="19"/>
  <c r="AW514" i="19"/>
  <c r="AW494" i="19"/>
  <c r="AW380" i="19"/>
  <c r="AW252" i="19"/>
  <c r="BM82" i="19"/>
  <c r="BM434" i="19"/>
  <c r="BM31" i="19"/>
  <c r="BM692" i="19"/>
  <c r="BM17" i="19"/>
  <c r="BM455" i="19"/>
  <c r="BM409" i="19"/>
  <c r="BM349" i="19"/>
  <c r="AW782" i="19"/>
  <c r="AW542" i="19"/>
  <c r="AW237" i="19"/>
  <c r="AW470" i="19"/>
  <c r="AW773" i="19"/>
  <c r="BM195" i="19"/>
  <c r="BM655" i="19"/>
  <c r="BM204" i="19"/>
  <c r="BM438" i="19"/>
  <c r="BM58" i="19"/>
  <c r="BM86" i="19"/>
  <c r="BM289" i="19"/>
  <c r="BM547" i="19"/>
  <c r="AW35" i="19"/>
  <c r="AW668" i="19"/>
  <c r="AW571" i="19"/>
  <c r="AW480" i="19"/>
  <c r="AW559" i="19"/>
  <c r="AW343" i="19"/>
  <c r="AW79" i="19"/>
  <c r="AW282" i="19"/>
  <c r="BM753" i="19"/>
  <c r="BM59" i="19"/>
  <c r="BM282" i="19"/>
  <c r="BM647" i="19"/>
  <c r="BM213" i="19"/>
  <c r="BM13" i="19"/>
  <c r="BM8" i="19"/>
  <c r="BM57" i="19"/>
  <c r="AW358" i="19"/>
  <c r="AW738" i="19"/>
  <c r="AW777" i="19"/>
  <c r="AW302" i="19"/>
  <c r="AW601" i="19"/>
  <c r="AW398" i="19"/>
  <c r="AW724" i="19"/>
  <c r="AW394" i="19"/>
  <c r="BM725" i="19"/>
  <c r="BM28" i="19"/>
  <c r="BM234" i="19"/>
  <c r="BM516" i="19"/>
  <c r="BM458" i="19"/>
  <c r="BM443" i="19"/>
  <c r="BM721" i="19"/>
  <c r="AW685" i="19"/>
  <c r="AW770" i="19"/>
  <c r="AW69" i="19"/>
  <c r="AW595" i="19"/>
  <c r="AW93" i="19"/>
  <c r="AW455" i="19"/>
  <c r="AW678" i="19"/>
  <c r="AW366" i="19"/>
  <c r="BM111" i="19"/>
  <c r="BM465" i="19"/>
  <c r="BM132" i="19"/>
  <c r="BM690" i="19"/>
  <c r="BM89" i="19"/>
  <c r="BM627" i="19"/>
  <c r="BM120" i="19"/>
  <c r="AW132" i="19"/>
  <c r="AW134" i="19"/>
  <c r="AW614" i="19"/>
  <c r="AW136" i="19"/>
  <c r="AW512" i="19"/>
  <c r="AW119" i="19"/>
  <c r="AW408" i="19"/>
  <c r="BM218" i="19"/>
  <c r="BM26" i="19"/>
  <c r="AW261" i="19"/>
  <c r="BM694" i="19"/>
  <c r="AW780" i="19"/>
  <c r="AW585" i="19"/>
  <c r="BM473" i="19"/>
  <c r="AW135" i="19"/>
  <c r="BM775" i="19"/>
  <c r="AW481" i="19"/>
  <c r="BM582" i="19"/>
  <c r="AW78" i="19"/>
  <c r="AW264" i="19"/>
  <c r="BM245" i="19"/>
  <c r="AW710" i="19"/>
  <c r="BM539" i="19"/>
  <c r="BM656" i="19"/>
  <c r="AW539" i="19"/>
  <c r="BM364" i="19"/>
  <c r="BM171" i="19"/>
  <c r="AW164" i="19"/>
  <c r="AW340" i="19"/>
  <c r="BM620" i="19"/>
  <c r="BM270" i="19"/>
  <c r="AW112" i="19"/>
  <c r="BM573" i="19"/>
  <c r="BM651" i="19"/>
  <c r="BM570" i="19"/>
  <c r="BM444" i="19"/>
  <c r="BM134" i="19"/>
  <c r="BM90" i="19"/>
  <c r="AW604" i="19"/>
  <c r="BM123" i="19"/>
  <c r="AW625" i="19"/>
  <c r="BM388" i="19"/>
  <c r="BM513" i="19"/>
  <c r="BM292" i="19"/>
  <c r="BM436" i="19"/>
  <c r="BM313" i="19"/>
  <c r="BM569" i="19"/>
  <c r="BM660" i="19"/>
  <c r="BM15" i="19"/>
  <c r="BM490" i="19"/>
  <c r="BM296" i="19"/>
  <c r="AW162" i="19"/>
  <c r="AW510" i="19"/>
  <c r="AW110" i="19"/>
  <c r="AW416" i="19"/>
  <c r="AW619" i="19"/>
  <c r="AW106" i="19"/>
  <c r="AW12" i="19"/>
  <c r="AW225" i="19"/>
  <c r="BM613" i="19"/>
  <c r="BM708" i="19"/>
  <c r="BM71" i="19"/>
  <c r="BM719" i="19"/>
  <c r="BM701" i="19"/>
  <c r="BM602" i="19"/>
  <c r="AW587" i="19"/>
  <c r="AW503" i="19"/>
  <c r="AW531" i="19"/>
  <c r="AW661" i="19"/>
  <c r="AW396" i="19"/>
  <c r="AW437" i="19"/>
  <c r="AW226" i="19"/>
  <c r="BM414" i="19"/>
  <c r="AW154" i="19"/>
  <c r="BM724" i="19"/>
  <c r="BM152" i="19"/>
  <c r="AW755" i="19"/>
  <c r="BM590" i="19"/>
  <c r="BM643" i="19"/>
  <c r="AW706" i="19"/>
  <c r="BM268" i="19"/>
  <c r="AW602" i="19"/>
  <c r="BM377" i="19"/>
  <c r="AW672" i="19"/>
  <c r="AW591" i="19"/>
  <c r="BM147" i="19"/>
  <c r="AW731" i="19"/>
  <c r="AW83" i="19"/>
  <c r="BM337" i="19"/>
  <c r="AW560" i="19"/>
  <c r="AW763" i="19"/>
  <c r="BM244" i="19"/>
  <c r="BM572" i="19"/>
  <c r="BM674" i="19"/>
  <c r="AW39" i="19"/>
  <c r="AW157" i="19"/>
  <c r="BM249" i="19"/>
  <c r="AW725" i="19"/>
  <c r="AW287" i="19"/>
  <c r="BM29" i="19"/>
  <c r="BM243" i="19"/>
  <c r="AW519" i="19"/>
  <c r="AW640" i="19"/>
  <c r="BM693" i="19"/>
  <c r="AW433" i="19"/>
  <c r="BM35" i="19"/>
  <c r="BM347" i="19"/>
  <c r="BM73" i="19"/>
  <c r="AW428" i="19"/>
  <c r="AW227" i="19"/>
  <c r="BM565" i="19"/>
  <c r="BM43" i="19"/>
  <c r="BM365" i="19"/>
  <c r="AW654" i="19"/>
  <c r="AW697" i="19"/>
  <c r="AW334" i="19"/>
  <c r="AW170" i="19"/>
  <c r="BM571" i="19"/>
  <c r="BM100" i="19"/>
  <c r="AW367" i="19"/>
  <c r="BM475" i="19"/>
  <c r="AW556" i="19"/>
  <c r="BM138" i="19"/>
  <c r="BM107" i="19"/>
  <c r="BM709" i="19"/>
  <c r="AW94" i="19"/>
  <c r="BM727" i="19"/>
  <c r="BM592" i="19"/>
  <c r="BM165" i="19"/>
  <c r="BM600" i="19"/>
  <c r="BM23" i="19"/>
  <c r="BM162" i="19"/>
  <c r="BM630" i="19"/>
  <c r="BM485" i="19"/>
  <c r="AW622" i="19"/>
  <c r="AW630" i="19"/>
  <c r="AW658" i="19"/>
  <c r="AW721" i="19"/>
  <c r="AW274" i="19"/>
  <c r="AW145" i="19"/>
  <c r="AW198" i="19"/>
  <c r="BM203" i="19"/>
  <c r="AW529" i="19"/>
  <c r="BM720" i="19"/>
  <c r="BM348" i="19"/>
  <c r="BM678" i="19"/>
  <c r="BM558" i="19"/>
  <c r="AW655" i="19"/>
  <c r="BM555" i="19"/>
  <c r="AW733" i="19"/>
  <c r="BM52" i="19"/>
  <c r="BM784" i="19"/>
  <c r="AW466" i="19"/>
  <c r="BM303" i="19"/>
  <c r="AW375" i="19"/>
  <c r="AW754" i="19"/>
  <c r="BM284" i="19"/>
  <c r="BM419" i="19"/>
  <c r="AW62" i="19"/>
  <c r="BM339" i="19"/>
  <c r="BM356" i="19"/>
  <c r="BM782" i="19"/>
  <c r="AW171" i="19"/>
  <c r="AW55" i="19"/>
  <c r="BM404" i="19"/>
  <c r="AW317" i="19"/>
  <c r="AW727" i="19"/>
  <c r="BM382" i="19"/>
  <c r="AW40" i="19"/>
  <c r="AW641" i="19"/>
  <c r="AW374" i="19"/>
  <c r="BM521" i="19"/>
  <c r="BM415" i="19"/>
  <c r="BM496" i="19"/>
  <c r="BM453" i="19"/>
  <c r="BM752" i="19"/>
  <c r="BM608" i="19"/>
  <c r="BM80" i="19"/>
  <c r="AW675" i="19"/>
  <c r="AW774" i="19"/>
  <c r="AW666" i="19"/>
  <c r="AW115" i="19"/>
  <c r="BM322" i="19"/>
  <c r="AW22" i="19"/>
  <c r="BM298" i="19"/>
  <c r="BM343" i="19"/>
  <c r="BM62" i="19"/>
  <c r="AW160" i="19"/>
  <c r="BM164" i="19"/>
  <c r="AW486" i="19"/>
  <c r="BM338" i="19"/>
  <c r="AW176" i="19"/>
  <c r="BM328" i="19"/>
  <c r="AW599" i="19"/>
  <c r="BM421" i="19"/>
  <c r="BM305" i="19"/>
  <c r="AW438" i="19"/>
  <c r="AW243" i="19"/>
  <c r="AW16" i="19"/>
  <c r="AW558" i="19"/>
  <c r="BM706" i="19"/>
  <c r="AW492" i="19"/>
  <c r="AW464" i="19"/>
  <c r="BM524" i="19"/>
  <c r="AW722" i="19"/>
  <c r="BM561" i="19"/>
  <c r="BM251" i="19"/>
  <c r="BM716" i="19"/>
  <c r="BM64" i="19"/>
  <c r="BM63" i="19"/>
  <c r="BM511" i="19"/>
  <c r="BM50" i="19"/>
  <c r="BM301" i="19"/>
  <c r="AW193" i="19"/>
  <c r="AW541" i="19"/>
  <c r="AW694" i="19"/>
  <c r="AW360" i="19"/>
  <c r="AW440" i="19"/>
  <c r="AW579" i="19"/>
  <c r="AW772" i="19"/>
  <c r="AW224" i="19"/>
  <c r="BM7" i="19"/>
  <c r="BM568" i="19"/>
  <c r="AW60" i="19"/>
  <c r="BM619" i="19"/>
  <c r="BM519" i="19"/>
  <c r="AW151" i="19"/>
  <c r="BM85" i="19"/>
  <c r="AW506" i="19"/>
  <c r="AW621" i="19"/>
  <c r="BM593" i="19"/>
  <c r="AW123" i="19"/>
  <c r="BM765" i="19"/>
  <c r="AW757" i="19"/>
  <c r="AW629" i="19"/>
  <c r="BM145" i="19"/>
  <c r="AW142" i="19"/>
  <c r="AW285" i="19"/>
  <c r="BM56" i="19"/>
  <c r="BM744" i="19"/>
  <c r="AW634" i="19"/>
  <c r="AW23" i="19"/>
  <c r="BM75" i="19"/>
  <c r="BM710" i="19"/>
  <c r="BM399" i="19"/>
  <c r="AW245" i="19"/>
  <c r="BM722" i="19"/>
  <c r="AW18" i="19"/>
  <c r="AW469" i="19"/>
  <c r="BM74" i="19"/>
  <c r="BM663" i="19"/>
  <c r="BM491" i="19"/>
  <c r="AW353" i="19"/>
  <c r="BM735" i="19"/>
  <c r="AW222" i="19"/>
  <c r="AW415" i="19"/>
  <c r="AW275" i="19"/>
  <c r="BM9" i="19"/>
  <c r="AW355" i="19"/>
  <c r="BM686" i="19"/>
  <c r="BM358" i="19"/>
  <c r="BM227" i="19"/>
  <c r="BM576" i="19"/>
  <c r="BM242" i="19"/>
  <c r="AW149" i="19"/>
  <c r="AW109" i="19"/>
  <c r="AW537" i="19"/>
  <c r="AW219" i="19"/>
  <c r="AW761" i="19"/>
  <c r="AW561" i="19"/>
  <c r="BM53" i="19"/>
  <c r="AW507" i="19"/>
  <c r="AW391" i="19"/>
  <c r="BM768" i="19"/>
  <c r="BM24" i="19"/>
  <c r="AW689" i="19"/>
  <c r="BM181" i="19"/>
  <c r="BM482" i="19"/>
  <c r="AW144" i="19"/>
  <c r="AW150" i="19"/>
  <c r="BM407" i="19"/>
  <c r="BM447" i="19"/>
  <c r="AW372" i="19"/>
  <c r="AW441" i="19"/>
  <c r="BM471" i="19"/>
  <c r="BM20" i="19"/>
  <c r="BM563" i="19"/>
  <c r="AW581" i="19"/>
  <c r="AW748" i="19"/>
  <c r="AW36" i="19"/>
  <c r="AW104" i="19"/>
  <c r="BM261" i="19"/>
  <c r="BM506" i="19"/>
  <c r="AW525" i="19"/>
  <c r="AW316" i="19"/>
  <c r="AW105" i="19"/>
  <c r="AW578" i="19"/>
  <c r="AW632" i="19"/>
  <c r="BM154" i="19"/>
  <c r="BM581" i="19"/>
  <c r="BM395" i="19"/>
  <c r="AW646" i="19"/>
  <c r="AW47" i="19"/>
  <c r="BM549" i="19"/>
  <c r="BM173" i="19"/>
  <c r="AW14" i="19"/>
  <c r="BM652" i="19"/>
  <c r="BM589" i="19"/>
  <c r="AW569" i="19"/>
  <c r="AW385" i="19"/>
  <c r="AW764" i="19"/>
  <c r="AW509" i="19"/>
  <c r="BM510" i="19"/>
  <c r="AW177" i="19"/>
  <c r="AW98" i="19"/>
  <c r="AW716" i="19"/>
  <c r="BM16" i="19"/>
  <c r="AW333" i="19"/>
  <c r="BM665" i="19"/>
  <c r="BM345" i="19"/>
  <c r="AW184" i="19"/>
  <c r="BM597" i="19"/>
  <c r="AW600" i="19"/>
  <c r="BM334" i="19"/>
  <c r="AW517" i="19"/>
  <c r="AW206" i="19"/>
  <c r="AW402" i="19"/>
  <c r="BM624" i="19"/>
  <c r="BM196" i="19"/>
  <c r="BM186" i="19"/>
  <c r="BM508" i="19"/>
  <c r="BM124" i="19"/>
  <c r="AW214" i="19"/>
  <c r="AW403" i="19"/>
  <c r="AW767" i="19"/>
  <c r="AW395" i="19"/>
  <c r="AW203" i="19"/>
  <c r="AW281" i="19"/>
  <c r="BM748" i="19"/>
  <c r="AW642" i="19"/>
  <c r="AW376" i="19"/>
  <c r="BM639" i="19"/>
  <c r="BM233" i="19"/>
  <c r="AW652" i="19"/>
  <c r="BM96" i="19"/>
  <c r="AW609" i="19"/>
  <c r="AW546" i="19"/>
  <c r="BM534" i="19"/>
  <c r="BM250" i="19"/>
  <c r="AW680" i="19"/>
  <c r="AW200" i="19"/>
  <c r="BM18" i="19"/>
  <c r="BM60" i="19"/>
  <c r="AW240" i="19"/>
  <c r="AW726" i="19"/>
  <c r="AW608" i="19"/>
  <c r="AW401" i="19"/>
  <c r="BM290" i="19"/>
  <c r="AW304" i="19"/>
  <c r="AW562" i="19"/>
  <c r="AW617" i="19"/>
  <c r="AW742" i="19"/>
  <c r="AW407" i="19"/>
  <c r="BM502" i="19"/>
  <c r="BM354" i="19"/>
  <c r="BM557" i="19"/>
  <c r="BM311" i="19"/>
  <c r="BM688" i="19"/>
  <c r="BM761" i="19"/>
  <c r="AW246" i="19"/>
  <c r="AW6" i="19"/>
  <c r="AW452" i="19"/>
  <c r="AW253" i="19"/>
  <c r="BM654" i="19"/>
  <c r="BM21" i="19"/>
  <c r="BM459" i="19"/>
  <c r="AW427" i="19"/>
  <c r="BM81" i="19"/>
  <c r="AW241" i="19"/>
  <c r="BM287" i="19"/>
  <c r="AW58" i="19"/>
  <c r="AW156" i="19"/>
  <c r="AW146" i="19"/>
  <c r="BM676" i="19"/>
  <c r="AW85" i="19"/>
  <c r="AW26" i="19"/>
  <c r="BM381" i="19"/>
  <c r="BM781" i="19"/>
  <c r="BM488" i="19"/>
  <c r="BM230" i="19"/>
  <c r="BM457" i="19"/>
  <c r="BM168" i="19"/>
  <c r="BM422" i="19"/>
  <c r="AW194" i="19"/>
  <c r="AW463" i="19"/>
  <c r="AW179" i="19"/>
  <c r="AW544" i="19"/>
  <c r="AW635" i="19"/>
  <c r="AW688" i="19"/>
  <c r="BM47" i="19"/>
  <c r="BM226" i="19"/>
  <c r="BM391" i="19"/>
  <c r="AW339" i="19"/>
  <c r="AW671" i="19"/>
  <c r="BM773" i="19"/>
  <c r="AW667" i="19"/>
  <c r="AW411" i="19"/>
  <c r="BM315" i="19"/>
  <c r="AW30" i="19"/>
  <c r="AW650" i="19"/>
  <c r="BM550" i="19"/>
  <c r="BM269" i="19"/>
  <c r="BM166" i="19"/>
  <c r="AW232" i="19"/>
  <c r="AW323" i="19"/>
  <c r="AW314" i="19"/>
  <c r="BM236" i="19"/>
  <c r="BM252" i="19"/>
  <c r="BM375" i="19"/>
  <c r="BM505" i="19"/>
  <c r="AW461" i="19"/>
  <c r="BM779" i="19"/>
  <c r="BM546" i="19"/>
  <c r="BM45" i="19"/>
  <c r="AW705" i="19"/>
  <c r="BM489" i="19"/>
  <c r="BM393" i="19"/>
  <c r="AW713" i="19"/>
  <c r="BM302" i="19"/>
  <c r="AW270" i="19"/>
  <c r="AW24" i="19"/>
  <c r="BM437" i="19"/>
  <c r="BM697" i="19"/>
  <c r="BM564" i="19"/>
  <c r="BM478" i="19"/>
  <c r="BM283" i="19"/>
  <c r="BM48" i="19"/>
  <c r="BM297" i="19"/>
  <c r="AW293" i="19"/>
  <c r="AW502" i="19"/>
  <c r="AW235" i="19"/>
  <c r="AW329" i="19"/>
  <c r="AW691" i="19"/>
  <c r="AW576" i="19"/>
  <c r="BM11" i="19"/>
  <c r="BM161" i="19"/>
  <c r="BM390" i="19"/>
  <c r="AW405" i="19"/>
  <c r="AW299" i="19"/>
  <c r="BM228" i="19"/>
  <c r="AW520" i="19"/>
  <c r="AW712" i="19"/>
  <c r="BM392" i="19"/>
  <c r="BM278" i="19"/>
  <c r="AW74" i="19"/>
  <c r="BM667" i="19"/>
  <c r="BM106" i="19"/>
  <c r="BM184" i="19"/>
  <c r="AW698" i="19"/>
  <c r="AW192" i="19"/>
  <c r="AW216" i="19"/>
  <c r="BM180" i="19"/>
  <c r="BM340" i="19"/>
  <c r="BM128" i="19"/>
  <c r="BM484" i="19"/>
  <c r="AW393" i="19"/>
  <c r="BM314" i="19"/>
  <c r="AW586" i="19"/>
  <c r="BM551" i="19"/>
  <c r="AW592" i="19"/>
  <c r="BM92" i="19"/>
  <c r="BM474" i="19"/>
  <c r="AW573" i="19"/>
  <c r="BM193" i="19"/>
  <c r="BM614" i="19"/>
  <c r="BM238" i="19"/>
  <c r="BM19" i="19"/>
  <c r="BM760" i="19"/>
  <c r="BM321" i="19"/>
  <c r="AW260" i="19"/>
  <c r="AW217" i="19"/>
  <c r="AW584" i="19"/>
  <c r="AW37" i="19"/>
  <c r="AW474" i="19"/>
  <c r="AW549" i="19"/>
  <c r="BM179" i="19"/>
  <c r="AW377" i="19"/>
  <c r="BM574" i="19"/>
  <c r="BM308" i="19"/>
  <c r="BM503" i="19"/>
  <c r="AW231" i="19"/>
  <c r="AW623" i="19"/>
  <c r="AW491" i="19"/>
  <c r="AW596" i="19"/>
  <c r="AW238" i="19"/>
  <c r="AW259" i="19"/>
  <c r="AW122" i="19"/>
  <c r="AW734" i="19"/>
  <c r="BM277" i="19"/>
  <c r="BM606" i="19"/>
  <c r="AW84" i="19"/>
  <c r="BM750" i="19"/>
  <c r="BM279" i="19"/>
  <c r="BM288" i="19"/>
  <c r="BM146" i="19"/>
  <c r="BM431" i="19"/>
  <c r="BM527" i="19"/>
  <c r="AW495" i="19"/>
  <c r="BM418" i="19"/>
  <c r="BM731" i="19"/>
  <c r="BM115" i="19"/>
  <c r="AW781" i="19"/>
  <c r="AW708" i="19"/>
  <c r="AW397" i="19"/>
  <c r="AW611" i="19"/>
  <c r="AW76" i="19"/>
  <c r="BM529" i="19"/>
  <c r="BM222" i="19"/>
  <c r="BM689" i="19"/>
  <c r="BM423" i="19"/>
  <c r="AW714" i="19"/>
  <c r="AW454" i="19"/>
  <c r="AW158" i="19"/>
  <c r="AW322" i="19"/>
  <c r="BM202" i="19"/>
  <c r="BM310" i="19"/>
  <c r="AW288" i="19"/>
  <c r="AW137" i="19"/>
  <c r="AW139" i="19"/>
  <c r="AW103" i="19"/>
  <c r="AW168" i="19"/>
  <c r="BM742" i="19"/>
  <c r="BM512" i="19"/>
  <c r="AW676" i="19"/>
  <c r="BM362" i="19"/>
  <c r="BM176" i="19"/>
  <c r="AW13" i="19"/>
  <c r="BM530" i="19"/>
  <c r="BM170" i="19"/>
  <c r="BM771" i="19"/>
  <c r="BM700" i="19"/>
  <c r="BM220" i="19"/>
  <c r="AW292" i="19"/>
  <c r="AW258" i="19"/>
  <c r="AW648" i="19"/>
  <c r="AW102" i="19"/>
  <c r="AW557" i="19"/>
  <c r="AW607" i="19"/>
  <c r="AW199" i="19"/>
  <c r="AW620" i="19"/>
  <c r="AW91" i="19"/>
  <c r="BM177" i="19"/>
  <c r="BM157" i="19"/>
  <c r="BM306" i="19"/>
  <c r="AW273" i="19"/>
  <c r="AW412" i="19"/>
  <c r="AW482" i="19"/>
  <c r="AW643" i="19"/>
  <c r="AW283" i="19"/>
  <c r="AW244" i="19"/>
  <c r="AW745" i="19"/>
  <c r="BM435" i="19"/>
  <c r="BM265" i="19"/>
  <c r="BM335" i="19"/>
  <c r="BM425" i="19"/>
  <c r="BM567" i="19"/>
  <c r="BM330" i="19"/>
  <c r="BM650" i="19"/>
  <c r="BM556" i="19"/>
  <c r="BM755" i="19"/>
  <c r="BM133" i="19"/>
  <c r="BM79" i="19"/>
  <c r="AW300" i="19"/>
  <c r="AW266" i="19"/>
  <c r="AW89" i="19"/>
  <c r="AW570" i="19"/>
  <c r="AW750" i="19"/>
  <c r="BM371" i="19"/>
  <c r="BM632" i="19"/>
  <c r="BM137" i="19"/>
  <c r="AW267" i="19"/>
  <c r="AW628" i="19"/>
  <c r="AW242" i="19"/>
  <c r="AW766" i="19"/>
  <c r="AW153" i="19"/>
  <c r="AW659" i="19"/>
  <c r="AW533" i="19"/>
  <c r="BM591" i="19"/>
  <c r="BM713" i="19"/>
  <c r="AW653" i="19"/>
  <c r="AW478" i="19"/>
  <c r="BM141" i="19"/>
  <c r="BM486" i="19"/>
  <c r="BM566" i="19"/>
  <c r="AW336" i="19"/>
  <c r="BM99" i="19"/>
  <c r="BM78" i="19"/>
  <c r="AW130" i="19"/>
  <c r="AW417" i="19"/>
  <c r="AW125" i="19"/>
  <c r="AW99" i="19"/>
  <c r="BM44" i="19"/>
  <c r="AW128" i="19"/>
  <c r="AW31" i="19"/>
  <c r="AW432" i="19"/>
  <c r="BM280" i="19"/>
  <c r="BM446" i="19"/>
  <c r="BM403" i="19"/>
  <c r="BM397" i="19"/>
  <c r="BM400" i="19"/>
  <c r="BM46" i="19"/>
  <c r="AW345" i="19"/>
  <c r="AW657" i="19"/>
  <c r="AW484" i="19"/>
  <c r="AW48" i="19"/>
  <c r="AW645" i="19"/>
  <c r="BM705" i="19"/>
  <c r="BM767" i="19"/>
  <c r="BM317" i="19"/>
  <c r="BM266" i="19"/>
  <c r="AW476" i="19"/>
  <c r="AW746" i="19"/>
  <c r="AW70" i="19"/>
  <c r="AW33" i="19"/>
  <c r="BM617" i="19"/>
  <c r="BM579" i="19"/>
  <c r="BM357" i="19"/>
  <c r="BM231" i="19"/>
  <c r="BM190" i="19"/>
  <c r="BM95" i="19"/>
  <c r="BM450" i="19"/>
  <c r="AW116" i="19"/>
  <c r="AW677" i="19"/>
  <c r="BM541" i="19"/>
  <c r="AW479" i="19"/>
  <c r="BM49" i="19"/>
  <c r="AW547" i="19"/>
  <c r="AW309" i="19"/>
  <c r="AW363" i="19"/>
  <c r="AW365" i="19"/>
  <c r="AW684" i="19"/>
  <c r="AW190" i="19"/>
  <c r="BM372" i="19"/>
  <c r="BM396" i="19"/>
  <c r="BM211" i="19"/>
  <c r="BM254" i="19"/>
  <c r="AW442" i="19"/>
  <c r="AW406" i="19"/>
  <c r="AW386" i="19"/>
  <c r="AW108" i="19"/>
  <c r="AW197" i="19"/>
  <c r="BM577" i="19"/>
  <c r="BM638" i="19"/>
  <c r="BM733" i="19"/>
  <c r="BM553" i="19"/>
  <c r="BM122" i="19"/>
  <c r="AW107" i="19"/>
  <c r="AW575" i="19"/>
  <c r="AW426" i="19"/>
  <c r="BM723" i="19"/>
  <c r="BM762" i="19"/>
  <c r="BM536" i="19"/>
  <c r="BM68" i="19"/>
  <c r="BM212" i="19"/>
  <c r="BM158" i="19"/>
  <c r="BM759" i="19"/>
  <c r="AW19" i="19"/>
  <c r="AW429" i="19"/>
  <c r="AW489" i="19"/>
  <c r="AW430" i="19"/>
  <c r="BM360" i="19"/>
  <c r="AW276" i="19"/>
  <c r="AW80" i="19"/>
  <c r="AW42" i="19"/>
  <c r="AW660" i="19"/>
  <c r="BM545" i="19"/>
  <c r="AW696" i="19"/>
  <c r="BM341" i="19"/>
  <c r="BM734" i="19"/>
  <c r="BM88" i="19"/>
  <c r="BM367" i="19"/>
  <c r="AW737" i="19"/>
  <c r="AW451" i="19"/>
  <c r="AW439" i="19"/>
  <c r="AW53" i="19"/>
  <c r="AW169" i="19"/>
  <c r="BM448" i="19"/>
  <c r="BM509" i="19"/>
  <c r="BM352" i="19"/>
  <c r="BM461" i="19"/>
  <c r="BM715" i="19"/>
  <c r="AW233" i="19"/>
  <c r="AW703" i="19"/>
  <c r="AW605" i="19"/>
  <c r="BM680" i="19"/>
  <c r="BM201" i="19"/>
  <c r="BM331" i="19"/>
  <c r="BM104" i="19"/>
  <c r="BM262" i="19"/>
  <c r="BM209" i="19"/>
  <c r="BM751" i="19"/>
  <c r="AW382" i="19"/>
  <c r="AW723" i="19"/>
  <c r="AW346" i="19"/>
  <c r="AW732" i="19"/>
  <c r="AW768" i="19"/>
  <c r="AW71" i="19"/>
  <c r="AW248" i="19"/>
  <c r="AW606" i="19"/>
  <c r="AW126" i="19"/>
  <c r="AW364" i="19"/>
  <c r="BM126" i="19"/>
  <c r="AW384" i="19"/>
  <c r="BM361" i="19"/>
  <c r="AW87" i="19"/>
  <c r="BM333" i="19"/>
  <c r="AW185" i="19"/>
  <c r="BM711" i="19"/>
  <c r="AW359" i="19"/>
  <c r="C233" i="19"/>
  <c r="C625" i="19"/>
  <c r="C598" i="19"/>
  <c r="AW728" i="19"/>
  <c r="AW361" i="19"/>
  <c r="AW256" i="19"/>
  <c r="BM504" i="19"/>
  <c r="BM214" i="19"/>
  <c r="AW209" i="19"/>
  <c r="AW409" i="19"/>
  <c r="BM621" i="19"/>
  <c r="BM114" i="19"/>
  <c r="BM704" i="19"/>
  <c r="BM160" i="19"/>
  <c r="AW425" i="19"/>
  <c r="BM83" i="19"/>
  <c r="AW508" i="19"/>
  <c r="BM319" i="19"/>
  <c r="AW351" i="19"/>
  <c r="AW207" i="19"/>
  <c r="BM406" i="19"/>
  <c r="AW208" i="19"/>
  <c r="C111" i="19"/>
  <c r="C503" i="19"/>
  <c r="C591" i="19"/>
  <c r="AW756" i="19"/>
  <c r="AW518" i="19"/>
  <c r="AW211" i="19"/>
  <c r="BM410" i="19"/>
  <c r="BM685" i="19"/>
  <c r="AW173" i="19"/>
  <c r="BM599" i="19"/>
  <c r="BM221" i="19"/>
  <c r="AW163" i="19"/>
  <c r="BM198" i="19"/>
  <c r="AW191" i="19"/>
  <c r="C212" i="19"/>
  <c r="C616" i="19"/>
  <c r="C402" i="19"/>
  <c r="AW167" i="19"/>
  <c r="AW63" i="19"/>
  <c r="BM662" i="19"/>
  <c r="BM747" i="19"/>
  <c r="AW535" i="19"/>
  <c r="BM189" i="19"/>
  <c r="AW424" i="19"/>
  <c r="AW182" i="19"/>
  <c r="BM746" i="19"/>
  <c r="C275" i="19"/>
  <c r="C491" i="19"/>
  <c r="AW141" i="19"/>
  <c r="AW46" i="19"/>
  <c r="AW527" i="19"/>
  <c r="BM552" i="19"/>
  <c r="BM394" i="19"/>
  <c r="BM30" i="19"/>
  <c r="BM741" i="19"/>
  <c r="BM542" i="19"/>
  <c r="BM499" i="19"/>
  <c r="AW187" i="19"/>
  <c r="C435" i="19"/>
  <c r="C651" i="19"/>
  <c r="C768" i="19"/>
  <c r="C315" i="19"/>
  <c r="C48" i="19"/>
  <c r="C234" i="19"/>
  <c r="C121" i="19"/>
  <c r="AW378" i="19"/>
  <c r="AW779" i="19"/>
  <c r="BM609" i="19"/>
  <c r="AW44" i="19"/>
  <c r="BM428" i="19"/>
  <c r="AW458" i="19"/>
  <c r="BM682" i="19"/>
  <c r="BM405" i="19"/>
  <c r="BM427" i="19"/>
  <c r="C339" i="19"/>
  <c r="C60" i="19"/>
  <c r="C738" i="19"/>
  <c r="C180" i="19"/>
  <c r="C328" i="19"/>
  <c r="C317" i="19"/>
  <c r="AW307" i="19"/>
  <c r="BM460" i="19"/>
  <c r="AW538" i="19"/>
  <c r="BM445" i="19"/>
  <c r="AW165" i="19"/>
  <c r="AW319" i="19"/>
  <c r="BM515" i="19"/>
  <c r="AW368" i="19"/>
  <c r="BM370" i="19"/>
  <c r="AW700" i="19"/>
  <c r="AW528" i="19"/>
  <c r="AW65" i="19"/>
  <c r="BM38" i="19"/>
  <c r="BM634" i="19"/>
  <c r="BM309" i="19"/>
  <c r="BM501" i="19"/>
  <c r="AW133" i="19"/>
  <c r="BM51" i="19"/>
  <c r="C375" i="19"/>
  <c r="C313" i="19"/>
  <c r="C337" i="19"/>
  <c r="C79" i="19"/>
  <c r="C15" i="19"/>
  <c r="C780" i="19"/>
  <c r="C10" i="19"/>
  <c r="C519" i="19"/>
  <c r="C208" i="19"/>
  <c r="C580" i="19"/>
  <c r="C600" i="19"/>
  <c r="C321" i="19"/>
  <c r="C674" i="19"/>
  <c r="AW310" i="19"/>
  <c r="AW286" i="19"/>
  <c r="AW236" i="19"/>
  <c r="AW278" i="19"/>
  <c r="BM178" i="19"/>
  <c r="BM14" i="19"/>
  <c r="BM518" i="19"/>
  <c r="BM281" i="19"/>
  <c r="AK6" i="14"/>
  <c r="AL6" i="14"/>
  <c r="AM6" i="14"/>
  <c r="U71" i="17"/>
  <c r="P71" i="17" s="1"/>
  <c r="J71" i="17"/>
  <c r="G71" i="17" s="1"/>
  <c r="M71" i="17" s="1"/>
  <c r="D71" i="17"/>
  <c r="O71" i="17"/>
  <c r="U30" i="17"/>
  <c r="T30" i="17" s="1"/>
  <c r="J30" i="17"/>
  <c r="G30" i="17" s="1"/>
  <c r="M30" i="17" s="1"/>
  <c r="O30" i="17"/>
  <c r="D30" i="17"/>
  <c r="O73" i="17"/>
  <c r="D73" i="17"/>
  <c r="O72" i="17"/>
  <c r="D72" i="17"/>
  <c r="D51" i="17"/>
  <c r="O51" i="17"/>
  <c r="L71" i="17"/>
  <c r="F71" i="17"/>
  <c r="E71" i="17"/>
  <c r="I71" i="17"/>
  <c r="S71" i="17"/>
  <c r="W71" i="17"/>
  <c r="T71" i="17"/>
  <c r="Q71" i="17"/>
  <c r="R71" i="17"/>
  <c r="X71" i="17" s="1"/>
  <c r="D93" i="17"/>
  <c r="O93" i="17"/>
  <c r="D92" i="17"/>
  <c r="O92" i="17"/>
  <c r="D74" i="17"/>
  <c r="O74" i="17"/>
  <c r="J52" i="17"/>
  <c r="K52" i="17" s="1"/>
  <c r="U52" i="17"/>
  <c r="R52" i="17" s="1"/>
  <c r="O52" i="17"/>
  <c r="D52" i="17"/>
  <c r="M52" i="17" s="1"/>
  <c r="U93" i="17"/>
  <c r="J93" i="17"/>
  <c r="L93" i="17" s="1"/>
  <c r="U72" i="17"/>
  <c r="Z72" i="17" s="1"/>
  <c r="J72" i="17"/>
  <c r="I72" i="17" s="1"/>
  <c r="D94" i="17"/>
  <c r="O94" i="17"/>
  <c r="U51" i="17"/>
  <c r="V51" i="17" s="1"/>
  <c r="J51" i="17"/>
  <c r="G51" i="17" s="1"/>
  <c r="M51" i="17" s="1"/>
  <c r="BC74" i="14"/>
  <c r="BF74" i="14" s="1"/>
  <c r="E30" i="17"/>
  <c r="H30" i="17"/>
  <c r="F30" i="17"/>
  <c r="I30" i="17"/>
  <c r="K30" i="17"/>
  <c r="L30" i="17"/>
  <c r="U73" i="17"/>
  <c r="T73" i="17" s="1"/>
  <c r="J73" i="17"/>
  <c r="L73" i="17" s="1"/>
  <c r="R30" i="17"/>
  <c r="X30" i="17" s="1"/>
  <c r="Q30" i="17"/>
  <c r="P30" i="17"/>
  <c r="J92" i="17"/>
  <c r="K92" i="17" s="1"/>
  <c r="U92" i="17"/>
  <c r="Z92" i="17" s="1"/>
  <c r="AA92" i="17" s="1"/>
  <c r="D31" i="17"/>
  <c r="O31" i="17"/>
  <c r="W51" i="17"/>
  <c r="S51" i="17"/>
  <c r="T51" i="17"/>
  <c r="BC76" i="14"/>
  <c r="BF76" i="14" s="1"/>
  <c r="BC33" i="14"/>
  <c r="BF33" i="14" s="1"/>
  <c r="O75" i="17"/>
  <c r="D75" i="17"/>
  <c r="E72" i="17"/>
  <c r="K72" i="17"/>
  <c r="L72" i="17"/>
  <c r="Z52" i="17"/>
  <c r="AA52" i="17"/>
  <c r="Q52" i="17"/>
  <c r="S52" i="17"/>
  <c r="X52" i="17"/>
  <c r="T52" i="17"/>
  <c r="O53" i="17"/>
  <c r="D53" i="17"/>
  <c r="I51" i="17"/>
  <c r="K51" i="17"/>
  <c r="H51" i="17"/>
  <c r="L51" i="17"/>
  <c r="F51" i="17"/>
  <c r="E51" i="17"/>
  <c r="D32" i="17"/>
  <c r="O32" i="17"/>
  <c r="Q93" i="17"/>
  <c r="P93" i="17"/>
  <c r="R93" i="17"/>
  <c r="X93" i="17"/>
  <c r="S93" i="17"/>
  <c r="V93" i="17"/>
  <c r="W93" i="17"/>
  <c r="Z93" i="17"/>
  <c r="AA93" i="17" s="1"/>
  <c r="T93" i="17"/>
  <c r="U31" i="17"/>
  <c r="J31" i="17"/>
  <c r="F31" i="17" s="1"/>
  <c r="D95" i="17"/>
  <c r="O95" i="17"/>
  <c r="T92" i="17"/>
  <c r="S92" i="17"/>
  <c r="Q92" i="17"/>
  <c r="R92" i="17"/>
  <c r="X92" i="17"/>
  <c r="W92" i="17"/>
  <c r="V92" i="17"/>
  <c r="E92" i="17"/>
  <c r="F92" i="17"/>
  <c r="I92" i="17"/>
  <c r="AA72" i="17"/>
  <c r="S72" i="17"/>
  <c r="W72" i="17"/>
  <c r="P72" i="17"/>
  <c r="R72" i="17"/>
  <c r="X72" i="17" s="1"/>
  <c r="T72" i="17"/>
  <c r="U94" i="17"/>
  <c r="J94" i="17"/>
  <c r="I94" i="17" s="1"/>
  <c r="F52" i="17"/>
  <c r="H52" i="17"/>
  <c r="L52" i="17"/>
  <c r="I52" i="17"/>
  <c r="E52" i="17"/>
  <c r="G52" i="17"/>
  <c r="U74" i="17"/>
  <c r="S74" i="17" s="1"/>
  <c r="J74" i="17"/>
  <c r="I74" i="17" s="1"/>
  <c r="E73" i="17"/>
  <c r="F73" i="17"/>
  <c r="H93" i="17"/>
  <c r="E93" i="17"/>
  <c r="G93" i="17"/>
  <c r="M93" i="17" s="1"/>
  <c r="S73" i="17"/>
  <c r="Q73" i="17"/>
  <c r="V73" i="17"/>
  <c r="W73" i="17"/>
  <c r="R73" i="17"/>
  <c r="X73" i="17" s="1"/>
  <c r="J95" i="17"/>
  <c r="U95" i="17"/>
  <c r="T95" i="17" s="1"/>
  <c r="D76" i="17"/>
  <c r="O76" i="17"/>
  <c r="G94" i="17"/>
  <c r="M94" i="17" s="1"/>
  <c r="K94" i="17"/>
  <c r="F94" i="17"/>
  <c r="H94" i="17"/>
  <c r="L94" i="17"/>
  <c r="BC54" i="14"/>
  <c r="BF54" i="14"/>
  <c r="F74" i="17"/>
  <c r="L74" i="17"/>
  <c r="G74" i="17"/>
  <c r="M74" i="17" s="1"/>
  <c r="H74" i="17"/>
  <c r="S95" i="17"/>
  <c r="P95" i="17"/>
  <c r="F95" i="17"/>
  <c r="H95" i="17"/>
  <c r="E95" i="17"/>
  <c r="L95" i="17"/>
  <c r="G95" i="17"/>
  <c r="M95" i="17"/>
  <c r="I95" i="17"/>
  <c r="K95" i="17"/>
  <c r="V74" i="17"/>
  <c r="Z74" i="17"/>
  <c r="AA74" i="17"/>
  <c r="Q74" i="17"/>
  <c r="E31" i="17"/>
  <c r="K31" i="17"/>
  <c r="G31" i="17"/>
  <c r="L31" i="17"/>
  <c r="I31" i="17"/>
  <c r="H31" i="17"/>
  <c r="BC95" i="14"/>
  <c r="BF95" i="14"/>
  <c r="O54" i="17"/>
  <c r="D54" i="17"/>
  <c r="BC98" i="14"/>
  <c r="BF98" i="14" s="1"/>
  <c r="BC77" i="14"/>
  <c r="BF77" i="14" s="1"/>
  <c r="Q31" i="17"/>
  <c r="R31" i="17"/>
  <c r="X31" i="17" s="1"/>
  <c r="T31" i="17"/>
  <c r="P31" i="17"/>
  <c r="Z31" i="17"/>
  <c r="AA31" i="17"/>
  <c r="S31" i="17"/>
  <c r="V31" i="17"/>
  <c r="W31" i="17"/>
  <c r="U32" i="17"/>
  <c r="Z32" i="17" s="1"/>
  <c r="AA32" i="17" s="1"/>
  <c r="J32" i="17"/>
  <c r="D14" i="17"/>
  <c r="O14" i="17"/>
  <c r="V94" i="17"/>
  <c r="Q94" i="17"/>
  <c r="R94" i="17"/>
  <c r="X94" i="17" s="1"/>
  <c r="Z94" i="17"/>
  <c r="AA94" i="17"/>
  <c r="T94" i="17"/>
  <c r="W94" i="17"/>
  <c r="P94" i="17"/>
  <c r="S94" i="17"/>
  <c r="J75" i="17"/>
  <c r="K75" i="17" s="1"/>
  <c r="U75" i="17"/>
  <c r="T75" i="17" s="1"/>
  <c r="BC96" i="14"/>
  <c r="BF96" i="14"/>
  <c r="U53" i="17"/>
  <c r="Q53" i="17" s="1"/>
  <c r="J53" i="17"/>
  <c r="U33" i="17"/>
  <c r="V33" i="17" s="1"/>
  <c r="J33" i="17"/>
  <c r="F33" i="17" s="1"/>
  <c r="D96" i="17"/>
  <c r="O96" i="17"/>
  <c r="BC55" i="14"/>
  <c r="BF55" i="14"/>
  <c r="D33" i="17"/>
  <c r="O33" i="17"/>
  <c r="BC75" i="14"/>
  <c r="BF75" i="14" s="1"/>
  <c r="I33" i="17"/>
  <c r="K33" i="17"/>
  <c r="G33" i="17"/>
  <c r="M33" i="17"/>
  <c r="L33" i="17"/>
  <c r="H33" i="17"/>
  <c r="E33" i="17"/>
  <c r="R33" i="17"/>
  <c r="X33" i="17" s="1"/>
  <c r="W33" i="17"/>
  <c r="S33" i="17"/>
  <c r="P33" i="17"/>
  <c r="Q33" i="17"/>
  <c r="T33" i="17"/>
  <c r="D77" i="17"/>
  <c r="O77" i="17"/>
  <c r="D34" i="17"/>
  <c r="O34" i="17"/>
  <c r="U54" i="17"/>
  <c r="J54" i="17"/>
  <c r="F54" i="17" s="1"/>
  <c r="U96" i="17"/>
  <c r="J96" i="17"/>
  <c r="G96" i="17" s="1"/>
  <c r="M96" i="17" s="1"/>
  <c r="D55" i="17"/>
  <c r="M55" i="17" s="1"/>
  <c r="O55" i="17"/>
  <c r="O97" i="17"/>
  <c r="D97" i="17"/>
  <c r="E75" i="17"/>
  <c r="H75" i="17"/>
  <c r="F75" i="17"/>
  <c r="L75" i="17"/>
  <c r="G75" i="17"/>
  <c r="M75" i="17" s="1"/>
  <c r="I75" i="17"/>
  <c r="R32" i="17"/>
  <c r="X32" i="17"/>
  <c r="Q32" i="17"/>
  <c r="S32" i="17"/>
  <c r="T32" i="17"/>
  <c r="W32" i="17"/>
  <c r="V32" i="17"/>
  <c r="BC56" i="14"/>
  <c r="BF56" i="14" s="1"/>
  <c r="J76" i="17"/>
  <c r="H76" i="17" s="1"/>
  <c r="U76" i="17"/>
  <c r="Z76" i="17" s="1"/>
  <c r="AA76" i="17" s="1"/>
  <c r="R75" i="17"/>
  <c r="X75" i="17"/>
  <c r="S75" i="17"/>
  <c r="V75" i="17"/>
  <c r="Z75" i="17"/>
  <c r="AA75" i="17"/>
  <c r="Q75" i="17"/>
  <c r="W75" i="17"/>
  <c r="P75" i="17"/>
  <c r="BC34" i="14"/>
  <c r="BF34" i="14" s="1"/>
  <c r="P53" i="17"/>
  <c r="V53" i="17"/>
  <c r="R53" i="17"/>
  <c r="X53" i="17" s="1"/>
  <c r="Z53" i="17"/>
  <c r="AA53" i="17" s="1"/>
  <c r="S53" i="17"/>
  <c r="BC97" i="14"/>
  <c r="BF97" i="14"/>
  <c r="D56" i="17"/>
  <c r="O56" i="17"/>
  <c r="D35" i="17"/>
  <c r="O35" i="17"/>
  <c r="U97" i="17"/>
  <c r="J97" i="17"/>
  <c r="K97" i="17" s="1"/>
  <c r="U77" i="17"/>
  <c r="J77" i="17"/>
  <c r="L77" i="17" s="1"/>
  <c r="O78" i="17"/>
  <c r="D78" i="17"/>
  <c r="H96" i="17"/>
  <c r="K96" i="17"/>
  <c r="F96" i="17"/>
  <c r="I96" i="17"/>
  <c r="L96" i="17"/>
  <c r="V76" i="17"/>
  <c r="P76" i="17"/>
  <c r="R76" i="17"/>
  <c r="X76" i="17"/>
  <c r="W76" i="17"/>
  <c r="T76" i="17"/>
  <c r="Q76" i="17"/>
  <c r="S76" i="17"/>
  <c r="BC35" i="14"/>
  <c r="BF35" i="14"/>
  <c r="D98" i="17"/>
  <c r="O98" i="17"/>
  <c r="U56" i="17"/>
  <c r="T56" i="17" s="1"/>
  <c r="J56" i="17"/>
  <c r="E56" i="17" s="1"/>
  <c r="O16" i="17"/>
  <c r="D16" i="17"/>
  <c r="J55" i="17"/>
  <c r="I55" i="17" s="1"/>
  <c r="U55" i="17"/>
  <c r="BC78" i="14"/>
  <c r="BF78" i="14" s="1"/>
  <c r="W96" i="17"/>
  <c r="S96" i="17"/>
  <c r="Q96" i="17"/>
  <c r="R96" i="17"/>
  <c r="X96" i="17" s="1"/>
  <c r="T96" i="17"/>
  <c r="V96" i="17"/>
  <c r="P96" i="17"/>
  <c r="Z96" i="17"/>
  <c r="AA96" i="17" s="1"/>
  <c r="BC36" i="14"/>
  <c r="BF36" i="14"/>
  <c r="BC57" i="14"/>
  <c r="BF57" i="14"/>
  <c r="BC17" i="14"/>
  <c r="I76" i="17"/>
  <c r="L76" i="17"/>
  <c r="K76" i="17"/>
  <c r="F76" i="17"/>
  <c r="G76" i="17"/>
  <c r="M76" i="17" s="1"/>
  <c r="E76" i="17"/>
  <c r="J34" i="17"/>
  <c r="U34" i="17"/>
  <c r="V34" i="17" s="1"/>
  <c r="L54" i="17"/>
  <c r="I54" i="17"/>
  <c r="K54" i="17"/>
  <c r="H54" i="17"/>
  <c r="E54" i="17"/>
  <c r="R54" i="17"/>
  <c r="X54" i="17" s="1"/>
  <c r="J35" i="17"/>
  <c r="U35" i="17"/>
  <c r="Q35" i="17" s="1"/>
  <c r="D36" i="17"/>
  <c r="O36" i="17"/>
  <c r="Q34" i="17"/>
  <c r="W34" i="17"/>
  <c r="S34" i="17"/>
  <c r="P34" i="17"/>
  <c r="T34" i="17"/>
  <c r="D17" i="17"/>
  <c r="O17" i="17"/>
  <c r="L34" i="17"/>
  <c r="G34" i="17"/>
  <c r="M34" i="17" s="1"/>
  <c r="E34" i="17"/>
  <c r="F34" i="17"/>
  <c r="I34" i="17"/>
  <c r="K34" i="17"/>
  <c r="H34" i="17"/>
  <c r="BC59" i="14"/>
  <c r="BF59" i="14"/>
  <c r="BC99" i="14"/>
  <c r="BF99" i="14" s="1"/>
  <c r="BC79" i="14"/>
  <c r="BF79" i="14" s="1"/>
  <c r="J98" i="17"/>
  <c r="L98" i="17" s="1"/>
  <c r="U98" i="17"/>
  <c r="V98" i="17" s="1"/>
  <c r="O99" i="17"/>
  <c r="D99" i="17"/>
  <c r="M99" i="17" s="1"/>
  <c r="U78" i="17"/>
  <c r="P78" i="17" s="1"/>
  <c r="J78" i="17"/>
  <c r="H78" i="17" s="1"/>
  <c r="R56" i="17"/>
  <c r="X56" i="17" s="1"/>
  <c r="P56" i="17"/>
  <c r="Z56" i="17"/>
  <c r="AA56" i="17"/>
  <c r="V56" i="17"/>
  <c r="D79" i="17"/>
  <c r="O79" i="17"/>
  <c r="F97" i="17"/>
  <c r="I97" i="17"/>
  <c r="H97" i="17"/>
  <c r="L97" i="17"/>
  <c r="E97" i="17"/>
  <c r="Q55" i="17"/>
  <c r="Q97" i="17"/>
  <c r="P97" i="17"/>
  <c r="Z97" i="17"/>
  <c r="AA97" i="17" s="1"/>
  <c r="W97" i="17"/>
  <c r="R97" i="17"/>
  <c r="X97" i="17" s="1"/>
  <c r="S97" i="17"/>
  <c r="V97" i="17"/>
  <c r="T97" i="17"/>
  <c r="F77" i="17"/>
  <c r="K77" i="17"/>
  <c r="H77" i="17"/>
  <c r="G77" i="17"/>
  <c r="M77" i="17"/>
  <c r="I77" i="17"/>
  <c r="U99" i="17"/>
  <c r="S99" i="17" s="1"/>
  <c r="J99" i="17"/>
  <c r="H99" i="17" s="1"/>
  <c r="BC100" i="14"/>
  <c r="BF100" i="14" s="1"/>
  <c r="G56" i="17"/>
  <c r="M56" i="17"/>
  <c r="I56" i="17"/>
  <c r="K56" i="17"/>
  <c r="H56" i="17"/>
  <c r="F56" i="17"/>
  <c r="G55" i="17"/>
  <c r="E55" i="17"/>
  <c r="K55" i="17"/>
  <c r="L55" i="17"/>
  <c r="F55" i="17"/>
  <c r="O57" i="17"/>
  <c r="D57" i="17"/>
  <c r="T77" i="17"/>
  <c r="Z77" i="17"/>
  <c r="AA77" i="17" s="1"/>
  <c r="V77" i="17"/>
  <c r="W77" i="17"/>
  <c r="Q77" i="17"/>
  <c r="R77" i="17"/>
  <c r="X77" i="17"/>
  <c r="P77" i="17"/>
  <c r="S77" i="17"/>
  <c r="D37" i="17"/>
  <c r="O37" i="17"/>
  <c r="O80" i="17"/>
  <c r="D80" i="17"/>
  <c r="J57" i="17"/>
  <c r="U57" i="17"/>
  <c r="E98" i="17"/>
  <c r="F98" i="17"/>
  <c r="K98" i="17"/>
  <c r="I98" i="17"/>
  <c r="G98" i="17"/>
  <c r="M98" i="17"/>
  <c r="J79" i="17"/>
  <c r="U79" i="17"/>
  <c r="BC19" i="14"/>
  <c r="F78" i="17"/>
  <c r="L78" i="17"/>
  <c r="K78" i="17"/>
  <c r="T78" i="17"/>
  <c r="R78" i="17"/>
  <c r="X78" i="17" s="1"/>
  <c r="U80" i="17"/>
  <c r="S80" i="17" s="1"/>
  <c r="J80" i="17"/>
  <c r="I80" i="17" s="1"/>
  <c r="J100" i="17"/>
  <c r="U100" i="17"/>
  <c r="J36" i="17"/>
  <c r="U36" i="17"/>
  <c r="D100" i="17"/>
  <c r="O100" i="17"/>
  <c r="BC80" i="14"/>
  <c r="BF80" i="14" s="1"/>
  <c r="BC102" i="14"/>
  <c r="BF102" i="14" s="1"/>
  <c r="BC58" i="14"/>
  <c r="BF58" i="14"/>
  <c r="J58" i="17"/>
  <c r="U58" i="17"/>
  <c r="O58" i="17"/>
  <c r="D58" i="17"/>
  <c r="T99" i="17"/>
  <c r="R99" i="17"/>
  <c r="X99" i="17" s="1"/>
  <c r="P99" i="17"/>
  <c r="W99" i="17"/>
  <c r="Z99" i="17"/>
  <c r="AA99" i="17" s="1"/>
  <c r="BC18" i="14"/>
  <c r="R98" i="17"/>
  <c r="X98" i="17" s="1"/>
  <c r="T98" i="17"/>
  <c r="W98" i="17"/>
  <c r="P98" i="17"/>
  <c r="P35" i="17"/>
  <c r="R35" i="17"/>
  <c r="X35" i="17" s="1"/>
  <c r="V35" i="17"/>
  <c r="S35" i="17"/>
  <c r="T35" i="17"/>
  <c r="Z35" i="17"/>
  <c r="AA35" i="17"/>
  <c r="W35" i="17"/>
  <c r="L99" i="17"/>
  <c r="E99" i="17"/>
  <c r="G99" i="17"/>
  <c r="K99" i="17"/>
  <c r="F99" i="17"/>
  <c r="I99" i="17"/>
  <c r="BC37" i="14"/>
  <c r="BF37" i="14"/>
  <c r="H35" i="17"/>
  <c r="BC38" i="14"/>
  <c r="BF38" i="14" s="1"/>
  <c r="BC103" i="14"/>
  <c r="BF103" i="14" s="1"/>
  <c r="U37" i="17"/>
  <c r="J37" i="17"/>
  <c r="U19" i="17"/>
  <c r="J19" i="17"/>
  <c r="O19" i="17"/>
  <c r="D19" i="17"/>
  <c r="H100" i="17"/>
  <c r="H57" i="17"/>
  <c r="K57" i="17"/>
  <c r="I57" i="17"/>
  <c r="G57" i="17"/>
  <c r="M57" i="17" s="1"/>
  <c r="E57" i="17"/>
  <c r="F57" i="17"/>
  <c r="L57" i="17"/>
  <c r="D59" i="17"/>
  <c r="O59" i="17"/>
  <c r="X59" i="17" s="1"/>
  <c r="F80" i="17"/>
  <c r="E80" i="17"/>
  <c r="G80" i="17"/>
  <c r="M80" i="17"/>
  <c r="H80" i="17"/>
  <c r="K80" i="17"/>
  <c r="L80" i="17"/>
  <c r="R80" i="17"/>
  <c r="X80" i="17" s="1"/>
  <c r="V80" i="17"/>
  <c r="T80" i="17"/>
  <c r="Q80" i="17"/>
  <c r="W80" i="17"/>
  <c r="BC81" i="14"/>
  <c r="BF81" i="14"/>
  <c r="BC82" i="14"/>
  <c r="BF82" i="14"/>
  <c r="J81" i="17"/>
  <c r="U81" i="17"/>
  <c r="O81" i="17"/>
  <c r="D81" i="17"/>
  <c r="D101" i="17"/>
  <c r="O101" i="17"/>
  <c r="BC61" i="14"/>
  <c r="BF61" i="14" s="1"/>
  <c r="W58" i="17"/>
  <c r="V58" i="17"/>
  <c r="R58" i="17"/>
  <c r="X58" i="17" s="1"/>
  <c r="Z58" i="17"/>
  <c r="AA58" i="17" s="1"/>
  <c r="S58" i="17"/>
  <c r="T58" i="17"/>
  <c r="P58" i="17"/>
  <c r="Q58" i="17"/>
  <c r="G58" i="17"/>
  <c r="M58" i="17" s="1"/>
  <c r="E58" i="17"/>
  <c r="K58" i="17"/>
  <c r="F58" i="17"/>
  <c r="I58" i="17"/>
  <c r="L58" i="17"/>
  <c r="H58" i="17"/>
  <c r="V36" i="17"/>
  <c r="T36" i="17"/>
  <c r="S36" i="17"/>
  <c r="Q36" i="17"/>
  <c r="W36" i="17"/>
  <c r="P36" i="17"/>
  <c r="Z36" i="17"/>
  <c r="AA36" i="17" s="1"/>
  <c r="R36" i="17"/>
  <c r="X36" i="17" s="1"/>
  <c r="P57" i="17"/>
  <c r="W57" i="17"/>
  <c r="T57" i="17"/>
  <c r="S57" i="17"/>
  <c r="Q57" i="17"/>
  <c r="Z57" i="17"/>
  <c r="AA57" i="17"/>
  <c r="V57" i="17"/>
  <c r="R57" i="17"/>
  <c r="X57" i="17" s="1"/>
  <c r="F36" i="17"/>
  <c r="H36" i="17"/>
  <c r="E36" i="17"/>
  <c r="I36" i="17"/>
  <c r="K36" i="17"/>
  <c r="G36" i="17"/>
  <c r="M36" i="17"/>
  <c r="L36" i="17"/>
  <c r="U59" i="17"/>
  <c r="J59" i="17"/>
  <c r="O38" i="17"/>
  <c r="AA38" i="17" s="1"/>
  <c r="D38" i="17"/>
  <c r="BC101" i="14"/>
  <c r="BF101" i="14" s="1"/>
  <c r="K79" i="17"/>
  <c r="F79" i="17"/>
  <c r="I79" i="17"/>
  <c r="H79" i="17"/>
  <c r="G79" i="17"/>
  <c r="M79" i="17" s="1"/>
  <c r="L79" i="17"/>
  <c r="E79" i="17"/>
  <c r="P100" i="17"/>
  <c r="S100" i="17"/>
  <c r="Q100" i="17"/>
  <c r="R100" i="17"/>
  <c r="X100" i="17"/>
  <c r="Z100" i="17"/>
  <c r="AA100" i="17"/>
  <c r="T100" i="17"/>
  <c r="W100" i="17"/>
  <c r="V100" i="17"/>
  <c r="P79" i="17"/>
  <c r="V79" i="17"/>
  <c r="S19" i="17"/>
  <c r="Q19" i="17"/>
  <c r="W19" i="17"/>
  <c r="P19" i="17"/>
  <c r="R19" i="17"/>
  <c r="X19" i="17" s="1"/>
  <c r="T19" i="17"/>
  <c r="Z19" i="17"/>
  <c r="AA19" i="17" s="1"/>
  <c r="V19" i="17"/>
  <c r="BC60" i="14"/>
  <c r="BF60" i="14"/>
  <c r="G59" i="17"/>
  <c r="M59" i="17" s="1"/>
  <c r="L59" i="17"/>
  <c r="H59" i="17"/>
  <c r="E59" i="17"/>
  <c r="I59" i="17"/>
  <c r="F59" i="17"/>
  <c r="K59" i="17"/>
  <c r="O102" i="17"/>
  <c r="D102" i="17"/>
  <c r="J101" i="17"/>
  <c r="U101" i="17"/>
  <c r="O39" i="17"/>
  <c r="D39" i="17"/>
  <c r="S81" i="17"/>
  <c r="Q81" i="17"/>
  <c r="O82" i="17"/>
  <c r="D82" i="17"/>
  <c r="BC83" i="14"/>
  <c r="BF83" i="14"/>
  <c r="D60" i="17"/>
  <c r="O60" i="17"/>
  <c r="BC20" i="14"/>
  <c r="P59" i="17"/>
  <c r="T59" i="17"/>
  <c r="W59" i="17"/>
  <c r="Z59" i="17"/>
  <c r="AA59" i="17" s="1"/>
  <c r="S59" i="17"/>
  <c r="R59" i="17"/>
  <c r="Q59" i="17"/>
  <c r="V59" i="17"/>
  <c r="D20" i="17"/>
  <c r="O20" i="17"/>
  <c r="AA20" i="17" s="1"/>
  <c r="I37" i="17"/>
  <c r="K37" i="17"/>
  <c r="G37" i="17"/>
  <c r="M37" i="17"/>
  <c r="F37" i="17"/>
  <c r="E37" i="17"/>
  <c r="L37" i="17"/>
  <c r="H37" i="17"/>
  <c r="E81" i="17"/>
  <c r="H81" i="17"/>
  <c r="F81" i="17"/>
  <c r="I81" i="17"/>
  <c r="L81" i="17"/>
  <c r="K81" i="17"/>
  <c r="G81" i="17"/>
  <c r="M81" i="17"/>
  <c r="BC39" i="14"/>
  <c r="BF39" i="14" s="1"/>
  <c r="U38" i="17"/>
  <c r="J38" i="17"/>
  <c r="G19" i="17"/>
  <c r="H19" i="17"/>
  <c r="L19" i="17"/>
  <c r="I19" i="17"/>
  <c r="F19" i="17"/>
  <c r="E19" i="17"/>
  <c r="K19" i="17"/>
  <c r="U40" i="17"/>
  <c r="J40" i="17"/>
  <c r="G40" i="17" s="1"/>
  <c r="M40" i="17" s="1"/>
  <c r="BC21" i="14"/>
  <c r="BC62" i="14"/>
  <c r="BF62" i="14"/>
  <c r="BC84" i="14"/>
  <c r="BF84" i="14" s="1"/>
  <c r="BC22" i="14"/>
  <c r="D61" i="17"/>
  <c r="O61" i="17"/>
  <c r="J39" i="17"/>
  <c r="U39" i="17"/>
  <c r="BC40" i="14"/>
  <c r="BF40" i="14"/>
  <c r="P101" i="17"/>
  <c r="W101" i="17"/>
  <c r="V101" i="17"/>
  <c r="D83" i="17"/>
  <c r="O83" i="17"/>
  <c r="F101" i="17"/>
  <c r="E101" i="17"/>
  <c r="I101" i="17"/>
  <c r="H101" i="17"/>
  <c r="L101" i="17"/>
  <c r="K101" i="17"/>
  <c r="G101" i="17"/>
  <c r="M101" i="17" s="1"/>
  <c r="J60" i="17"/>
  <c r="U60" i="17"/>
  <c r="U21" i="17"/>
  <c r="Z21" i="17" s="1"/>
  <c r="AA21" i="17" s="1"/>
  <c r="J21" i="17"/>
  <c r="L21" i="17" s="1"/>
  <c r="U20" i="17"/>
  <c r="T20" i="17" s="1"/>
  <c r="J20" i="17"/>
  <c r="E20" i="17" s="1"/>
  <c r="BC41" i="14"/>
  <c r="BF41" i="14"/>
  <c r="H38" i="17"/>
  <c r="I38" i="17"/>
  <c r="U61" i="17"/>
  <c r="J61" i="17"/>
  <c r="T38" i="17"/>
  <c r="P38" i="17"/>
  <c r="Z38" i="17"/>
  <c r="Q38" i="17"/>
  <c r="S38" i="17"/>
  <c r="V38" i="17"/>
  <c r="W38" i="17"/>
  <c r="R38" i="17"/>
  <c r="J82" i="17"/>
  <c r="U82" i="17"/>
  <c r="T82" i="17" s="1"/>
  <c r="J102" i="17"/>
  <c r="U102" i="17"/>
  <c r="T102" i="17" s="1"/>
  <c r="D21" i="17"/>
  <c r="O21" i="17"/>
  <c r="O103" i="17"/>
  <c r="D103" i="17"/>
  <c r="O40" i="17"/>
  <c r="D40" i="17"/>
  <c r="O22" i="17"/>
  <c r="D22" i="17"/>
  <c r="I39" i="17"/>
  <c r="L39" i="17"/>
  <c r="H39" i="17"/>
  <c r="G39" i="17"/>
  <c r="M39" i="17" s="1"/>
  <c r="F39" i="17"/>
  <c r="K39" i="17"/>
  <c r="E39" i="17"/>
  <c r="BC24" i="14"/>
  <c r="J103" i="17"/>
  <c r="U103" i="17"/>
  <c r="E21" i="17"/>
  <c r="U83" i="17"/>
  <c r="J83" i="17"/>
  <c r="U41" i="17"/>
  <c r="J41" i="17"/>
  <c r="L41" i="17" s="1"/>
  <c r="T21" i="17"/>
  <c r="V21" i="17"/>
  <c r="O41" i="17"/>
  <c r="D41" i="17"/>
  <c r="O84" i="17"/>
  <c r="D84" i="17"/>
  <c r="V39" i="17"/>
  <c r="U22" i="17"/>
  <c r="J22" i="17"/>
  <c r="H22" i="17" s="1"/>
  <c r="BC104" i="14"/>
  <c r="BF104" i="14" s="1"/>
  <c r="W82" i="17"/>
  <c r="P82" i="17"/>
  <c r="G82" i="17"/>
  <c r="M82" i="17" s="1"/>
  <c r="K82" i="17"/>
  <c r="L82" i="17"/>
  <c r="F82" i="17"/>
  <c r="E82" i="17"/>
  <c r="I82" i="17"/>
  <c r="H82" i="17"/>
  <c r="D104" i="17"/>
  <c r="O104" i="17"/>
  <c r="D62" i="17"/>
  <c r="O62" i="17"/>
  <c r="W60" i="17"/>
  <c r="S60" i="17"/>
  <c r="R60" i="17"/>
  <c r="X60" i="17" s="1"/>
  <c r="Z102" i="17"/>
  <c r="AA102" i="17" s="1"/>
  <c r="G20" i="17"/>
  <c r="M20" i="17"/>
  <c r="K20" i="17"/>
  <c r="L20" i="17"/>
  <c r="I20" i="17"/>
  <c r="F20" i="17"/>
  <c r="H20" i="17"/>
  <c r="H60" i="17"/>
  <c r="K60" i="17"/>
  <c r="E60" i="17"/>
  <c r="L60" i="17"/>
  <c r="G60" i="17"/>
  <c r="M60" i="17" s="1"/>
  <c r="I60" i="17"/>
  <c r="F60" i="17"/>
  <c r="K40" i="17"/>
  <c r="L40" i="17"/>
  <c r="F40" i="17"/>
  <c r="I40" i="17"/>
  <c r="I61" i="17"/>
  <c r="E61" i="17"/>
  <c r="G61" i="17"/>
  <c r="M61" i="17" s="1"/>
  <c r="F61" i="17"/>
  <c r="K61" i="17"/>
  <c r="L61" i="17"/>
  <c r="H61" i="17"/>
  <c r="S61" i="17"/>
  <c r="P61" i="17"/>
  <c r="Z61" i="17"/>
  <c r="AA61" i="17" s="1"/>
  <c r="W61" i="17"/>
  <c r="Q61" i="17"/>
  <c r="T61" i="17"/>
  <c r="R61" i="17"/>
  <c r="X61" i="17"/>
  <c r="V61" i="17"/>
  <c r="W20" i="17"/>
  <c r="Z20" i="17"/>
  <c r="R20" i="17"/>
  <c r="X20" i="17"/>
  <c r="S20" i="17"/>
  <c r="P20" i="17"/>
  <c r="V20" i="17"/>
  <c r="T40" i="17"/>
  <c r="V40" i="17"/>
  <c r="Q40" i="17"/>
  <c r="S40" i="17"/>
  <c r="P40" i="17"/>
  <c r="W40" i="17"/>
  <c r="R40" i="17"/>
  <c r="X40" i="17" s="1"/>
  <c r="Z40" i="17"/>
  <c r="AA40" i="17" s="1"/>
  <c r="F102" i="17"/>
  <c r="G102" i="17"/>
  <c r="M102" i="17"/>
  <c r="H102" i="17"/>
  <c r="K102" i="17"/>
  <c r="L102" i="17"/>
  <c r="I102" i="17"/>
  <c r="E102" i="17"/>
  <c r="I41" i="17"/>
  <c r="E41" i="17"/>
  <c r="BC23" i="14"/>
  <c r="BF23" i="14"/>
  <c r="BC63" i="14"/>
  <c r="BF63" i="14"/>
  <c r="U104" i="17"/>
  <c r="J104" i="17"/>
  <c r="BC86" i="14"/>
  <c r="BF86" i="14" s="1"/>
  <c r="AY74" i="14"/>
  <c r="G103" i="17"/>
  <c r="M103" i="17" s="1"/>
  <c r="I103" i="17"/>
  <c r="H103" i="17"/>
  <c r="E103" i="17"/>
  <c r="F103" i="17"/>
  <c r="L103" i="17"/>
  <c r="K103" i="17"/>
  <c r="O85" i="17"/>
  <c r="X85" i="17" s="1"/>
  <c r="D85" i="17"/>
  <c r="U62" i="17"/>
  <c r="S62" i="17" s="1"/>
  <c r="J62" i="17"/>
  <c r="BC85" i="14"/>
  <c r="BF85" i="14" s="1"/>
  <c r="BC43" i="14"/>
  <c r="BF43" i="14"/>
  <c r="Q41" i="17"/>
  <c r="T41" i="17"/>
  <c r="V41" i="17"/>
  <c r="W41" i="17"/>
  <c r="S41" i="17"/>
  <c r="Z41" i="17"/>
  <c r="AA41" i="17" s="1"/>
  <c r="P41" i="17"/>
  <c r="R41" i="17"/>
  <c r="X41" i="17" s="1"/>
  <c r="J84" i="17"/>
  <c r="E84" i="17" s="1"/>
  <c r="U84" i="17"/>
  <c r="V83" i="17"/>
  <c r="P83" i="17"/>
  <c r="Z83" i="17"/>
  <c r="AA83" i="17"/>
  <c r="S83" i="17"/>
  <c r="R83" i="17"/>
  <c r="X83" i="17" s="1"/>
  <c r="Q83" i="17"/>
  <c r="W83" i="17"/>
  <c r="T83" i="17"/>
  <c r="BC42" i="14"/>
  <c r="BF42" i="14" s="1"/>
  <c r="BC64" i="14"/>
  <c r="BF64" i="14" s="1"/>
  <c r="G22" i="17"/>
  <c r="M22" i="17"/>
  <c r="L22" i="17"/>
  <c r="E22" i="17"/>
  <c r="F22" i="17"/>
  <c r="BC105" i="14"/>
  <c r="BF105" i="14" s="1"/>
  <c r="BC44" i="14"/>
  <c r="BF44" i="14"/>
  <c r="R103" i="17"/>
  <c r="X103" i="17" s="1"/>
  <c r="Q103" i="17"/>
  <c r="P103" i="17"/>
  <c r="V103" i="17"/>
  <c r="Z103" i="17"/>
  <c r="AA103" i="17" s="1"/>
  <c r="W103" i="17"/>
  <c r="S103" i="17"/>
  <c r="T103" i="17"/>
  <c r="H83" i="17"/>
  <c r="K83" i="17"/>
  <c r="D63" i="17"/>
  <c r="O63" i="17"/>
  <c r="D23" i="17"/>
  <c r="O23" i="17"/>
  <c r="S22" i="17"/>
  <c r="T22" i="17"/>
  <c r="Q22" i="17"/>
  <c r="P22" i="17"/>
  <c r="R22" i="17"/>
  <c r="X22" i="17"/>
  <c r="Z22" i="17"/>
  <c r="AA22" i="17" s="1"/>
  <c r="V22" i="17"/>
  <c r="W22" i="17"/>
  <c r="D105" i="17"/>
  <c r="M105" i="17" s="1"/>
  <c r="O105" i="17"/>
  <c r="O42" i="17"/>
  <c r="D42" i="17"/>
  <c r="U24" i="17"/>
  <c r="P24" i="17" s="1"/>
  <c r="J24" i="17"/>
  <c r="J105" i="17"/>
  <c r="U105" i="17"/>
  <c r="O64" i="17"/>
  <c r="D64" i="17"/>
  <c r="O106" i="17"/>
  <c r="D106" i="17"/>
  <c r="U85" i="17"/>
  <c r="J85" i="17"/>
  <c r="D24" i="17"/>
  <c r="O24" i="17"/>
  <c r="O86" i="17"/>
  <c r="D86" i="17"/>
  <c r="BC65" i="14"/>
  <c r="BF65" i="14"/>
  <c r="U63" i="17"/>
  <c r="J63" i="17"/>
  <c r="G63" i="17" s="1"/>
  <c r="M63" i="17" s="1"/>
  <c r="J23" i="17"/>
  <c r="U23" i="17"/>
  <c r="J42" i="17"/>
  <c r="U42" i="17"/>
  <c r="S42" i="17" s="1"/>
  <c r="J43" i="17"/>
  <c r="U43" i="17"/>
  <c r="AY39" i="14"/>
  <c r="D43" i="17"/>
  <c r="O43" i="17"/>
  <c r="AA43" i="17" s="1"/>
  <c r="BC25" i="14"/>
  <c r="BC106" i="14"/>
  <c r="BF106" i="14" s="1"/>
  <c r="Q104" i="17"/>
  <c r="W104" i="17"/>
  <c r="P104" i="17"/>
  <c r="V104" i="17"/>
  <c r="S104" i="17"/>
  <c r="T104" i="17"/>
  <c r="R104" i="17"/>
  <c r="X104" i="17" s="1"/>
  <c r="Z104" i="17"/>
  <c r="AA104" i="17" s="1"/>
  <c r="G62" i="17"/>
  <c r="M62" i="17" s="1"/>
  <c r="H62" i="17"/>
  <c r="I62" i="17"/>
  <c r="L62" i="17"/>
  <c r="E62" i="17"/>
  <c r="K62" i="17"/>
  <c r="F62" i="17"/>
  <c r="T62" i="17"/>
  <c r="Q62" i="17"/>
  <c r="P62" i="17"/>
  <c r="W62" i="17"/>
  <c r="Z62" i="17"/>
  <c r="AA62" i="17"/>
  <c r="T84" i="17"/>
  <c r="Z84" i="17"/>
  <c r="AA84" i="17"/>
  <c r="W84" i="17"/>
  <c r="Q84" i="17"/>
  <c r="V84" i="17"/>
  <c r="S84" i="17"/>
  <c r="P84" i="17"/>
  <c r="R84" i="17"/>
  <c r="X84" i="17"/>
  <c r="K84" i="17"/>
  <c r="F84" i="17"/>
  <c r="L84" i="17"/>
  <c r="H84" i="17"/>
  <c r="I84" i="17"/>
  <c r="J64" i="17"/>
  <c r="U64" i="17"/>
  <c r="E23" i="17"/>
  <c r="L23" i="17"/>
  <c r="H23" i="17"/>
  <c r="G23" i="17"/>
  <c r="M23" i="17"/>
  <c r="I23" i="17"/>
  <c r="F23" i="17"/>
  <c r="K23" i="17"/>
  <c r="AY65" i="14"/>
  <c r="BC66" i="14"/>
  <c r="BF66" i="14"/>
  <c r="R105" i="17"/>
  <c r="X105" i="17"/>
  <c r="S105" i="17"/>
  <c r="V105" i="17"/>
  <c r="P105" i="17"/>
  <c r="Q105" i="17"/>
  <c r="T105" i="17"/>
  <c r="W105" i="17"/>
  <c r="Z105" i="17"/>
  <c r="AA105" i="17"/>
  <c r="G105" i="17"/>
  <c r="F105" i="17"/>
  <c r="K105" i="17"/>
  <c r="L105" i="17"/>
  <c r="H105" i="17"/>
  <c r="I105" i="17"/>
  <c r="E105" i="17"/>
  <c r="D65" i="17"/>
  <c r="O65" i="17"/>
  <c r="J106" i="17"/>
  <c r="U106" i="17"/>
  <c r="S106" i="17" s="1"/>
  <c r="W43" i="17"/>
  <c r="S43" i="17"/>
  <c r="P43" i="17"/>
  <c r="Z43" i="17"/>
  <c r="Q43" i="17"/>
  <c r="V43" i="17"/>
  <c r="T43" i="17"/>
  <c r="R43" i="17"/>
  <c r="R85" i="17"/>
  <c r="S85" i="17"/>
  <c r="Z85" i="17"/>
  <c r="AA85" i="17" s="1"/>
  <c r="T85" i="17"/>
  <c r="V85" i="17"/>
  <c r="W85" i="17"/>
  <c r="Q85" i="17"/>
  <c r="P85" i="17"/>
  <c r="D44" i="17"/>
  <c r="O44" i="17"/>
  <c r="AA44" i="17" s="1"/>
  <c r="K43" i="17"/>
  <c r="L63" i="17"/>
  <c r="Z63" i="17"/>
  <c r="AA63" i="17"/>
  <c r="R63" i="17"/>
  <c r="X63" i="17"/>
  <c r="W63" i="17"/>
  <c r="Q63" i="17"/>
  <c r="P63" i="17"/>
  <c r="T63" i="17"/>
  <c r="V63" i="17"/>
  <c r="S63" i="17"/>
  <c r="P42" i="17"/>
  <c r="T42" i="17"/>
  <c r="Z42" i="17"/>
  <c r="AA42" i="17" s="1"/>
  <c r="R42" i="17"/>
  <c r="X42" i="17" s="1"/>
  <c r="V42" i="17"/>
  <c r="D25" i="17"/>
  <c r="O25" i="17"/>
  <c r="AA25" i="17" s="1"/>
  <c r="E42" i="17"/>
  <c r="I42" i="17"/>
  <c r="F42" i="17"/>
  <c r="G42" i="17"/>
  <c r="M42" i="17"/>
  <c r="L42" i="17"/>
  <c r="K42" i="17"/>
  <c r="H42" i="17"/>
  <c r="O87" i="17"/>
  <c r="D87" i="17"/>
  <c r="J86" i="17"/>
  <c r="K86" i="17" s="1"/>
  <c r="U86" i="17"/>
  <c r="AY87" i="14"/>
  <c r="BC87" i="14"/>
  <c r="BF87" i="14"/>
  <c r="AY26" i="14"/>
  <c r="BC26" i="14"/>
  <c r="G24" i="17"/>
  <c r="M24" i="17"/>
  <c r="L24" i="17"/>
  <c r="H24" i="17"/>
  <c r="E24" i="17"/>
  <c r="K24" i="17"/>
  <c r="F24" i="17"/>
  <c r="I24" i="17"/>
  <c r="BC107" i="14"/>
  <c r="BF107" i="14" s="1"/>
  <c r="O107" i="17"/>
  <c r="D107" i="17"/>
  <c r="BC88" i="14"/>
  <c r="BF88" i="14" s="1"/>
  <c r="T23" i="17"/>
  <c r="Q23" i="17"/>
  <c r="V23" i="17"/>
  <c r="R23" i="17"/>
  <c r="X23" i="17" s="1"/>
  <c r="S23" i="17"/>
  <c r="P23" i="17"/>
  <c r="W23" i="17"/>
  <c r="Z23" i="17"/>
  <c r="AA23" i="17"/>
  <c r="T24" i="17"/>
  <c r="E86" i="17"/>
  <c r="H86" i="17"/>
  <c r="L86" i="17"/>
  <c r="G86" i="17"/>
  <c r="M86" i="17" s="1"/>
  <c r="O108" i="17"/>
  <c r="D108" i="17"/>
  <c r="BC46" i="14"/>
  <c r="BF46" i="14"/>
  <c r="U25" i="17"/>
  <c r="J25" i="17"/>
  <c r="G25" i="17" s="1"/>
  <c r="M25" i="17" s="1"/>
  <c r="BC45" i="14"/>
  <c r="BF45" i="14"/>
  <c r="J65" i="17"/>
  <c r="U65" i="17"/>
  <c r="P64" i="17"/>
  <c r="Q64" i="17"/>
  <c r="Z64" i="17"/>
  <c r="AA64" i="17"/>
  <c r="S64" i="17"/>
  <c r="W64" i="17"/>
  <c r="T64" i="17"/>
  <c r="R64" i="17"/>
  <c r="X64" i="17"/>
  <c r="V64" i="17"/>
  <c r="J107" i="17"/>
  <c r="U107" i="17"/>
  <c r="T107" i="17" s="1"/>
  <c r="BC27" i="14"/>
  <c r="D45" i="17"/>
  <c r="O45" i="17"/>
  <c r="Z106" i="17"/>
  <c r="AA106" i="17" s="1"/>
  <c r="T106" i="17"/>
  <c r="Q106" i="17"/>
  <c r="V106" i="17"/>
  <c r="P106" i="17"/>
  <c r="W106" i="17"/>
  <c r="K106" i="17"/>
  <c r="E106" i="17"/>
  <c r="F106" i="17"/>
  <c r="H106" i="17"/>
  <c r="I106" i="17"/>
  <c r="L106" i="17"/>
  <c r="G106" i="17"/>
  <c r="M106" i="17" s="1"/>
  <c r="BC108" i="14"/>
  <c r="BF108" i="14" s="1"/>
  <c r="J87" i="17"/>
  <c r="U87" i="17"/>
  <c r="U44" i="17"/>
  <c r="J44" i="17"/>
  <c r="D88" i="17"/>
  <c r="O88" i="17"/>
  <c r="O66" i="17"/>
  <c r="D66" i="17"/>
  <c r="BC89" i="14"/>
  <c r="BF89" i="14" s="1"/>
  <c r="O26" i="17"/>
  <c r="D26" i="17"/>
  <c r="K64" i="17"/>
  <c r="L64" i="17"/>
  <c r="F64" i="17"/>
  <c r="R86" i="17"/>
  <c r="X86" i="17" s="1"/>
  <c r="T86" i="17"/>
  <c r="Z86" i="17"/>
  <c r="AA86" i="17"/>
  <c r="Q86" i="17"/>
  <c r="W86" i="17"/>
  <c r="S86" i="17"/>
  <c r="P86" i="17"/>
  <c r="V86" i="17"/>
  <c r="J66" i="17"/>
  <c r="U66" i="17"/>
  <c r="T44" i="17"/>
  <c r="V44" i="17"/>
  <c r="Z44" i="17"/>
  <c r="R44" i="17"/>
  <c r="P44" i="17"/>
  <c r="W44" i="17"/>
  <c r="Q44" i="17"/>
  <c r="S44" i="17"/>
  <c r="U26" i="17"/>
  <c r="S26" i="17" s="1"/>
  <c r="J26" i="17"/>
  <c r="Q65" i="17"/>
  <c r="P65" i="17"/>
  <c r="S65" i="17"/>
  <c r="T65" i="17"/>
  <c r="V65" i="17"/>
  <c r="Z65" i="17"/>
  <c r="AA65" i="17"/>
  <c r="R65" i="17"/>
  <c r="X65" i="17"/>
  <c r="W65" i="17"/>
  <c r="F65" i="17"/>
  <c r="K65" i="17"/>
  <c r="E65" i="17"/>
  <c r="H65" i="17"/>
  <c r="L65" i="17"/>
  <c r="G65" i="17"/>
  <c r="M65" i="17"/>
  <c r="I65" i="17"/>
  <c r="R107" i="17"/>
  <c r="X107" i="17" s="1"/>
  <c r="S107" i="17"/>
  <c r="Z107" i="17"/>
  <c r="AA107" i="17"/>
  <c r="P107" i="17"/>
  <c r="G44" i="17"/>
  <c r="M44" i="17" s="1"/>
  <c r="U45" i="17"/>
  <c r="V45" i="17" s="1"/>
  <c r="J45" i="17"/>
  <c r="O89" i="17"/>
  <c r="D89" i="17"/>
  <c r="Q87" i="17"/>
  <c r="S87" i="17"/>
  <c r="W87" i="17"/>
  <c r="R87" i="17"/>
  <c r="X87" i="17"/>
  <c r="T87" i="17"/>
  <c r="P87" i="17"/>
  <c r="V87" i="17"/>
  <c r="Z87" i="17"/>
  <c r="AA87" i="17" s="1"/>
  <c r="O27" i="17"/>
  <c r="AA27" i="17" s="1"/>
  <c r="D27" i="17"/>
  <c r="G87" i="17"/>
  <c r="M87" i="17" s="1"/>
  <c r="E87" i="17"/>
  <c r="I87" i="17"/>
  <c r="U46" i="17"/>
  <c r="S46" i="17" s="1"/>
  <c r="J46" i="17"/>
  <c r="D46" i="17"/>
  <c r="M46" i="17" s="1"/>
  <c r="O46" i="17"/>
  <c r="BC67" i="14"/>
  <c r="BF67" i="14" s="1"/>
  <c r="D109" i="17"/>
  <c r="O109" i="17"/>
  <c r="J88" i="17"/>
  <c r="U88" i="17"/>
  <c r="U67" i="17"/>
  <c r="Q67" i="17" s="1"/>
  <c r="J67" i="17"/>
  <c r="O67" i="17"/>
  <c r="D67" i="17"/>
  <c r="BC109" i="14"/>
  <c r="BF109" i="14" s="1"/>
  <c r="U108" i="17"/>
  <c r="W108" i="17" s="1"/>
  <c r="J108" i="17"/>
  <c r="G107" i="17"/>
  <c r="M107" i="17" s="1"/>
  <c r="K107" i="17"/>
  <c r="F107" i="17"/>
  <c r="L107" i="17"/>
  <c r="E107" i="17"/>
  <c r="H107" i="17"/>
  <c r="I107" i="17"/>
  <c r="H25" i="17"/>
  <c r="I25" i="17"/>
  <c r="L25" i="17"/>
  <c r="F25" i="17"/>
  <c r="K25" i="17"/>
  <c r="R25" i="17"/>
  <c r="Z25" i="17"/>
  <c r="V25" i="17"/>
  <c r="T25" i="17"/>
  <c r="W25" i="17"/>
  <c r="P25" i="17"/>
  <c r="Q25" i="17"/>
  <c r="S25" i="17"/>
  <c r="H108" i="17"/>
  <c r="E108" i="17"/>
  <c r="I108" i="17"/>
  <c r="F108" i="17"/>
  <c r="K108" i="17"/>
  <c r="L108" i="17"/>
  <c r="G108" i="17"/>
  <c r="M108" i="17" s="1"/>
  <c r="Q45" i="17"/>
  <c r="P45" i="17"/>
  <c r="R45" i="17"/>
  <c r="X45" i="17" s="1"/>
  <c r="S45" i="17"/>
  <c r="T45" i="17"/>
  <c r="Z45" i="17"/>
  <c r="AA45" i="17" s="1"/>
  <c r="W45" i="17"/>
  <c r="G88" i="17"/>
  <c r="M88" i="17"/>
  <c r="F88" i="17"/>
  <c r="E88" i="17"/>
  <c r="L88" i="17"/>
  <c r="I88" i="17"/>
  <c r="H88" i="17"/>
  <c r="K88" i="17"/>
  <c r="BC91" i="14"/>
  <c r="BF91" i="14"/>
  <c r="BC68" i="14"/>
  <c r="BF68" i="14"/>
  <c r="J109" i="17"/>
  <c r="F109" i="17" s="1"/>
  <c r="U109" i="17"/>
  <c r="U27" i="17"/>
  <c r="J27" i="17"/>
  <c r="V26" i="17"/>
  <c r="V108" i="17"/>
  <c r="P108" i="17"/>
  <c r="Q108" i="17"/>
  <c r="R108" i="17"/>
  <c r="X108" i="17" s="1"/>
  <c r="Z108" i="17"/>
  <c r="AA108" i="17" s="1"/>
  <c r="S108" i="17"/>
  <c r="BC70" i="14"/>
  <c r="BF70" i="14" s="1"/>
  <c r="D28" i="17"/>
  <c r="O28" i="17"/>
  <c r="F67" i="17"/>
  <c r="L67" i="17"/>
  <c r="H67" i="17"/>
  <c r="E67" i="17"/>
  <c r="I67" i="17"/>
  <c r="K67" i="17"/>
  <c r="G67" i="17"/>
  <c r="M67" i="17" s="1"/>
  <c r="BC69" i="14"/>
  <c r="BF69" i="14" s="1"/>
  <c r="BG54" i="14" s="1"/>
  <c r="H46" i="17"/>
  <c r="G46" i="17"/>
  <c r="K46" i="17"/>
  <c r="F46" i="17"/>
  <c r="E46" i="17"/>
  <c r="L46" i="17"/>
  <c r="I46" i="17"/>
  <c r="P67" i="17"/>
  <c r="R67" i="17"/>
  <c r="X67" i="17" s="1"/>
  <c r="BC90" i="14"/>
  <c r="BF90" i="14" s="1"/>
  <c r="I26" i="17"/>
  <c r="F26" i="17"/>
  <c r="E26" i="17"/>
  <c r="H26" i="17"/>
  <c r="K26" i="17"/>
  <c r="L26" i="17"/>
  <c r="G26" i="17"/>
  <c r="M26" i="17"/>
  <c r="R66" i="17"/>
  <c r="X66" i="17" s="1"/>
  <c r="P66" i="17"/>
  <c r="W66" i="17"/>
  <c r="T66" i="17"/>
  <c r="Z66" i="17"/>
  <c r="AA66" i="17"/>
  <c r="Q66" i="17"/>
  <c r="V66" i="17"/>
  <c r="S66" i="17"/>
  <c r="S88" i="17"/>
  <c r="T88" i="17"/>
  <c r="Z88" i="17"/>
  <c r="AA88" i="17" s="1"/>
  <c r="Q88" i="17"/>
  <c r="W88" i="17"/>
  <c r="P88" i="17"/>
  <c r="R88" i="17"/>
  <c r="X88" i="17"/>
  <c r="V88" i="17"/>
  <c r="E45" i="17"/>
  <c r="L45" i="17"/>
  <c r="I45" i="17"/>
  <c r="H45" i="17"/>
  <c r="G45" i="17"/>
  <c r="M45" i="17" s="1"/>
  <c r="F45" i="17"/>
  <c r="K45" i="17"/>
  <c r="BC29" i="14"/>
  <c r="BC47" i="14"/>
  <c r="BF47" i="14"/>
  <c r="BC28" i="14"/>
  <c r="BF28" i="14"/>
  <c r="O90" i="17"/>
  <c r="D90" i="17"/>
  <c r="D110" i="17"/>
  <c r="O110" i="17"/>
  <c r="BC110" i="14"/>
  <c r="BF110" i="14" s="1"/>
  <c r="O68" i="17"/>
  <c r="D68" i="17"/>
  <c r="U89" i="17"/>
  <c r="S89" i="17" s="1"/>
  <c r="J89" i="17"/>
  <c r="K89" i="17" s="1"/>
  <c r="V46" i="17"/>
  <c r="D47" i="17"/>
  <c r="M47" i="17" s="1"/>
  <c r="O47" i="17"/>
  <c r="H66" i="17"/>
  <c r="K66" i="17"/>
  <c r="I66" i="17"/>
  <c r="L66" i="17"/>
  <c r="F66" i="17"/>
  <c r="E66" i="17"/>
  <c r="G66" i="17"/>
  <c r="M66" i="17" s="1"/>
  <c r="E109" i="17"/>
  <c r="K109" i="17"/>
  <c r="L109" i="17"/>
  <c r="G109" i="17"/>
  <c r="M109" i="17"/>
  <c r="I109" i="17"/>
  <c r="H109" i="17"/>
  <c r="BC49" i="14"/>
  <c r="BF49" i="14" s="1"/>
  <c r="U90" i="17"/>
  <c r="P90" i="17" s="1"/>
  <c r="J90" i="17"/>
  <c r="E90" i="17" s="1"/>
  <c r="U69" i="17"/>
  <c r="S69" i="17" s="1"/>
  <c r="J69" i="17"/>
  <c r="I69" i="17" s="1"/>
  <c r="BC48" i="14"/>
  <c r="BF48" i="14" s="1"/>
  <c r="O69" i="17"/>
  <c r="D69" i="17"/>
  <c r="BC92" i="14"/>
  <c r="BF92" i="14" s="1"/>
  <c r="U68" i="17"/>
  <c r="W68" i="17" s="1"/>
  <c r="J68" i="17"/>
  <c r="U47" i="17"/>
  <c r="Z47" i="17" s="1"/>
  <c r="AA47" i="17" s="1"/>
  <c r="J47" i="17"/>
  <c r="D111" i="17"/>
  <c r="O111" i="17"/>
  <c r="I27" i="17"/>
  <c r="G27" i="17"/>
  <c r="M27" i="17" s="1"/>
  <c r="H27" i="17"/>
  <c r="E27" i="17"/>
  <c r="F27" i="17"/>
  <c r="K27" i="17"/>
  <c r="L27" i="17"/>
  <c r="U28" i="17"/>
  <c r="P28" i="17" s="1"/>
  <c r="J28" i="17"/>
  <c r="V27" i="17"/>
  <c r="Z27" i="17"/>
  <c r="P27" i="17"/>
  <c r="R27" i="17"/>
  <c r="X27" i="17"/>
  <c r="Q27" i="17"/>
  <c r="S27" i="17"/>
  <c r="T27" i="17"/>
  <c r="W27" i="17"/>
  <c r="BC111" i="14"/>
  <c r="BF111" i="14" s="1"/>
  <c r="AY99" i="14"/>
  <c r="H89" i="17"/>
  <c r="F89" i="17"/>
  <c r="L89" i="17"/>
  <c r="E89" i="17"/>
  <c r="I89" i="17"/>
  <c r="G89" i="17"/>
  <c r="M89" i="17"/>
  <c r="U91" i="17"/>
  <c r="J91" i="17"/>
  <c r="K91" i="17" s="1"/>
  <c r="R89" i="17"/>
  <c r="X89" i="17" s="1"/>
  <c r="Q89" i="17"/>
  <c r="Z89" i="17"/>
  <c r="AA89" i="17" s="1"/>
  <c r="V89" i="17"/>
  <c r="W89" i="17"/>
  <c r="D91" i="17"/>
  <c r="O91" i="17"/>
  <c r="T109" i="17"/>
  <c r="R109" i="17"/>
  <c r="X109" i="17" s="1"/>
  <c r="Q109" i="17"/>
  <c r="S109" i="17"/>
  <c r="Z109" i="17"/>
  <c r="AA109" i="17" s="1"/>
  <c r="V109" i="17"/>
  <c r="P109" i="17"/>
  <c r="W109" i="17"/>
  <c r="U29" i="17"/>
  <c r="V29" i="17" s="1"/>
  <c r="J29" i="17"/>
  <c r="I29" i="17" s="1"/>
  <c r="BC30" i="14"/>
  <c r="O29" i="17"/>
  <c r="D29" i="17"/>
  <c r="U110" i="17"/>
  <c r="P110" i="17" s="1"/>
  <c r="J110" i="17"/>
  <c r="E110" i="17" s="1"/>
  <c r="O48" i="17"/>
  <c r="D48" i="17"/>
  <c r="BC32" i="14"/>
  <c r="S91" i="17"/>
  <c r="P91" i="17"/>
  <c r="Z91" i="17"/>
  <c r="AA91" i="17" s="1"/>
  <c r="W91" i="17"/>
  <c r="V91" i="17"/>
  <c r="Q91" i="17"/>
  <c r="T91" i="17"/>
  <c r="R91" i="17"/>
  <c r="X91" i="17" s="1"/>
  <c r="P69" i="17"/>
  <c r="V69" i="17"/>
  <c r="Q69" i="17"/>
  <c r="S28" i="17"/>
  <c r="G110" i="17"/>
  <c r="M110" i="17" s="1"/>
  <c r="K90" i="17"/>
  <c r="G90" i="17"/>
  <c r="M90" i="17"/>
  <c r="H90" i="17"/>
  <c r="L90" i="17"/>
  <c r="F90" i="17"/>
  <c r="I90" i="17"/>
  <c r="V90" i="17"/>
  <c r="T90" i="17"/>
  <c r="Q90" i="17"/>
  <c r="Z90" i="17"/>
  <c r="AA90" i="17" s="1"/>
  <c r="O70" i="17"/>
  <c r="D70" i="17"/>
  <c r="O112" i="17"/>
  <c r="D112" i="17"/>
  <c r="L69" i="17"/>
  <c r="K69" i="17"/>
  <c r="E69" i="17"/>
  <c r="G69" i="17"/>
  <c r="M69" i="17"/>
  <c r="F69" i="17"/>
  <c r="H69" i="17"/>
  <c r="F91" i="17"/>
  <c r="H91" i="17"/>
  <c r="I91" i="17"/>
  <c r="G91" i="17"/>
  <c r="M91" i="17" s="1"/>
  <c r="E91" i="17"/>
  <c r="H47" i="17"/>
  <c r="G47" i="17"/>
  <c r="L47" i="17"/>
  <c r="I47" i="17"/>
  <c r="K47" i="17"/>
  <c r="E47" i="17"/>
  <c r="F47" i="17"/>
  <c r="U48" i="17"/>
  <c r="Z48" i="17" s="1"/>
  <c r="AA48" i="17" s="1"/>
  <c r="J48" i="17"/>
  <c r="K48" i="17" s="1"/>
  <c r="P29" i="17"/>
  <c r="S29" i="17"/>
  <c r="Z29" i="17"/>
  <c r="AA29" i="17" s="1"/>
  <c r="S110" i="17"/>
  <c r="Q110" i="17"/>
  <c r="W110" i="17"/>
  <c r="Z110" i="17"/>
  <c r="AA110" i="17" s="1"/>
  <c r="V110" i="17"/>
  <c r="R110" i="17"/>
  <c r="X110" i="17"/>
  <c r="Q68" i="17"/>
  <c r="BC112" i="14"/>
  <c r="BF112" i="14" s="1"/>
  <c r="AY112" i="14"/>
  <c r="O49" i="17"/>
  <c r="D49" i="17"/>
  <c r="G28" i="17"/>
  <c r="M28" i="17" s="1"/>
  <c r="E28" i="17"/>
  <c r="F28" i="17"/>
  <c r="K28" i="17"/>
  <c r="H28" i="17"/>
  <c r="I28" i="17"/>
  <c r="L28" i="17"/>
  <c r="H29" i="17"/>
  <c r="L29" i="17"/>
  <c r="E68" i="17"/>
  <c r="F68" i="17"/>
  <c r="L68" i="17"/>
  <c r="I68" i="17"/>
  <c r="K68" i="17"/>
  <c r="H68" i="17"/>
  <c r="G68" i="17"/>
  <c r="M68" i="17" s="1"/>
  <c r="U111" i="17"/>
  <c r="Z111" i="17" s="1"/>
  <c r="AA111" i="17" s="1"/>
  <c r="J111" i="17"/>
  <c r="G111" i="17" s="1"/>
  <c r="M111" i="17" s="1"/>
  <c r="BC71" i="14"/>
  <c r="BF71" i="14" s="1"/>
  <c r="BC93" i="14"/>
  <c r="BF93" i="14" s="1"/>
  <c r="H111" i="17"/>
  <c r="L111" i="17"/>
  <c r="I111" i="17"/>
  <c r="F111" i="17"/>
  <c r="K111" i="17"/>
  <c r="U70" i="17"/>
  <c r="V70" i="17" s="1"/>
  <c r="J70" i="17"/>
  <c r="J112" i="17"/>
  <c r="H112" i="17" s="1"/>
  <c r="U112" i="17"/>
  <c r="V112" i="17" s="1"/>
  <c r="BC72" i="14"/>
  <c r="BF72" i="14" s="1"/>
  <c r="D50" i="17"/>
  <c r="O50" i="17"/>
  <c r="J49" i="17"/>
  <c r="K49" i="17" s="1"/>
  <c r="U49" i="17"/>
  <c r="BC113" i="14"/>
  <c r="BF113" i="14" s="1"/>
  <c r="BC50" i="14"/>
  <c r="BF50" i="14" s="1"/>
  <c r="S111" i="17"/>
  <c r="V111" i="17"/>
  <c r="Q111" i="17"/>
  <c r="P111" i="17"/>
  <c r="W111" i="17"/>
  <c r="R111" i="17"/>
  <c r="X111" i="17"/>
  <c r="T111" i="17"/>
  <c r="H48" i="17"/>
  <c r="L48" i="17"/>
  <c r="F48" i="17"/>
  <c r="E48" i="17"/>
  <c r="G48" i="17"/>
  <c r="M48" i="17"/>
  <c r="I48" i="17"/>
  <c r="BC94" i="14"/>
  <c r="BF94" i="14" s="1"/>
  <c r="BC31" i="14"/>
  <c r="BF31" i="14"/>
  <c r="R48" i="17"/>
  <c r="X48" i="17" s="1"/>
  <c r="Q48" i="17"/>
  <c r="S48" i="17"/>
  <c r="V48" i="17"/>
  <c r="I70" i="17"/>
  <c r="K70" i="17"/>
  <c r="H70" i="17"/>
  <c r="F70" i="17"/>
  <c r="E70" i="17"/>
  <c r="L70" i="17"/>
  <c r="G70" i="17"/>
  <c r="M70" i="17" s="1"/>
  <c r="BC114" i="14"/>
  <c r="BF114" i="14" s="1"/>
  <c r="K112" i="17"/>
  <c r="I112" i="17"/>
  <c r="E112" i="17"/>
  <c r="L112" i="17"/>
  <c r="G112" i="17"/>
  <c r="M112" i="17" s="1"/>
  <c r="F112" i="17"/>
  <c r="BC51" i="14"/>
  <c r="BF51" i="14" s="1"/>
  <c r="P49" i="17"/>
  <c r="Z49" i="17"/>
  <c r="AA49" i="17"/>
  <c r="T49" i="17"/>
  <c r="Q49" i="17"/>
  <c r="S49" i="17"/>
  <c r="V49" i="17"/>
  <c r="W49" i="17"/>
  <c r="R49" i="17"/>
  <c r="X49" i="17" s="1"/>
  <c r="L49" i="17"/>
  <c r="J50" i="17"/>
  <c r="K50" i="17" s="1"/>
  <c r="U50" i="17"/>
  <c r="T112" i="17"/>
  <c r="Q112" i="17"/>
  <c r="R112" i="17"/>
  <c r="X112" i="17" s="1"/>
  <c r="W112" i="17"/>
  <c r="Z112" i="17"/>
  <c r="AA112" i="17"/>
  <c r="P112" i="17"/>
  <c r="S112" i="17"/>
  <c r="BC52" i="14"/>
  <c r="BF52" i="14" s="1"/>
  <c r="AY52" i="14"/>
  <c r="V50" i="17"/>
  <c r="S50" i="17"/>
  <c r="W50" i="17"/>
  <c r="P50" i="17"/>
  <c r="R50" i="17"/>
  <c r="X50" i="17"/>
  <c r="T50" i="17"/>
  <c r="Q50" i="17"/>
  <c r="Z50" i="17"/>
  <c r="AA50" i="17"/>
  <c r="I50" i="17"/>
  <c r="BC115" i="14"/>
  <c r="BF115" i="14"/>
  <c r="BC73" i="14"/>
  <c r="BF73" i="14" s="1"/>
  <c r="BC53" i="14"/>
  <c r="BF53" i="14"/>
  <c r="BF24" i="14" l="1"/>
  <c r="BF30" i="14"/>
  <c r="BF27" i="14"/>
  <c r="BF25" i="14"/>
  <c r="BF29" i="14"/>
  <c r="AH21" i="14"/>
  <c r="J18" i="17"/>
  <c r="AN21" i="14"/>
  <c r="AO21" i="14"/>
  <c r="U18" i="17"/>
  <c r="P18" i="17" s="1"/>
  <c r="AO18" i="14"/>
  <c r="J15" i="17"/>
  <c r="I15" i="17" s="1"/>
  <c r="U15" i="17"/>
  <c r="Z15" i="17" s="1"/>
  <c r="AA15" i="17" s="1"/>
  <c r="AN18" i="14"/>
  <c r="AJ22" i="14"/>
  <c r="AN16" i="14"/>
  <c r="AI22" i="14"/>
  <c r="AI20" i="14"/>
  <c r="AH22" i="14"/>
  <c r="AH16" i="14"/>
  <c r="AJ19" i="14"/>
  <c r="J16" i="17"/>
  <c r="U16" i="17"/>
  <c r="AK19" i="14"/>
  <c r="AL19" i="14"/>
  <c r="AN19" i="14"/>
  <c r="AO19" i="14"/>
  <c r="AI19" i="14"/>
  <c r="AH19" i="14"/>
  <c r="AL17" i="14"/>
  <c r="AN17" i="14"/>
  <c r="AO17" i="14"/>
  <c r="AK17" i="14"/>
  <c r="AH17" i="14"/>
  <c r="AI17" i="14"/>
  <c r="J14" i="17"/>
  <c r="G14" i="17" s="1"/>
  <c r="M14" i="17" s="1"/>
  <c r="AJ17" i="14"/>
  <c r="U14" i="17"/>
  <c r="D15" i="17"/>
  <c r="O15" i="17"/>
  <c r="U17" i="17"/>
  <c r="P17" i="17" s="1"/>
  <c r="AO20" i="14"/>
  <c r="AH20" i="14"/>
  <c r="AK14" i="14"/>
  <c r="AJ14" i="14"/>
  <c r="AL14" i="14"/>
  <c r="AN14" i="14"/>
  <c r="AO14" i="14"/>
  <c r="AH14" i="14"/>
  <c r="AI14" i="14"/>
  <c r="AL15" i="14"/>
  <c r="H18" i="17"/>
  <c r="M19" i="17"/>
  <c r="R18" i="17"/>
  <c r="X18" i="17" s="1"/>
  <c r="D18" i="17"/>
  <c r="AL18" i="14"/>
  <c r="AK15" i="14"/>
  <c r="AL21" i="14"/>
  <c r="AK18" i="14"/>
  <c r="AJ15" i="14"/>
  <c r="W18" i="17"/>
  <c r="AN22" i="14"/>
  <c r="AK21" i="14"/>
  <c r="AJ18" i="14"/>
  <c r="AL16" i="14"/>
  <c r="AI15" i="14"/>
  <c r="V18" i="17"/>
  <c r="AJ21" i="14"/>
  <c r="AI18" i="14"/>
  <c r="AK16" i="14"/>
  <c r="AH15" i="14"/>
  <c r="AL22" i="14"/>
  <c r="AI21" i="14"/>
  <c r="AH18" i="14"/>
  <c r="AJ16" i="14"/>
  <c r="AO15" i="14"/>
  <c r="I18" i="17"/>
  <c r="P19" i="14"/>
  <c r="P20" i="14" s="1"/>
  <c r="P21" i="14" s="1"/>
  <c r="P22" i="14" s="1"/>
  <c r="BF22" i="14"/>
  <c r="BF19" i="14"/>
  <c r="P13" i="14"/>
  <c r="G29" i="17"/>
  <c r="M29" i="17" s="1"/>
  <c r="Q29" i="17"/>
  <c r="W28" i="17"/>
  <c r="Z26" i="17"/>
  <c r="AA26" i="17" s="1"/>
  <c r="R26" i="17"/>
  <c r="X26" i="17" s="1"/>
  <c r="E25" i="17"/>
  <c r="R24" i="17"/>
  <c r="X24" i="17" s="1"/>
  <c r="K22" i="17"/>
  <c r="Q20" i="17"/>
  <c r="W21" i="17"/>
  <c r="I21" i="17"/>
  <c r="Q18" i="17"/>
  <c r="L18" i="17"/>
  <c r="K15" i="17"/>
  <c r="Z14" i="17"/>
  <c r="AA14" i="17" s="1"/>
  <c r="Q26" i="17"/>
  <c r="V24" i="17"/>
  <c r="H21" i="17"/>
  <c r="T26" i="17"/>
  <c r="S24" i="17"/>
  <c r="S21" i="17"/>
  <c r="E29" i="17"/>
  <c r="V14" i="17"/>
  <c r="R29" i="17"/>
  <c r="X29" i="17" s="1"/>
  <c r="Z28" i="17"/>
  <c r="AA28" i="17" s="1"/>
  <c r="X25" i="17"/>
  <c r="P21" i="17"/>
  <c r="R21" i="17"/>
  <c r="X21" i="17" s="1"/>
  <c r="W14" i="17"/>
  <c r="F29" i="17"/>
  <c r="T29" i="17"/>
  <c r="Q28" i="17"/>
  <c r="W26" i="17"/>
  <c r="W24" i="17"/>
  <c r="I22" i="17"/>
  <c r="K21" i="17"/>
  <c r="Z18" i="17"/>
  <c r="AA18" i="17" s="1"/>
  <c r="K18" i="17"/>
  <c r="Q14" i="17"/>
  <c r="T28" i="17"/>
  <c r="K29" i="17"/>
  <c r="V28" i="17"/>
  <c r="W29" i="17"/>
  <c r="R28" i="17"/>
  <c r="X28" i="17" s="1"/>
  <c r="P26" i="17"/>
  <c r="Q24" i="17"/>
  <c r="Q21" i="17"/>
  <c r="G21" i="17"/>
  <c r="M21" i="17" s="1"/>
  <c r="T14" i="17"/>
  <c r="F21" i="17"/>
  <c r="G18" i="17"/>
  <c r="M18" i="17" s="1"/>
  <c r="Z24" i="17"/>
  <c r="AA24" i="17" s="1"/>
  <c r="BG74" i="14"/>
  <c r="BG95" i="14"/>
  <c r="K44" i="17"/>
  <c r="F44" i="17"/>
  <c r="I44" i="17"/>
  <c r="G53" i="17"/>
  <c r="M53" i="17" s="1"/>
  <c r="F53" i="17"/>
  <c r="E53" i="17"/>
  <c r="H53" i="17"/>
  <c r="K53" i="17"/>
  <c r="L53" i="17"/>
  <c r="I53" i="17"/>
  <c r="H50" i="17"/>
  <c r="H49" i="17"/>
  <c r="R70" i="17"/>
  <c r="X70" i="17" s="1"/>
  <c r="W48" i="17"/>
  <c r="E111" i="17"/>
  <c r="P68" i="17"/>
  <c r="R47" i="17"/>
  <c r="X47" i="17" s="1"/>
  <c r="S90" i="17"/>
  <c r="I110" i="17"/>
  <c r="W69" i="17"/>
  <c r="P89" i="17"/>
  <c r="T46" i="17"/>
  <c r="Z46" i="17"/>
  <c r="AA46" i="17" s="1"/>
  <c r="L44" i="17"/>
  <c r="H64" i="17"/>
  <c r="I64" i="17"/>
  <c r="E64" i="17"/>
  <c r="G64" i="17"/>
  <c r="M64" i="17" s="1"/>
  <c r="P81" i="17"/>
  <c r="T81" i="17"/>
  <c r="V81" i="17"/>
  <c r="R81" i="17"/>
  <c r="X81" i="17" s="1"/>
  <c r="W81" i="17"/>
  <c r="Z81" i="17"/>
  <c r="AA81" i="17" s="1"/>
  <c r="E50" i="17"/>
  <c r="T68" i="17"/>
  <c r="Z67" i="17"/>
  <c r="AA67" i="17" s="1"/>
  <c r="K85" i="17"/>
  <c r="G85" i="17"/>
  <c r="M85" i="17" s="1"/>
  <c r="L85" i="17"/>
  <c r="F85" i="17"/>
  <c r="I85" i="17"/>
  <c r="L100" i="17"/>
  <c r="I100" i="17"/>
  <c r="F100" i="17"/>
  <c r="K100" i="17"/>
  <c r="G100" i="17"/>
  <c r="M100" i="17" s="1"/>
  <c r="I49" i="17"/>
  <c r="P70" i="17"/>
  <c r="T48" i="17"/>
  <c r="S68" i="17"/>
  <c r="T47" i="17"/>
  <c r="L91" i="17"/>
  <c r="R90" i="17"/>
  <c r="X90" i="17" s="1"/>
  <c r="H110" i="17"/>
  <c r="R46" i="17"/>
  <c r="X46" i="17" s="1"/>
  <c r="T67" i="17"/>
  <c r="H87" i="17"/>
  <c r="L87" i="17"/>
  <c r="K87" i="17"/>
  <c r="K104" i="17"/>
  <c r="F104" i="17"/>
  <c r="I104" i="17"/>
  <c r="H104" i="17"/>
  <c r="G104" i="17"/>
  <c r="M104" i="17" s="1"/>
  <c r="M31" i="17"/>
  <c r="Q70" i="17"/>
  <c r="V68" i="17"/>
  <c r="V47" i="17"/>
  <c r="L110" i="17"/>
  <c r="R69" i="17"/>
  <c r="X69" i="17" s="1"/>
  <c r="W46" i="17"/>
  <c r="W67" i="17"/>
  <c r="V37" i="17"/>
  <c r="Z37" i="17"/>
  <c r="AA37" i="17" s="1"/>
  <c r="W37" i="17"/>
  <c r="R37" i="17"/>
  <c r="X37" i="17" s="1"/>
  <c r="S37" i="17"/>
  <c r="Q37" i="17"/>
  <c r="S70" i="17"/>
  <c r="L50" i="17"/>
  <c r="G49" i="17"/>
  <c r="M49" i="17" s="1"/>
  <c r="T70" i="17"/>
  <c r="P48" i="17"/>
  <c r="W47" i="17"/>
  <c r="Q47" i="17"/>
  <c r="W90" i="17"/>
  <c r="F110" i="17"/>
  <c r="T89" i="17"/>
  <c r="P46" i="17"/>
  <c r="V67" i="17"/>
  <c r="X44" i="17"/>
  <c r="T101" i="17"/>
  <c r="S101" i="17"/>
  <c r="R101" i="17"/>
  <c r="X101" i="17" s="1"/>
  <c r="Q101" i="17"/>
  <c r="Z101" i="17"/>
  <c r="AA101" i="17" s="1"/>
  <c r="T37" i="17"/>
  <c r="Q79" i="17"/>
  <c r="S79" i="17"/>
  <c r="R79" i="17"/>
  <c r="X79" i="17" s="1"/>
  <c r="W79" i="17"/>
  <c r="T79" i="17"/>
  <c r="Z79" i="17"/>
  <c r="AA79" i="17" s="1"/>
  <c r="V54" i="17"/>
  <c r="W54" i="17"/>
  <c r="Z54" i="17"/>
  <c r="AA54" i="17" s="1"/>
  <c r="Q54" i="17"/>
  <c r="S54" i="17"/>
  <c r="T54" i="17"/>
  <c r="P54" i="17"/>
  <c r="F49" i="17"/>
  <c r="S47" i="17"/>
  <c r="Z70" i="17"/>
  <c r="AA70" i="17" s="1"/>
  <c r="Z69" i="17"/>
  <c r="AA69" i="17" s="1"/>
  <c r="Q46" i="17"/>
  <c r="S67" i="17"/>
  <c r="E85" i="17"/>
  <c r="X43" i="17"/>
  <c r="G43" i="17"/>
  <c r="M43" i="17" s="1"/>
  <c r="H43" i="17"/>
  <c r="L43" i="17"/>
  <c r="I43" i="17"/>
  <c r="F43" i="17"/>
  <c r="E43" i="17"/>
  <c r="L104" i="17"/>
  <c r="X38" i="17"/>
  <c r="L38" i="17"/>
  <c r="F38" i="17"/>
  <c r="K38" i="17"/>
  <c r="E38" i="17"/>
  <c r="G38" i="17"/>
  <c r="M38" i="17" s="1"/>
  <c r="P37" i="17"/>
  <c r="W55" i="17"/>
  <c r="Z55" i="17"/>
  <c r="AA55" i="17" s="1"/>
  <c r="S55" i="17"/>
  <c r="T55" i="17"/>
  <c r="P55" i="17"/>
  <c r="R55" i="17"/>
  <c r="X55" i="17" s="1"/>
  <c r="V55" i="17"/>
  <c r="K110" i="17"/>
  <c r="H44" i="17"/>
  <c r="F63" i="17"/>
  <c r="E63" i="17"/>
  <c r="I63" i="17"/>
  <c r="K63" i="17"/>
  <c r="H63" i="17"/>
  <c r="V102" i="17"/>
  <c r="P102" i="17"/>
  <c r="R102" i="17"/>
  <c r="X102" i="17" s="1"/>
  <c r="W102" i="17"/>
  <c r="Q102" i="17"/>
  <c r="S102" i="17"/>
  <c r="BG33" i="14"/>
  <c r="G50" i="17"/>
  <c r="M50" i="17" s="1"/>
  <c r="F50" i="17"/>
  <c r="E49" i="17"/>
  <c r="W70" i="17"/>
  <c r="R68" i="17"/>
  <c r="X68" i="17" s="1"/>
  <c r="Z68" i="17"/>
  <c r="AA68" i="17" s="1"/>
  <c r="P47" i="17"/>
  <c r="T110" i="17"/>
  <c r="T69" i="17"/>
  <c r="T108" i="17"/>
  <c r="F87" i="17"/>
  <c r="E44" i="17"/>
  <c r="H85" i="17"/>
  <c r="E104" i="17"/>
  <c r="I83" i="17"/>
  <c r="G83" i="17"/>
  <c r="M83" i="17" s="1"/>
  <c r="F83" i="17"/>
  <c r="E83" i="17"/>
  <c r="L83" i="17"/>
  <c r="P60" i="17"/>
  <c r="V60" i="17"/>
  <c r="Z60" i="17"/>
  <c r="AA60" i="17" s="1"/>
  <c r="Q60" i="17"/>
  <c r="T60" i="17"/>
  <c r="S39" i="17"/>
  <c r="P39" i="17"/>
  <c r="T39" i="17"/>
  <c r="Z39" i="17"/>
  <c r="AA39" i="17" s="1"/>
  <c r="Q39" i="17"/>
  <c r="W39" i="17"/>
  <c r="R39" i="17"/>
  <c r="X39" i="17" s="1"/>
  <c r="E100" i="17"/>
  <c r="I35" i="17"/>
  <c r="K35" i="17"/>
  <c r="G35" i="17"/>
  <c r="M35" i="17" s="1"/>
  <c r="F35" i="17"/>
  <c r="L35" i="17"/>
  <c r="E35" i="17"/>
  <c r="G32" i="17"/>
  <c r="M32" i="17" s="1"/>
  <c r="L32" i="17"/>
  <c r="F32" i="17"/>
  <c r="H32" i="17"/>
  <c r="E32" i="17"/>
  <c r="K32" i="17"/>
  <c r="I32" i="17"/>
  <c r="W107" i="17"/>
  <c r="I86" i="17"/>
  <c r="G41" i="17"/>
  <c r="M41" i="17" s="1"/>
  <c r="E40" i="17"/>
  <c r="Z82" i="17"/>
  <c r="AA82" i="17" s="1"/>
  <c r="P80" i="17"/>
  <c r="Q98" i="17"/>
  <c r="S98" i="17"/>
  <c r="V99" i="17"/>
  <c r="Q78" i="17"/>
  <c r="Z78" i="17"/>
  <c r="AA78" i="17" s="1"/>
  <c r="G78" i="17"/>
  <c r="M78" i="17" s="1"/>
  <c r="Q56" i="17"/>
  <c r="R74" i="17"/>
  <c r="X74" i="17" s="1"/>
  <c r="E74" i="17"/>
  <c r="E94" i="17"/>
  <c r="P73" i="17"/>
  <c r="K93" i="17"/>
  <c r="G73" i="17"/>
  <c r="M73" i="17" s="1"/>
  <c r="Q72" i="17"/>
  <c r="H92" i="17"/>
  <c r="P92" i="17"/>
  <c r="P52" i="17"/>
  <c r="P51" i="17"/>
  <c r="S30" i="17"/>
  <c r="Z71" i="17"/>
  <c r="AA71" i="17" s="1"/>
  <c r="K71" i="17"/>
  <c r="Q99" i="17"/>
  <c r="S78" i="17"/>
  <c r="W78" i="17"/>
  <c r="I78" i="17"/>
  <c r="H98" i="17"/>
  <c r="H55" i="17"/>
  <c r="L56" i="17"/>
  <c r="E77" i="17"/>
  <c r="G97" i="17"/>
  <c r="M97" i="17" s="1"/>
  <c r="W56" i="17"/>
  <c r="R34" i="17"/>
  <c r="X34" i="17" s="1"/>
  <c r="G54" i="17"/>
  <c r="M54" i="17" s="1"/>
  <c r="E96" i="17"/>
  <c r="T53" i="17"/>
  <c r="W53" i="17"/>
  <c r="P32" i="17"/>
  <c r="P74" i="17"/>
  <c r="W74" i="17"/>
  <c r="R95" i="17"/>
  <c r="X95" i="17" s="1"/>
  <c r="I93" i="17"/>
  <c r="H73" i="17"/>
  <c r="L92" i="17"/>
  <c r="G72" i="17"/>
  <c r="M72" i="17" s="1"/>
  <c r="Q51" i="17"/>
  <c r="Z51" i="17"/>
  <c r="AA51" i="17" s="1"/>
  <c r="Z30" i="17"/>
  <c r="AA30" i="17" s="1"/>
  <c r="W30" i="17"/>
  <c r="F41" i="17"/>
  <c r="H40" i="17"/>
  <c r="S82" i="17"/>
  <c r="V82" i="17"/>
  <c r="Z80" i="17"/>
  <c r="AA80" i="17" s="1"/>
  <c r="Z98" i="17"/>
  <c r="AA98" i="17" s="1"/>
  <c r="V78" i="17"/>
  <c r="E78" i="17"/>
  <c r="S56" i="17"/>
  <c r="Z34" i="17"/>
  <c r="AA34" i="17" s="1"/>
  <c r="Q107" i="17"/>
  <c r="V107" i="17"/>
  <c r="R106" i="17"/>
  <c r="X106" i="17" s="1"/>
  <c r="F86" i="17"/>
  <c r="Q42" i="17"/>
  <c r="G84" i="17"/>
  <c r="M84" i="17" s="1"/>
  <c r="R62" i="17"/>
  <c r="X62" i="17" s="1"/>
  <c r="K41" i="17"/>
  <c r="Q82" i="17"/>
  <c r="Z33" i="17"/>
  <c r="AA33" i="17" s="1"/>
  <c r="T74" i="17"/>
  <c r="W95" i="17"/>
  <c r="Z95" i="17"/>
  <c r="AA95" i="17" s="1"/>
  <c r="K74" i="17"/>
  <c r="F93" i="17"/>
  <c r="K73" i="17"/>
  <c r="H72" i="17"/>
  <c r="V30" i="17"/>
  <c r="W42" i="17"/>
  <c r="V62" i="17"/>
  <c r="H41" i="17"/>
  <c r="R82" i="17"/>
  <c r="X82" i="17" s="1"/>
  <c r="Q95" i="17"/>
  <c r="V95" i="17"/>
  <c r="Z73" i="17"/>
  <c r="AA73" i="17" s="1"/>
  <c r="I73" i="17"/>
  <c r="V72" i="17"/>
  <c r="G92" i="17"/>
  <c r="M92" i="17" s="1"/>
  <c r="W52" i="17"/>
  <c r="V52" i="17"/>
  <c r="F72" i="17"/>
  <c r="R51" i="17"/>
  <c r="X51" i="17" s="1"/>
  <c r="H71" i="17"/>
  <c r="R164" i="19"/>
  <c r="R347" i="19"/>
  <c r="R352" i="19"/>
  <c r="R641" i="19"/>
  <c r="R15" i="19"/>
  <c r="R182" i="19"/>
  <c r="R733" i="19"/>
  <c r="R397" i="19"/>
  <c r="R710" i="19"/>
  <c r="R91" i="19"/>
  <c r="R93" i="19"/>
  <c r="R533" i="19"/>
  <c r="R27" i="19"/>
  <c r="R705" i="19"/>
  <c r="R209" i="19"/>
  <c r="R450" i="19"/>
  <c r="R524" i="19"/>
  <c r="R512" i="19"/>
  <c r="R112" i="19"/>
  <c r="R746" i="19"/>
  <c r="R465" i="19"/>
  <c r="R379" i="19"/>
  <c r="R469" i="19"/>
  <c r="R370" i="19"/>
  <c r="R436" i="19"/>
  <c r="R190" i="19"/>
  <c r="R356" i="19"/>
  <c r="R471" i="19"/>
  <c r="R170" i="19"/>
  <c r="R269" i="19"/>
  <c r="R48" i="19"/>
  <c r="R740" i="19"/>
  <c r="R66" i="19"/>
  <c r="R7" i="19"/>
  <c r="R334" i="19"/>
  <c r="R508" i="19"/>
  <c r="R287" i="19"/>
  <c r="R671" i="19"/>
  <c r="R200" i="19"/>
  <c r="R51" i="19"/>
  <c r="R679" i="19"/>
  <c r="R611" i="19"/>
  <c r="R399" i="19"/>
  <c r="R568" i="19"/>
  <c r="R204" i="19"/>
  <c r="R548" i="19"/>
  <c r="R136" i="19"/>
  <c r="R554" i="19"/>
  <c r="R590" i="19"/>
  <c r="R591" i="19"/>
  <c r="R354" i="19"/>
  <c r="R30" i="19"/>
  <c r="R617" i="19"/>
  <c r="R748" i="19"/>
  <c r="R743" i="19"/>
  <c r="R306" i="19"/>
  <c r="R762" i="19"/>
  <c r="R276" i="19"/>
  <c r="R565" i="19"/>
  <c r="R114" i="19"/>
  <c r="R758" i="19"/>
  <c r="R435" i="19"/>
  <c r="R689" i="19"/>
  <c r="R366" i="19"/>
  <c r="R84" i="19"/>
  <c r="R422" i="19"/>
  <c r="R81" i="19"/>
  <c r="R692" i="19"/>
  <c r="R333" i="19"/>
  <c r="R600" i="19"/>
  <c r="R543" i="19"/>
  <c r="R131" i="19"/>
  <c r="R278" i="19"/>
  <c r="R661" i="19"/>
  <c r="R127" i="19"/>
  <c r="R132" i="19"/>
  <c r="R767" i="19"/>
  <c r="R392" i="19"/>
  <c r="R64" i="19"/>
  <c r="R634" i="19"/>
  <c r="R281" i="19"/>
  <c r="R631" i="19"/>
  <c r="R85" i="19"/>
  <c r="R142" i="19"/>
  <c r="R369" i="19"/>
  <c r="R657" i="19"/>
  <c r="R250" i="19"/>
  <c r="R253" i="19"/>
  <c r="R53" i="19"/>
  <c r="R464" i="19"/>
  <c r="R371" i="19"/>
  <c r="R184" i="19"/>
  <c r="R345" i="19"/>
  <c r="R639" i="19"/>
  <c r="R144" i="19"/>
  <c r="R33" i="19"/>
  <c r="R327" i="19"/>
  <c r="R721" i="19"/>
  <c r="R301" i="19"/>
  <c r="R604" i="19"/>
  <c r="R171" i="19"/>
  <c r="R560" i="19"/>
  <c r="R778" i="19"/>
  <c r="R74" i="19"/>
  <c r="R409" i="19"/>
  <c r="R323" i="19"/>
  <c r="R8" i="19"/>
  <c r="R331" i="19"/>
  <c r="R451" i="19"/>
  <c r="R185" i="19"/>
  <c r="R316" i="19"/>
  <c r="R625" i="19"/>
  <c r="R602" i="19"/>
  <c r="R302" i="19"/>
  <c r="R460" i="19"/>
  <c r="R32" i="19"/>
  <c r="R336" i="19"/>
  <c r="R82" i="19"/>
  <c r="R237" i="19"/>
  <c r="R61" i="19"/>
  <c r="R401" i="19"/>
  <c r="R765" i="19"/>
  <c r="R472" i="19"/>
  <c r="R621" i="19"/>
  <c r="R527" i="19"/>
  <c r="R156" i="19"/>
  <c r="R176" i="19"/>
  <c r="R655" i="19"/>
  <c r="R478" i="19"/>
  <c r="R489" i="19"/>
  <c r="R150" i="19"/>
  <c r="R45" i="19"/>
  <c r="R223" i="19"/>
  <c r="R599" i="19"/>
  <c r="R583" i="19"/>
  <c r="R702" i="19"/>
  <c r="R69" i="19"/>
  <c r="R320" i="19"/>
  <c r="R26" i="19"/>
  <c r="R462" i="19"/>
  <c r="R697" i="19"/>
  <c r="R745" i="19"/>
  <c r="R35" i="19"/>
  <c r="R293" i="19"/>
  <c r="R619" i="19"/>
  <c r="R268" i="19"/>
  <c r="R79" i="19"/>
  <c r="R434" i="19"/>
  <c r="R297" i="19"/>
  <c r="R479" i="19"/>
  <c r="R56" i="19"/>
  <c r="R534" i="19"/>
  <c r="R694" i="19"/>
  <c r="R485" i="19"/>
  <c r="R610" i="19"/>
  <c r="R71" i="19"/>
  <c r="R586" i="19"/>
  <c r="R596" i="19"/>
  <c r="R629" i="19"/>
  <c r="R173" i="19"/>
  <c r="R187" i="19"/>
  <c r="R687" i="19"/>
  <c r="R684" i="19"/>
  <c r="R467" i="19"/>
  <c r="R29" i="19"/>
  <c r="R461" i="19"/>
  <c r="R572" i="19"/>
  <c r="R429" i="19"/>
  <c r="R361" i="19"/>
  <c r="R632" i="19"/>
  <c r="R284" i="19"/>
  <c r="R286" i="19"/>
  <c r="R597" i="19"/>
  <c r="R500" i="19"/>
  <c r="R404" i="19"/>
  <c r="R232" i="19"/>
  <c r="R396" i="19"/>
  <c r="R24" i="19"/>
  <c r="R203" i="19"/>
  <c r="R94" i="19"/>
  <c r="R383" i="19"/>
  <c r="R775" i="19"/>
  <c r="R510" i="19"/>
  <c r="R67" i="19"/>
  <c r="R60" i="19"/>
  <c r="R532" i="19"/>
  <c r="R106" i="19"/>
  <c r="R46" i="19"/>
  <c r="R381" i="19"/>
  <c r="R49" i="19"/>
  <c r="R9" i="19"/>
  <c r="R141" i="19"/>
  <c r="R105" i="19"/>
  <c r="R183" i="19"/>
  <c r="R12" i="19"/>
  <c r="R686" i="19"/>
  <c r="R174" i="19"/>
  <c r="R452" i="19"/>
  <c r="R670" i="19"/>
  <c r="R95" i="19"/>
  <c r="R270" i="19"/>
  <c r="R289" i="19"/>
  <c r="R113" i="19"/>
  <c r="R75" i="19"/>
  <c r="R476" i="19"/>
  <c r="R122" i="19"/>
  <c r="R108" i="19"/>
  <c r="R294" i="19"/>
  <c r="R179" i="19"/>
  <c r="R197" i="19"/>
  <c r="R420" i="19"/>
  <c r="R215" i="19"/>
  <c r="R592" i="19"/>
  <c r="R189" i="19"/>
  <c r="R546" i="19"/>
  <c r="R311" i="19"/>
  <c r="R770" i="19"/>
  <c r="R558" i="19"/>
  <c r="R25" i="19"/>
  <c r="R537" i="19"/>
  <c r="R680" i="19"/>
  <c r="R708" i="19"/>
  <c r="R656" i="19"/>
  <c r="R80" i="19"/>
  <c r="R707" i="19"/>
  <c r="R463" i="19"/>
  <c r="R668" i="19"/>
  <c r="R234" i="19"/>
  <c r="R299" i="19"/>
  <c r="R70" i="19"/>
  <c r="R389" i="19"/>
  <c r="R664" i="19"/>
  <c r="R736" i="19"/>
  <c r="R372" i="19"/>
  <c r="R550" i="19"/>
  <c r="R231" i="19"/>
  <c r="R773" i="19"/>
  <c r="R633" i="19"/>
  <c r="R99" i="19"/>
  <c r="R259" i="19"/>
  <c r="R377" i="19"/>
  <c r="R328" i="19"/>
  <c r="R562" i="19"/>
  <c r="R582" i="19"/>
  <c r="R635" i="19"/>
  <c r="R458" i="19"/>
  <c r="R753" i="19"/>
  <c r="R37" i="19"/>
  <c r="V71" i="17"/>
  <c r="F15" i="17" l="1"/>
  <c r="H15" i="17"/>
  <c r="G15" i="17"/>
  <c r="AN20" i="14"/>
  <c r="E15" i="17"/>
  <c r="AK20" i="14"/>
  <c r="J17" i="17"/>
  <c r="E17" i="17" s="1"/>
  <c r="P15" i="17"/>
  <c r="R15" i="17"/>
  <c r="X15" i="17" s="1"/>
  <c r="V15" i="17"/>
  <c r="L15" i="17"/>
  <c r="AL20" i="14"/>
  <c r="S15" i="17"/>
  <c r="AJ20" i="14"/>
  <c r="M15" i="17"/>
  <c r="E18" i="17"/>
  <c r="F18" i="17"/>
  <c r="Q15" i="17"/>
  <c r="S18" i="17"/>
  <c r="T18" i="17"/>
  <c r="T15" i="17"/>
  <c r="W15" i="17"/>
  <c r="F14" i="17"/>
  <c r="T17" i="17"/>
  <c r="V17" i="17"/>
  <c r="W17" i="17"/>
  <c r="I14" i="17"/>
  <c r="R16" i="17"/>
  <c r="X16" i="17" s="1"/>
  <c r="V16" i="17"/>
  <c r="W16" i="17"/>
  <c r="Z16" i="17"/>
  <c r="AA16" i="17" s="1"/>
  <c r="P16" i="17"/>
  <c r="S16" i="17"/>
  <c r="Q16" i="17"/>
  <c r="T16" i="17"/>
  <c r="S17" i="17"/>
  <c r="Q17" i="17"/>
  <c r="S14" i="17"/>
  <c r="R14" i="17"/>
  <c r="X14" i="17" s="1"/>
  <c r="P14" i="17"/>
  <c r="H16" i="17"/>
  <c r="I16" i="17"/>
  <c r="F16" i="17"/>
  <c r="G16" i="17"/>
  <c r="M16" i="17" s="1"/>
  <c r="K16" i="17"/>
  <c r="L16" i="17"/>
  <c r="E16" i="17"/>
  <c r="K14" i="17"/>
  <c r="L14" i="17"/>
  <c r="H14" i="17"/>
  <c r="E14" i="17"/>
  <c r="Z17" i="17"/>
  <c r="AA17" i="17" s="1"/>
  <c r="R17" i="17"/>
  <c r="X17" i="17" s="1"/>
  <c r="AG13" i="14"/>
  <c r="BE15" i="14"/>
  <c r="BD15" i="14"/>
  <c r="C12" i="17"/>
  <c r="O10" i="17"/>
  <c r="D10" i="17"/>
  <c r="F17" i="17" l="1"/>
  <c r="K17" i="17"/>
  <c r="H17" i="17"/>
  <c r="I17" i="17"/>
  <c r="L17" i="17"/>
  <c r="G17" i="17"/>
  <c r="M17" i="17" s="1"/>
  <c r="O11" i="17"/>
  <c r="BE16" i="14"/>
  <c r="C13" i="17"/>
  <c r="BE17" i="14"/>
  <c r="BF17" i="14" s="1"/>
  <c r="BD16" i="14"/>
  <c r="O12" i="17"/>
  <c r="J11" i="17"/>
  <c r="U11" i="17"/>
  <c r="AW14" i="14" l="1"/>
  <c r="AT14" i="14"/>
  <c r="AQ14" i="14"/>
  <c r="AV14" i="14"/>
  <c r="AU14" i="14"/>
  <c r="AP14" i="14"/>
  <c r="AS14" i="14"/>
  <c r="D11" i="17"/>
  <c r="J10" i="17"/>
  <c r="AL13" i="14"/>
  <c r="AT13" i="14" s="1"/>
  <c r="AO13" i="14"/>
  <c r="AW13" i="14" s="1"/>
  <c r="AI13" i="14"/>
  <c r="AQ13" i="14" s="1"/>
  <c r="AJ13" i="14"/>
  <c r="AN13" i="14"/>
  <c r="AV13" i="14" s="1"/>
  <c r="U10" i="17"/>
  <c r="AH13" i="14"/>
  <c r="AP13" i="14" s="1"/>
  <c r="AK13" i="14"/>
  <c r="AS13" i="14" s="1"/>
  <c r="AU13" i="14"/>
  <c r="D12" i="17"/>
  <c r="AR14" i="14"/>
  <c r="BC14" i="14" s="1"/>
  <c r="BF14" i="14" s="1"/>
  <c r="AP15" i="14"/>
  <c r="L11" i="17"/>
  <c r="E11" i="17"/>
  <c r="G11" i="17"/>
  <c r="K11" i="17"/>
  <c r="H11" i="17"/>
  <c r="I11" i="17"/>
  <c r="F11" i="17"/>
  <c r="Q11" i="17"/>
  <c r="V11" i="17"/>
  <c r="W11" i="17"/>
  <c r="R11" i="17"/>
  <c r="X11" i="17" s="1"/>
  <c r="P11" i="17"/>
  <c r="Z11" i="17"/>
  <c r="AA11" i="17" s="1"/>
  <c r="T11" i="17"/>
  <c r="S11" i="17"/>
  <c r="AX14" i="14" l="1"/>
  <c r="M11" i="17"/>
  <c r="S10" i="17"/>
  <c r="Z10" i="17"/>
  <c r="AA10" i="17" s="1"/>
  <c r="T10" i="17"/>
  <c r="Q10" i="17"/>
  <c r="V10" i="17"/>
  <c r="P10" i="17"/>
  <c r="W10" i="17"/>
  <c r="R10" i="17"/>
  <c r="X10" i="17" s="1"/>
  <c r="AR13" i="14"/>
  <c r="G10" i="17"/>
  <c r="M10" i="17" s="1"/>
  <c r="E10" i="17"/>
  <c r="H10" i="17"/>
  <c r="L10" i="17"/>
  <c r="K10" i="17"/>
  <c r="F10" i="17"/>
  <c r="I10" i="17"/>
  <c r="AU15" i="14"/>
  <c r="AQ15" i="14"/>
  <c r="J12" i="17"/>
  <c r="E12" i="17" s="1"/>
  <c r="AS15" i="14"/>
  <c r="AT15" i="14"/>
  <c r="AW15" i="14"/>
  <c r="AV15" i="14"/>
  <c r="AR15" i="14"/>
  <c r="AX15" i="14" s="1"/>
  <c r="U12" i="17"/>
  <c r="W12" i="17" s="1"/>
  <c r="D13" i="17"/>
  <c r="O13" i="17"/>
  <c r="H12" i="17" l="1"/>
  <c r="I12" i="17"/>
  <c r="BC13" i="14"/>
  <c r="BF13" i="14" s="1"/>
  <c r="AX13" i="14"/>
  <c r="AY13" i="14" s="1"/>
  <c r="P12" i="17"/>
  <c r="G12" i="17"/>
  <c r="M12" i="17" s="1"/>
  <c r="Q12" i="17"/>
  <c r="F12" i="17"/>
  <c r="V12" i="17"/>
  <c r="K12" i="17"/>
  <c r="L12" i="17"/>
  <c r="BC15" i="14"/>
  <c r="BF15" i="14" s="1"/>
  <c r="R12" i="17"/>
  <c r="X12" i="17" s="1"/>
  <c r="Z12" i="17"/>
  <c r="AA12" i="17" s="1"/>
  <c r="T12" i="17"/>
  <c r="S12" i="17"/>
  <c r="AU16" i="14"/>
  <c r="U13" i="17"/>
  <c r="AW16" i="14"/>
  <c r="AV16" i="14"/>
  <c r="AS16" i="14"/>
  <c r="AQ16" i="14"/>
  <c r="J13" i="17"/>
  <c r="AT16" i="14"/>
  <c r="AP16" i="14"/>
  <c r="BG13" i="14" l="1"/>
  <c r="AR16" i="14"/>
  <c r="BC16" i="14" s="1"/>
  <c r="BF16" i="14" s="1"/>
  <c r="G13" i="17"/>
  <c r="M13" i="17" s="1"/>
  <c r="H13" i="17"/>
  <c r="F13" i="17"/>
  <c r="K13" i="17"/>
  <c r="L13" i="17"/>
  <c r="E13" i="17"/>
  <c r="I13" i="17"/>
  <c r="R13" i="17"/>
  <c r="X13" i="17" s="1"/>
  <c r="V13" i="17"/>
  <c r="T13" i="17"/>
  <c r="Z13" i="17"/>
  <c r="AA13" i="17" s="1"/>
  <c r="W13" i="17"/>
  <c r="P13" i="17"/>
  <c r="Q13" i="17"/>
  <c r="S13" i="17"/>
  <c r="AX16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Sochanik, Ryan</author>
  </authors>
  <commentList>
    <comment ref="X8" authorId="0" shapeId="0" xr:uid="{69FF1BBA-F06E-4E25-AB07-E4B653ECFFB9}">
      <text>
        <r>
          <rPr>
            <b/>
            <sz val="9"/>
            <color indexed="81"/>
            <rFont val="Tahoma"/>
            <family val="2"/>
          </rPr>
          <t>Sochanik, Ryan:</t>
        </r>
        <r>
          <rPr>
            <sz val="9"/>
            <color indexed="81"/>
            <rFont val="Tahoma"/>
            <family val="2"/>
          </rPr>
          <t xml:space="preserve">
assume
</t>
        </r>
      </text>
    </comment>
    <comment ref="X12" authorId="0" shapeId="0" xr:uid="{3ACF4C3D-D45E-4267-9529-6B664E13F81C}">
      <text>
        <r>
          <rPr>
            <b/>
            <sz val="9"/>
            <color indexed="81"/>
            <rFont val="Tahoma"/>
            <family val="2"/>
          </rPr>
          <t>Sochanik, Ryan:</t>
        </r>
        <r>
          <rPr>
            <sz val="9"/>
            <color indexed="81"/>
            <rFont val="Tahoma"/>
            <family val="2"/>
          </rPr>
          <t xml:space="preserve">
assumed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Nagarajan, Archana</author>
  </authors>
  <commentList>
    <comment ref="AJ4" authorId="0" shapeId="0" xr:uid="{3900690E-A5DD-4665-BB5D-7BF9C7AE26E2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Idriss MSF is considered in CRRm derivation. </t>
        </r>
      </text>
    </comment>
    <comment ref="AM5" authorId="0" shapeId="0" xr:uid="{8F2A9A42-492F-4648-9415-07797D3D7C36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This is linearly interpolated value</t>
        </r>
      </text>
    </comment>
    <comment ref="F33" authorId="0" shapeId="0" xr:uid="{20335E74-E418-412D-88EC-9EC4D4D86B5F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Values linked to cell E12. Don't change. </t>
        </r>
      </text>
    </comment>
    <comment ref="O33" authorId="0" shapeId="0" xr:uid="{4520EE27-34F8-4A34-A3A3-AC68C93A61F1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Values linked to cells E12 and O12. Don't change. </t>
        </r>
      </text>
    </comment>
    <comment ref="P33" authorId="0" shapeId="0" xr:uid="{A70AD7CD-5CB8-4B71-8781-1ABD4B7BCDD7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Values linked to cells E12 and P12. Don't change.</t>
        </r>
      </text>
    </comment>
    <comment ref="F34" authorId="0" shapeId="0" xr:uid="{3FF610DE-ADEC-4A36-A41E-E47F5E9B753A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  <comment ref="O34" authorId="0" shapeId="0" xr:uid="{8B1F8958-2098-49C4-9873-E6FCC5655964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</t>
        </r>
      </text>
    </comment>
    <comment ref="P34" authorId="0" shapeId="0" xr:uid="{F1D6CC27-FB40-4EAA-B724-83D9867430D7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  <comment ref="O54" authorId="0" shapeId="0" xr:uid="{B0CB3433-4CCA-42FA-A386-F84795227312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Values linked to cells E12 and O12. Don't change.</t>
        </r>
      </text>
    </comment>
    <comment ref="P54" authorId="0" shapeId="0" xr:uid="{D2C39251-8F45-4B75-8566-7A991C1141F1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Values linked to cells E12 and P12. Don't change.</t>
        </r>
      </text>
    </comment>
    <comment ref="F55" authorId="0" shapeId="0" xr:uid="{6DB447A1-DC6D-4229-9493-215AB0CD0A95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  <comment ref="O55" authorId="0" shapeId="0" xr:uid="{B01D9995-F197-4244-8E00-83816C620D9A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  <comment ref="P55" authorId="0" shapeId="0" xr:uid="{DF584A5A-72EE-47A9-AA77-F932016B8353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  <comment ref="O74" authorId="0" shapeId="0" xr:uid="{BE855FFA-FC79-4EC3-B97F-F857B273E1E3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Values linked to cells E12 and O12. Don't change.</t>
        </r>
      </text>
    </comment>
    <comment ref="P74" authorId="0" shapeId="0" xr:uid="{46751364-90AC-4892-92E4-8A0DDE36D79D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Values linked to cells E12 and P12. Don't change.</t>
        </r>
      </text>
    </comment>
    <comment ref="F75" authorId="0" shapeId="0" xr:uid="{3FAE8D97-28DB-49B3-AFCB-EF9901D5D2B7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  <comment ref="O75" authorId="0" shapeId="0" xr:uid="{29229F35-1AB7-49BA-B51A-F3395EDE3FFE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  <comment ref="P75" authorId="0" shapeId="0" xr:uid="{92F534A4-FEC1-4DBD-8256-CA5D2EDEFD35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  <comment ref="O95" authorId="0" shapeId="0" xr:uid="{E4603919-46C7-465F-ACD5-9BDBB89204F5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Values linked to cells E12 and O12. Don't change.</t>
        </r>
      </text>
    </comment>
    <comment ref="P95" authorId="0" shapeId="0" xr:uid="{12603E7E-1D4F-42EB-811A-B188A44F8A54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Values linked to cells E12 and P12. Don't change.</t>
        </r>
      </text>
    </comment>
    <comment ref="F96" authorId="0" shapeId="0" xr:uid="{DFD069F9-209E-497E-8151-999B15964C06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  <comment ref="O96" authorId="0" shapeId="0" xr:uid="{6AB0071E-7D38-4992-BECE-2BF9232E28BC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  <comment ref="P96" authorId="0" shapeId="0" xr:uid="{B3069BFF-943C-4C3A-8948-5B653DDEFD2F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Don't drag the formula from above cell.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Nagarajan, Archana</author>
  </authors>
  <commentList>
    <comment ref="CE2" authorId="0" shapeId="0" xr:uid="{45931928-914B-4DD8-BE93-59428FE89850}">
      <text>
        <r>
          <rPr>
            <b/>
            <sz val="9"/>
            <color indexed="81"/>
            <rFont val="Tahoma"/>
            <charset val="1"/>
          </rPr>
          <t>Nagarajan, Archana:</t>
        </r>
        <r>
          <rPr>
            <sz val="9"/>
            <color indexed="81"/>
            <rFont val="Tahoma"/>
            <charset val="1"/>
          </rPr>
          <t xml:space="preserve">
Entered as surface elevation in Liquefy Pro</t>
        </r>
      </text>
    </comment>
    <comment ref="CF2" authorId="0" shapeId="0" xr:uid="{35766088-6754-4396-B19D-0DFDE6DD1E0D}">
      <text>
        <r>
          <rPr>
            <b/>
            <sz val="9"/>
            <color indexed="81"/>
            <rFont val="Tahoma"/>
            <charset val="1"/>
          </rPr>
          <t>Nagarajan, Archana:</t>
        </r>
        <r>
          <rPr>
            <sz val="9"/>
            <color indexed="81"/>
            <rFont val="Tahoma"/>
            <charset val="1"/>
          </rPr>
          <t xml:space="preserve">
+1.5m above the highest measured level in BHs. </t>
        </r>
      </text>
    </comment>
    <comment ref="CG2" authorId="0" shapeId="0" xr:uid="{7EBE1D00-AB06-4427-8E48-8CDDCBB1268A}">
      <text>
        <r>
          <rPr>
            <b/>
            <sz val="9"/>
            <color indexed="81"/>
            <rFont val="Tahoma"/>
            <charset val="1"/>
          </rPr>
          <t>Nagarajan, Archana:</t>
        </r>
        <r>
          <rPr>
            <sz val="9"/>
            <color indexed="81"/>
            <rFont val="Tahoma"/>
            <charset val="1"/>
          </rPr>
          <t xml:space="preserve">
Entered in Liquefy Pro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Nagarajan, Archana</author>
  </authors>
  <commentList>
    <comment ref="F3" authorId="0" shapeId="0" xr:uid="{4DA947DD-63FB-40BC-BD35-C100FC86043C}">
      <text>
        <r>
          <rPr>
            <b/>
            <sz val="9"/>
            <color indexed="81"/>
            <rFont val="Tahoma"/>
            <family val="2"/>
          </rPr>
          <t>Nagarajan, Archana:</t>
        </r>
        <r>
          <rPr>
            <sz val="9"/>
            <color indexed="81"/>
            <rFont val="Tahoma"/>
            <family val="2"/>
          </rPr>
          <t xml:space="preserve">
This is linearly interpolated value. </t>
        </r>
      </text>
    </comment>
  </commentList>
</comments>
</file>

<file path=xl/sharedStrings.xml><?xml version="1.0" encoding="utf-8"?>
<sst xmlns="http://schemas.openxmlformats.org/spreadsheetml/2006/main" count="887" uniqueCount="192">
  <si>
    <t>CSR</t>
  </si>
  <si>
    <t>a</t>
  </si>
  <si>
    <t>b</t>
  </si>
  <si>
    <t>FC</t>
  </si>
  <si>
    <t>BH No.</t>
  </si>
  <si>
    <t>Depth</t>
  </si>
  <si>
    <t>SPT-N</t>
  </si>
  <si>
    <t>(mbgl)</t>
  </si>
  <si>
    <t>(blows)</t>
  </si>
  <si>
    <t>(%)</t>
  </si>
  <si>
    <t>silty</t>
  </si>
  <si>
    <t>SAND</t>
  </si>
  <si>
    <t>M5.5</t>
  </si>
  <si>
    <t>M6.0</t>
  </si>
  <si>
    <t>M6.5</t>
  </si>
  <si>
    <t>M7.0</t>
  </si>
  <si>
    <t>M7.5</t>
  </si>
  <si>
    <t>M8.0</t>
  </si>
  <si>
    <t>M8.5</t>
  </si>
  <si>
    <t>-</t>
  </si>
  <si>
    <t>WL</t>
  </si>
  <si>
    <t>Conserv.</t>
  </si>
  <si>
    <t>Calculation of cyclic resistance ratio (CRR, soil "strength") is based on in-situ test data from SPT</t>
  </si>
  <si>
    <t>Factor of Safety</t>
  </si>
  <si>
    <t>Factor of safety is taken as (CRR/1.2*CSR). There is potential for liquefaction if the F.S. is less than unity. The layer is sucebptible to liquefy and the ground densification or mitigation measures are needed</t>
  </si>
  <si>
    <t>Notes:</t>
  </si>
  <si>
    <t>Soil type</t>
  </si>
  <si>
    <t>Liquefaction Analysis</t>
  </si>
  <si>
    <t>Thickness</t>
  </si>
  <si>
    <t xml:space="preserve">W(Z) </t>
  </si>
  <si>
    <t>= 10-0.5z</t>
  </si>
  <si>
    <t>F W(Z) dZ</t>
  </si>
  <si>
    <t>F</t>
  </si>
  <si>
    <t>BH-01</t>
  </si>
  <si>
    <t>TY-23</t>
  </si>
  <si>
    <t>TY-44</t>
  </si>
  <si>
    <t>E</t>
  </si>
  <si>
    <t>Soil Improvement requirements:</t>
  </si>
  <si>
    <t>0 - 0.6</t>
  </si>
  <si>
    <t>20% CBR</t>
  </si>
  <si>
    <t>0.6 - 6.5</t>
  </si>
  <si>
    <t>5 - 8 Mpa CPTu</t>
  </si>
  <si>
    <t>E req</t>
  </si>
  <si>
    <t>(CPT*2.5)</t>
  </si>
  <si>
    <t>(SPT)</t>
  </si>
  <si>
    <t>Ground level</t>
  </si>
  <si>
    <t>Level</t>
  </si>
  <si>
    <t>Probability (M6.5)</t>
  </si>
  <si>
    <r>
      <rPr>
        <sz val="9"/>
        <rFont val="Symbol"/>
        <family val="1"/>
        <charset val="2"/>
      </rPr>
      <t>g</t>
    </r>
    <r>
      <rPr>
        <vertAlign val="subscript"/>
        <sz val="9"/>
        <rFont val="Arial"/>
        <family val="2"/>
      </rPr>
      <t>moist</t>
    </r>
  </si>
  <si>
    <r>
      <rPr>
        <sz val="9"/>
        <rFont val="Symbol"/>
        <family val="1"/>
        <charset val="2"/>
      </rPr>
      <t>g</t>
    </r>
    <r>
      <rPr>
        <vertAlign val="subscript"/>
        <sz val="9"/>
        <rFont val="Arial"/>
        <family val="2"/>
      </rPr>
      <t>sat</t>
    </r>
  </si>
  <si>
    <r>
      <t>s</t>
    </r>
    <r>
      <rPr>
        <vertAlign val="subscript"/>
        <sz val="9"/>
        <rFont val="Arial"/>
        <family val="2"/>
      </rPr>
      <t>vo</t>
    </r>
  </si>
  <si>
    <r>
      <t>s</t>
    </r>
    <r>
      <rPr>
        <sz val="9"/>
        <rFont val="Arial"/>
        <family val="2"/>
      </rPr>
      <t>'</t>
    </r>
    <r>
      <rPr>
        <vertAlign val="subscript"/>
        <sz val="9"/>
        <rFont val="Arial"/>
        <family val="2"/>
      </rPr>
      <t>vo</t>
    </r>
  </si>
  <si>
    <r>
      <t>n</t>
    </r>
    <r>
      <rPr>
        <vertAlign val="subscript"/>
        <sz val="9"/>
        <rFont val="Arial"/>
        <family val="2"/>
      </rPr>
      <t>H</t>
    </r>
  </si>
  <si>
    <r>
      <t>n</t>
    </r>
    <r>
      <rPr>
        <vertAlign val="subscript"/>
        <sz val="9"/>
        <rFont val="Arial"/>
        <family val="2"/>
      </rPr>
      <t>B</t>
    </r>
  </si>
  <si>
    <r>
      <t>n</t>
    </r>
    <r>
      <rPr>
        <vertAlign val="subscript"/>
        <sz val="9"/>
        <rFont val="Arial"/>
        <family val="2"/>
      </rPr>
      <t>S</t>
    </r>
  </si>
  <si>
    <r>
      <t>n</t>
    </r>
    <r>
      <rPr>
        <vertAlign val="subscript"/>
        <sz val="9"/>
        <rFont val="Arial"/>
        <family val="2"/>
      </rPr>
      <t>R</t>
    </r>
  </si>
  <si>
    <r>
      <t>N</t>
    </r>
    <r>
      <rPr>
        <vertAlign val="subscript"/>
        <sz val="9"/>
        <rFont val="Arial"/>
        <family val="2"/>
      </rPr>
      <t>60</t>
    </r>
  </si>
  <si>
    <r>
      <t>C</t>
    </r>
    <r>
      <rPr>
        <vertAlign val="subscript"/>
        <sz val="9"/>
        <rFont val="Arial"/>
        <family val="2"/>
      </rPr>
      <t>N Liao et al</t>
    </r>
  </si>
  <si>
    <r>
      <t>C</t>
    </r>
    <r>
      <rPr>
        <vertAlign val="subscript"/>
        <sz val="9"/>
        <rFont val="Arial"/>
        <family val="2"/>
      </rPr>
      <t>N Skemp.</t>
    </r>
  </si>
  <si>
    <r>
      <t>(N</t>
    </r>
    <r>
      <rPr>
        <vertAlign val="subscript"/>
        <sz val="9"/>
        <rFont val="Arial"/>
        <family val="2"/>
      </rPr>
      <t>1</t>
    </r>
    <r>
      <rPr>
        <sz val="9"/>
        <rFont val="Arial"/>
        <family val="2"/>
      </rPr>
      <t>)</t>
    </r>
    <r>
      <rPr>
        <vertAlign val="subscript"/>
        <sz val="9"/>
        <rFont val="Arial"/>
        <family val="2"/>
      </rPr>
      <t>60</t>
    </r>
  </si>
  <si>
    <r>
      <t>(N</t>
    </r>
    <r>
      <rPr>
        <vertAlign val="subscript"/>
        <sz val="9"/>
        <rFont val="Arial"/>
        <family val="2"/>
      </rPr>
      <t>1</t>
    </r>
    <r>
      <rPr>
        <sz val="9"/>
        <rFont val="Arial"/>
        <family val="2"/>
      </rPr>
      <t>)</t>
    </r>
    <r>
      <rPr>
        <vertAlign val="subscript"/>
        <sz val="9"/>
        <rFont val="Arial"/>
        <family val="2"/>
      </rPr>
      <t>60cs</t>
    </r>
  </si>
  <si>
    <r>
      <t>a</t>
    </r>
    <r>
      <rPr>
        <vertAlign val="subscript"/>
        <sz val="9"/>
        <rFont val="Arial"/>
        <family val="2"/>
      </rPr>
      <t>max</t>
    </r>
  </si>
  <si>
    <r>
      <t>r</t>
    </r>
    <r>
      <rPr>
        <vertAlign val="subscript"/>
        <sz val="9"/>
        <rFont val="Arial"/>
        <family val="2"/>
      </rPr>
      <t>d</t>
    </r>
  </si>
  <si>
    <r>
      <t>CRR</t>
    </r>
    <r>
      <rPr>
        <vertAlign val="subscript"/>
        <sz val="9"/>
        <rFont val="Arial"/>
        <family val="2"/>
      </rPr>
      <t>5.5</t>
    </r>
  </si>
  <si>
    <r>
      <t>CRR</t>
    </r>
    <r>
      <rPr>
        <vertAlign val="subscript"/>
        <sz val="9"/>
        <rFont val="Arial"/>
        <family val="2"/>
      </rPr>
      <t>6</t>
    </r>
  </si>
  <si>
    <r>
      <t>CRR</t>
    </r>
    <r>
      <rPr>
        <vertAlign val="subscript"/>
        <sz val="9"/>
        <rFont val="Arial"/>
        <family val="2"/>
      </rPr>
      <t>6.5</t>
    </r>
  </si>
  <si>
    <r>
      <t>CRR</t>
    </r>
    <r>
      <rPr>
        <vertAlign val="subscript"/>
        <sz val="9"/>
        <rFont val="Arial"/>
        <family val="2"/>
      </rPr>
      <t>7</t>
    </r>
  </si>
  <si>
    <r>
      <t>CRR</t>
    </r>
    <r>
      <rPr>
        <vertAlign val="subscript"/>
        <sz val="9"/>
        <rFont val="Arial"/>
        <family val="2"/>
      </rPr>
      <t>7.5</t>
    </r>
  </si>
  <si>
    <r>
      <t>CRR</t>
    </r>
    <r>
      <rPr>
        <vertAlign val="subscript"/>
        <sz val="9"/>
        <rFont val="Arial"/>
        <family val="2"/>
      </rPr>
      <t>8</t>
    </r>
  </si>
  <si>
    <r>
      <t>CRR</t>
    </r>
    <r>
      <rPr>
        <vertAlign val="subscript"/>
        <sz val="9"/>
        <rFont val="Arial"/>
        <family val="2"/>
      </rPr>
      <t>8.5</t>
    </r>
  </si>
  <si>
    <r>
      <t>I</t>
    </r>
    <r>
      <rPr>
        <vertAlign val="subscript"/>
        <sz val="9"/>
        <rFont val="Arial"/>
        <family val="2"/>
      </rPr>
      <t>L</t>
    </r>
    <r>
      <rPr>
        <sz val="9"/>
        <rFont val="Arial"/>
        <family val="2"/>
      </rPr>
      <t xml:space="preserve"> </t>
    </r>
  </si>
  <si>
    <r>
      <t>(kN/m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)</t>
    </r>
  </si>
  <si>
    <r>
      <t>(kN/m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</t>
    </r>
  </si>
  <si>
    <r>
      <t>assume C</t>
    </r>
    <r>
      <rPr>
        <vertAlign val="subscript"/>
        <sz val="9"/>
        <rFont val="Arial"/>
        <family val="2"/>
      </rPr>
      <t>N</t>
    </r>
  </si>
  <si>
    <r>
      <t>=1-F</t>
    </r>
    <r>
      <rPr>
        <vertAlign val="subscript"/>
        <sz val="9"/>
        <rFont val="Arial"/>
        <family val="2"/>
      </rPr>
      <t>L</t>
    </r>
  </si>
  <si>
    <r>
      <t xml:space="preserve">= </t>
    </r>
    <r>
      <rPr>
        <sz val="9"/>
        <rFont val="Calibri"/>
        <family val="2"/>
      </rPr>
      <t>Σ</t>
    </r>
    <r>
      <rPr>
        <sz val="9"/>
        <rFont val="Arial"/>
        <family val="2"/>
      </rPr>
      <t xml:space="preserve"> F W(Z) dZ</t>
    </r>
  </si>
  <si>
    <r>
      <t>Not applicable, equation valid for (N</t>
    </r>
    <r>
      <rPr>
        <vertAlign val="subscript"/>
        <sz val="9"/>
        <rFont val="Arial"/>
        <family val="2"/>
      </rPr>
      <t>1</t>
    </r>
    <r>
      <rPr>
        <sz val="9"/>
        <rFont val="Arial"/>
        <family val="2"/>
      </rPr>
      <t>)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less than 30, for (N</t>
    </r>
    <r>
      <rPr>
        <vertAlign val="subscript"/>
        <sz val="9"/>
        <rFont val="Arial"/>
        <family val="2"/>
      </rPr>
      <t>1</t>
    </r>
    <r>
      <rPr>
        <sz val="9"/>
        <rFont val="Arial"/>
        <family val="2"/>
      </rPr>
      <t>)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exceeding 30, liquefaction not likely to occur.</t>
    </r>
  </si>
  <si>
    <t>(Ref: NCEER, National Center for Earthquake Engineering Research, 1996 workshop summary report)</t>
  </si>
  <si>
    <t xml:space="preserve"> (mQNHD)</t>
  </si>
  <si>
    <t>(mQNHD)</t>
  </si>
  <si>
    <t>BH-61</t>
  </si>
  <si>
    <t>BH-62</t>
  </si>
  <si>
    <t>BH-68</t>
  </si>
  <si>
    <t>Calculation of cyclic stress ratio (CSR, earthquake "Load") induced in the soil by earthquake are based on Ritcher Magnitude M = 6.5 and maximum ground acceleration a = 0.045g</t>
  </si>
  <si>
    <t>Magnitude of scaling is in accordance with Idriss (1985) from Table 3 of NCEER.</t>
  </si>
  <si>
    <t>BH-39</t>
  </si>
  <si>
    <t>BH-44</t>
  </si>
  <si>
    <t>BH-20</t>
  </si>
  <si>
    <t>BH-23</t>
  </si>
  <si>
    <t>BH-15</t>
  </si>
  <si>
    <t>BH-36</t>
  </si>
  <si>
    <t>BH-10</t>
  </si>
  <si>
    <t>BH-46</t>
  </si>
  <si>
    <t>BH-25</t>
  </si>
  <si>
    <t>Mosque</t>
  </si>
  <si>
    <t>BH-12</t>
  </si>
  <si>
    <t>Retail P.</t>
  </si>
  <si>
    <t>Hotel</t>
  </si>
  <si>
    <t>BH-42</t>
  </si>
  <si>
    <t>LPI</t>
  </si>
  <si>
    <t>dz</t>
  </si>
  <si>
    <r>
      <t>C</t>
    </r>
    <r>
      <rPr>
        <vertAlign val="subscript"/>
        <sz val="9"/>
        <rFont val="Arial"/>
        <family val="2"/>
      </rPr>
      <t>N Kayen et al</t>
    </r>
  </si>
  <si>
    <r>
      <t>a</t>
    </r>
    <r>
      <rPr>
        <vertAlign val="subscript"/>
        <sz val="9"/>
        <rFont val="Arial"/>
        <family val="2"/>
      </rPr>
      <t>max</t>
    </r>
    <r>
      <rPr>
        <sz val="9"/>
        <rFont val="Arial"/>
        <family val="2"/>
      </rPr>
      <t>/g</t>
    </r>
  </si>
  <si>
    <t>Project</t>
  </si>
  <si>
    <t>Originated</t>
  </si>
  <si>
    <t>Part of Structure</t>
  </si>
  <si>
    <t>Checked</t>
  </si>
  <si>
    <t>Job no.</t>
  </si>
  <si>
    <t>Title</t>
  </si>
  <si>
    <t>Date</t>
  </si>
  <si>
    <t>Rev</t>
  </si>
  <si>
    <t>α</t>
  </si>
  <si>
    <t>β</t>
  </si>
  <si>
    <t>BH-02</t>
  </si>
  <si>
    <t xml:space="preserve"> (mDMD)</t>
  </si>
  <si>
    <t>(mDMD)</t>
  </si>
  <si>
    <r>
      <rPr>
        <sz val="9"/>
        <rFont val="Symbol"/>
        <family val="1"/>
        <charset val="2"/>
      </rPr>
      <t>g</t>
    </r>
    <r>
      <rPr>
        <vertAlign val="subscript"/>
        <sz val="9"/>
        <rFont val="Arial"/>
        <family val="2"/>
      </rPr>
      <t>sub</t>
    </r>
  </si>
  <si>
    <r>
      <t>CRR</t>
    </r>
    <r>
      <rPr>
        <vertAlign val="subscript"/>
        <sz val="9"/>
        <rFont val="Arial"/>
        <family val="2"/>
      </rPr>
      <t>6.2</t>
    </r>
  </si>
  <si>
    <t xml:space="preserve">Mw </t>
  </si>
  <si>
    <t>M6.2</t>
  </si>
  <si>
    <t>BH-03</t>
  </si>
  <si>
    <t>BH-04</t>
  </si>
  <si>
    <t>BH-05</t>
  </si>
  <si>
    <t>Seed (1983)</t>
  </si>
  <si>
    <t>NCEER (1997)</t>
  </si>
  <si>
    <t>Idriss &amp; Boulanger (2004)</t>
  </si>
  <si>
    <t>Elevation [m]</t>
  </si>
  <si>
    <t>Characteristic Line</t>
  </si>
  <si>
    <t>output from settle 3d</t>
  </si>
  <si>
    <t>DEWA Landfill Gas Power Plant</t>
  </si>
  <si>
    <t>AN</t>
  </si>
  <si>
    <t>SK</t>
  </si>
  <si>
    <t>x</t>
  </si>
  <si>
    <t>y</t>
  </si>
  <si>
    <t xml:space="preserve"> Avg.Ground Elevation </t>
  </si>
  <si>
    <t>Seed and Idriss (1982)</t>
  </si>
  <si>
    <t>Idriss</t>
  </si>
  <si>
    <t>Magnitude of EQ (Mw)</t>
  </si>
  <si>
    <t xml:space="preserve">Reference </t>
  </si>
  <si>
    <t xml:space="preserve">Table 3 of NCEER </t>
  </si>
  <si>
    <t xml:space="preserve">Average </t>
  </si>
  <si>
    <t>BH</t>
  </si>
  <si>
    <t xml:space="preserve">FOS </t>
  </si>
  <si>
    <t>Mw 6.2</t>
  </si>
  <si>
    <t xml:space="preserve">Level </t>
  </si>
  <si>
    <t>mDMD</t>
  </si>
  <si>
    <t xml:space="preserve">Ground Elevation (mDMD) = </t>
  </si>
  <si>
    <t>Elevation (mDMD)</t>
  </si>
  <si>
    <t>MSF (Idriss)</t>
  </si>
  <si>
    <t>MSF (Seed &amp; Idriss 1982)</t>
  </si>
  <si>
    <t xml:space="preserve">Characteristic Line </t>
  </si>
  <si>
    <t>CRRm</t>
  </si>
  <si>
    <t>CSRfs</t>
  </si>
  <si>
    <t>F.S.</t>
  </si>
  <si>
    <t>Depth(m)</t>
  </si>
  <si>
    <t>BH-01 Liquefy Pro Results</t>
  </si>
  <si>
    <t>Elevation(mDMD)</t>
  </si>
  <si>
    <t xml:space="preserve">Ground Lvl </t>
  </si>
  <si>
    <t>BH-02 Liquefy Pro Results</t>
  </si>
  <si>
    <t xml:space="preserve">Characterstic Line </t>
  </si>
  <si>
    <t>BH-03 Liquefy Pro Results</t>
  </si>
  <si>
    <t>BH-04 Liquefy Pro Results</t>
  </si>
  <si>
    <t>BH-05 Liquefy Pro Results</t>
  </si>
  <si>
    <t xml:space="preserve">Conclusions:  </t>
  </si>
  <si>
    <t xml:space="preserve">1. Liquefy Pro results are in line with the excel spreadsheet calculations </t>
  </si>
  <si>
    <r>
      <t xml:space="preserve">2. Boreholes where </t>
    </r>
    <r>
      <rPr>
        <b/>
        <sz val="10"/>
        <rFont val="Arial"/>
        <family val="2"/>
      </rPr>
      <t>FOS &lt;1.2 below water depth is BH-03</t>
    </r>
    <r>
      <rPr>
        <sz val="10"/>
        <rFont val="Arial"/>
        <family val="2"/>
      </rPr>
      <t xml:space="preserve"> as per </t>
    </r>
    <r>
      <rPr>
        <b/>
        <sz val="10"/>
        <rFont val="Arial"/>
        <family val="2"/>
      </rPr>
      <t>both spreadsheet and LiquefyPro</t>
    </r>
  </si>
  <si>
    <r>
      <t xml:space="preserve">3. Boreholes where </t>
    </r>
    <r>
      <rPr>
        <b/>
        <sz val="10"/>
        <rFont val="Arial"/>
        <family val="2"/>
      </rPr>
      <t>FOS&lt;1.2 above water depth</t>
    </r>
    <r>
      <rPr>
        <sz val="10"/>
        <rFont val="Arial"/>
        <family val="2"/>
      </rPr>
      <t xml:space="preserve"> as per </t>
    </r>
    <r>
      <rPr>
        <b/>
        <sz val="10"/>
        <rFont val="Arial"/>
        <family val="2"/>
      </rPr>
      <t>spreadsheet are BH-01 and BH-04</t>
    </r>
  </si>
  <si>
    <t xml:space="preserve">4. LiquefyPro uses MSF as per Idriss. So FOS derived for Mw =6.2 is same method as it is considered in excel spreadsheet. </t>
  </si>
  <si>
    <t>Probability (M6.2)</t>
  </si>
  <si>
    <t>Project NO.</t>
  </si>
  <si>
    <t>CALC</t>
  </si>
  <si>
    <t>CHKD</t>
  </si>
  <si>
    <t>APVD</t>
  </si>
  <si>
    <t>DATE</t>
  </si>
  <si>
    <t>PROJECT TITLE</t>
  </si>
  <si>
    <t>PAGE</t>
  </si>
  <si>
    <t>SUBJECT</t>
  </si>
  <si>
    <t xml:space="preserve">NOTE: </t>
  </si>
  <si>
    <t xml:space="preserve">PGA = </t>
  </si>
  <si>
    <t xml:space="preserve">Mw = </t>
  </si>
  <si>
    <t>Earth Gravity Acceleration</t>
  </si>
  <si>
    <t>Moment Magnitude of Earthquake (RICHTER)</t>
  </si>
  <si>
    <t xml:space="preserve">INSTRUCTIONS TO USE THIS FILE: </t>
  </si>
  <si>
    <t xml:space="preserve">1. First data in each of the borehole is linked to Row no. 12 for dz (Column F), Total stress (Column O) and Effective stress (Column P) calculation. </t>
  </si>
  <si>
    <t>2. Do not drag the formulas after entering the first data from BH-02 onwards. Instead use the formula used in BH-01 for the above mentioned columns.</t>
  </si>
  <si>
    <t xml:space="preserve">3. Incase the depth of borehole is more in your project then please enter cells in between the range of BH datas so that the same is reflected in linked graphs. </t>
  </si>
  <si>
    <t xml:space="preserve">4. In this workbook, please enter the relevant Magnitude of earthquake(Mw) and Peak Ground Acceleration (PGA) computed for your project as per the Seismic Site Classification. </t>
  </si>
  <si>
    <t xml:space="preserve">5. The graph plotted for CRR and FOS is by default for Mw = 6.2 and PGA 0.19g. Please change if otherwise in the project concerned. </t>
  </si>
  <si>
    <t>Ground Elevation (mDMD)</t>
  </si>
  <si>
    <t>Design WT(mDMD)</t>
  </si>
  <si>
    <t>Water Table (mbgl)</t>
  </si>
  <si>
    <t>BH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</si>
</sst>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4" formatCode="0.0000"/>
    <numFmt numFmtId="185" formatCode="0.000"/>
    <numFmt numFmtId="186" formatCode="0.0"/>
  </numFmts>
  <fonts count="32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name val="Arial"/>
      <family val="2"/>
    </font>
    <font>
      <sz val="9"/>
      <name val="Symbol"/>
      <family val="1"/>
      <charset val="2"/>
    </font>
    <font>
      <vertAlign val="subscript"/>
      <sz val="9"/>
      <name val="Arial"/>
      <family val="2"/>
    </font>
    <font>
      <vertAlign val="superscript"/>
      <sz val="9"/>
      <name val="Arial"/>
      <family val="2"/>
    </font>
    <font>
      <sz val="9"/>
      <name val="Calibri"/>
      <family val="2"/>
    </font>
    <font>
      <b/>
      <u/>
      <sz val="9"/>
      <name val="Arial"/>
      <family val="2"/>
    </font>
    <font>
      <i/>
      <sz val="9"/>
      <name val="Arial"/>
      <family val="2"/>
    </font>
    <font>
      <b/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Times New Roman"/>
      <family val="1"/>
    </font>
    <font>
      <b/>
      <sz val="10"/>
      <name val="Arial"/>
      <family val="2"/>
    </font>
    <font>
      <sz val="9"/>
      <name val="Arial"/>
      <family val="1"/>
      <charset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6"/>
      <name val="Arial"/>
      <family val="2"/>
    </font>
    <font>
      <b/>
      <sz val="8"/>
      <name val="Arial"/>
      <family val="2"/>
    </font>
    <font>
      <sz val="8"/>
      <name val="Arial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8"/>
      <color rgb="FF0000FF"/>
      <name val="Arial"/>
      <family val="2"/>
    </font>
    <font>
      <sz val="8"/>
      <color rgb="FF0000FF"/>
      <name val="Arial"/>
      <family val="2"/>
    </font>
    <font>
      <b/>
      <sz val="10"/>
      <color rgb="FF0000FF"/>
      <name val="Arial"/>
      <family val="2"/>
    </font>
    <font>
      <b/>
      <sz val="11"/>
      <color rgb="FF0000FF"/>
      <name val="Arial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  <font>
      <b/>
      <sz val="12"/>
      <color rgb="FF0000FF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373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Continuous"/>
    </xf>
    <xf numFmtId="0" fontId="3" fillId="2" borderId="3" xfId="0" applyFont="1" applyFill="1" applyBorder="1" applyAlignment="1">
      <alignment horizontal="centerContinuous"/>
    </xf>
    <xf numFmtId="0" fontId="4" fillId="2" borderId="1" xfId="0" applyFont="1" applyFill="1" applyBorder="1" applyAlignment="1">
      <alignment horizontal="center"/>
    </xf>
    <xf numFmtId="0" fontId="3" fillId="0" borderId="0" xfId="0" applyFont="1"/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/>
    <xf numFmtId="0" fontId="3" fillId="2" borderId="7" xfId="0" applyFont="1" applyFill="1" applyBorder="1" applyAlignment="1">
      <alignment horizontal="center"/>
    </xf>
    <xf numFmtId="0" fontId="3" fillId="2" borderId="4" xfId="0" quotePrefix="1" applyFont="1" applyFill="1" applyBorder="1"/>
    <xf numFmtId="0" fontId="8" fillId="0" borderId="0" xfId="0" applyFont="1"/>
    <xf numFmtId="0" fontId="9" fillId="0" borderId="0" xfId="0" applyFont="1"/>
    <xf numFmtId="0" fontId="3" fillId="3" borderId="7" xfId="0" applyFont="1" applyFill="1" applyBorder="1" applyAlignment="1">
      <alignment horizontal="center"/>
    </xf>
    <xf numFmtId="186" fontId="3" fillId="3" borderId="7" xfId="0" applyNumberFormat="1" applyFont="1" applyFill="1" applyBorder="1" applyAlignment="1">
      <alignment horizontal="center"/>
    </xf>
    <xf numFmtId="0" fontId="23" fillId="3" borderId="7" xfId="0" applyFont="1" applyFill="1" applyBorder="1" applyAlignment="1">
      <alignment horizontal="center"/>
    </xf>
    <xf numFmtId="0" fontId="23" fillId="3" borderId="5" xfId="0" applyFont="1" applyFill="1" applyBorder="1" applyAlignment="1">
      <alignment horizontal="center"/>
    </xf>
    <xf numFmtId="0" fontId="23" fillId="0" borderId="5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Continuous"/>
    </xf>
    <xf numFmtId="0" fontId="3" fillId="3" borderId="8" xfId="0" applyFont="1" applyFill="1" applyBorder="1" applyAlignment="1">
      <alignment horizontal="centerContinuous"/>
    </xf>
    <xf numFmtId="2" fontId="3" fillId="0" borderId="7" xfId="0" applyNumberFormat="1" applyFont="1" applyFill="1" applyBorder="1" applyAlignment="1">
      <alignment horizontal="center"/>
    </xf>
    <xf numFmtId="0" fontId="3" fillId="3" borderId="7" xfId="0" applyNumberFormat="1" applyFont="1" applyFill="1" applyBorder="1" applyAlignment="1">
      <alignment horizontal="center"/>
    </xf>
    <xf numFmtId="2" fontId="3" fillId="3" borderId="9" xfId="0" applyNumberFormat="1" applyFont="1" applyFill="1" applyBorder="1" applyAlignment="1">
      <alignment horizontal="center"/>
    </xf>
    <xf numFmtId="1" fontId="3" fillId="0" borderId="9" xfId="0" applyNumberFormat="1" applyFont="1" applyFill="1" applyBorder="1" applyAlignment="1">
      <alignment horizontal="center"/>
    </xf>
    <xf numFmtId="185" fontId="3" fillId="0" borderId="9" xfId="0" applyNumberFormat="1" applyFont="1" applyFill="1" applyBorder="1" applyAlignment="1">
      <alignment horizontal="center"/>
    </xf>
    <xf numFmtId="186" fontId="3" fillId="4" borderId="7" xfId="0" applyNumberFormat="1" applyFont="1" applyFill="1" applyBorder="1" applyAlignment="1">
      <alignment horizontal="center"/>
    </xf>
    <xf numFmtId="185" fontId="3" fillId="0" borderId="2" xfId="0" applyNumberFormat="1" applyFont="1" applyBorder="1"/>
    <xf numFmtId="2" fontId="3" fillId="0" borderId="10" xfId="0" applyNumberFormat="1" applyFont="1" applyBorder="1"/>
    <xf numFmtId="185" fontId="3" fillId="0" borderId="3" xfId="0" applyNumberFormat="1" applyFont="1" applyBorder="1"/>
    <xf numFmtId="2" fontId="3" fillId="0" borderId="0" xfId="0" applyNumberFormat="1" applyFont="1" applyBorder="1"/>
    <xf numFmtId="185" fontId="3" fillId="0" borderId="11" xfId="0" applyNumberFormat="1" applyFont="1" applyBorder="1"/>
    <xf numFmtId="0" fontId="3" fillId="5" borderId="7" xfId="0" applyFont="1" applyFill="1" applyBorder="1" applyAlignment="1">
      <alignment horizontal="center"/>
    </xf>
    <xf numFmtId="0" fontId="3" fillId="5" borderId="7" xfId="0" applyNumberFormat="1" applyFont="1" applyFill="1" applyBorder="1" applyAlignment="1">
      <alignment horizontal="center"/>
    </xf>
    <xf numFmtId="2" fontId="3" fillId="5" borderId="9" xfId="0" applyNumberFormat="1" applyFont="1" applyFill="1" applyBorder="1" applyAlignment="1">
      <alignment horizontal="center"/>
    </xf>
    <xf numFmtId="2" fontId="3" fillId="0" borderId="12" xfId="0" applyNumberFormat="1" applyFont="1" applyBorder="1"/>
    <xf numFmtId="185" fontId="3" fillId="0" borderId="6" xfId="0" applyNumberFormat="1" applyFont="1" applyBorder="1"/>
    <xf numFmtId="186" fontId="3" fillId="5" borderId="7" xfId="0" applyNumberFormat="1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Continuous"/>
    </xf>
    <xf numFmtId="0" fontId="3" fillId="5" borderId="8" xfId="0" applyFont="1" applyFill="1" applyBorder="1" applyAlignment="1">
      <alignment horizontal="centerContinuous"/>
    </xf>
    <xf numFmtId="0" fontId="3" fillId="0" borderId="0" xfId="0" applyFont="1" applyFill="1"/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applyFont="1" applyFill="1" applyBorder="1" applyAlignment="1">
      <alignment horizontal="left"/>
    </xf>
    <xf numFmtId="0" fontId="10" fillId="0" borderId="0" xfId="0" applyFont="1"/>
    <xf numFmtId="0" fontId="3" fillId="0" borderId="7" xfId="0" applyFont="1" applyBorder="1" applyAlignment="1">
      <alignment horizontal="center"/>
    </xf>
    <xf numFmtId="0" fontId="3" fillId="0" borderId="7" xfId="0" applyFont="1" applyBorder="1"/>
    <xf numFmtId="0" fontId="3" fillId="0" borderId="7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2" fontId="3" fillId="0" borderId="9" xfId="0" applyNumberFormat="1" applyFont="1" applyFill="1" applyBorder="1" applyAlignment="1">
      <alignment horizontal="center"/>
    </xf>
    <xf numFmtId="185" fontId="3" fillId="0" borderId="7" xfId="0" applyNumberFormat="1" applyFont="1" applyFill="1" applyBorder="1" applyAlignment="1">
      <alignment horizontal="center"/>
    </xf>
    <xf numFmtId="0" fontId="3" fillId="2" borderId="13" xfId="0" quotePrefix="1" applyFont="1" applyFill="1" applyBorder="1" applyAlignment="1">
      <alignment horizontal="center"/>
    </xf>
    <xf numFmtId="0" fontId="3" fillId="2" borderId="13" xfId="0" quotePrefix="1" applyFont="1" applyFill="1" applyBorder="1"/>
    <xf numFmtId="0" fontId="3" fillId="2" borderId="13" xfId="0" applyFont="1" applyFill="1" applyBorder="1"/>
    <xf numFmtId="185" fontId="3" fillId="0" borderId="14" xfId="0" applyNumberFormat="1" applyFont="1" applyBorder="1"/>
    <xf numFmtId="185" fontId="3" fillId="0" borderId="5" xfId="0" applyNumberFormat="1" applyFont="1" applyBorder="1"/>
    <xf numFmtId="0" fontId="10" fillId="0" borderId="0" xfId="0" applyFont="1" applyAlignment="1">
      <alignment horizontal="center"/>
    </xf>
    <xf numFmtId="0" fontId="3" fillId="3" borderId="9" xfId="0" applyFont="1" applyFill="1" applyBorder="1" applyAlignment="1">
      <alignment horizontal="center"/>
    </xf>
    <xf numFmtId="1" fontId="3" fillId="3" borderId="9" xfId="0" applyNumberFormat="1" applyFont="1" applyFill="1" applyBorder="1" applyAlignment="1">
      <alignment horizontal="center"/>
    </xf>
    <xf numFmtId="185" fontId="3" fillId="3" borderId="9" xfId="0" applyNumberFormat="1" applyFont="1" applyFill="1" applyBorder="1" applyAlignment="1">
      <alignment horizontal="center"/>
    </xf>
    <xf numFmtId="185" fontId="3" fillId="5" borderId="9" xfId="0" applyNumberFormat="1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1" fontId="3" fillId="5" borderId="9" xfId="0" applyNumberFormat="1" applyFont="1" applyFill="1" applyBorder="1" applyAlignment="1">
      <alignment horizontal="center"/>
    </xf>
    <xf numFmtId="186" fontId="3" fillId="4" borderId="7" xfId="0" applyNumberFormat="1" applyFont="1" applyFill="1" applyBorder="1" applyAlignment="1">
      <alignment horizontal="left"/>
    </xf>
    <xf numFmtId="0" fontId="3" fillId="2" borderId="9" xfId="0" applyFont="1" applyFill="1" applyBorder="1" applyAlignment="1"/>
    <xf numFmtId="0" fontId="3" fillId="2" borderId="15" xfId="0" applyFont="1" applyFill="1" applyBorder="1" applyAlignment="1"/>
    <xf numFmtId="0" fontId="3" fillId="2" borderId="8" xfId="0" applyFont="1" applyFill="1" applyBorder="1" applyAlignment="1"/>
    <xf numFmtId="0" fontId="3" fillId="0" borderId="2" xfId="0" applyFont="1" applyBorder="1"/>
    <xf numFmtId="0" fontId="3" fillId="0" borderId="10" xfId="0" applyFont="1" applyBorder="1"/>
    <xf numFmtId="0" fontId="3" fillId="0" borderId="3" xfId="0" applyFont="1" applyBorder="1"/>
    <xf numFmtId="0" fontId="3" fillId="0" borderId="0" xfId="0" applyFont="1" applyBorder="1"/>
    <xf numFmtId="0" fontId="3" fillId="0" borderId="14" xfId="0" applyFont="1" applyBorder="1"/>
    <xf numFmtId="0" fontId="8" fillId="0" borderId="0" xfId="0" applyFont="1" applyBorder="1"/>
    <xf numFmtId="0" fontId="3" fillId="0" borderId="11" xfId="0" applyFont="1" applyBorder="1"/>
    <xf numFmtId="0" fontId="9" fillId="0" borderId="0" xfId="0" applyFont="1" applyBorder="1"/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18" xfId="0" quotePrefix="1" applyFont="1" applyFill="1" applyBorder="1" applyAlignment="1">
      <alignment horizontal="center"/>
    </xf>
    <xf numFmtId="0" fontId="3" fillId="2" borderId="19" xfId="0" quotePrefix="1" applyFont="1" applyFill="1" applyBorder="1"/>
    <xf numFmtId="0" fontId="3" fillId="2" borderId="19" xfId="0" applyFont="1" applyFill="1" applyBorder="1"/>
    <xf numFmtId="0" fontId="3" fillId="2" borderId="20" xfId="0" quotePrefix="1" applyFont="1" applyFill="1" applyBorder="1"/>
    <xf numFmtId="186" fontId="23" fillId="3" borderId="7" xfId="0" applyNumberFormat="1" applyFont="1" applyFill="1" applyBorder="1" applyAlignment="1">
      <alignment horizontal="center"/>
    </xf>
    <xf numFmtId="0" fontId="23" fillId="6" borderId="5" xfId="0" applyFont="1" applyFill="1" applyBorder="1" applyAlignment="1">
      <alignment horizontal="center"/>
    </xf>
    <xf numFmtId="2" fontId="3" fillId="6" borderId="7" xfId="0" applyNumberFormat="1" applyFont="1" applyFill="1" applyBorder="1" applyAlignment="1">
      <alignment horizontal="center"/>
    </xf>
    <xf numFmtId="1" fontId="3" fillId="6" borderId="9" xfId="0" applyNumberFormat="1" applyFont="1" applyFill="1" applyBorder="1" applyAlignment="1">
      <alignment horizontal="center"/>
    </xf>
    <xf numFmtId="185" fontId="3" fillId="6" borderId="9" xfId="0" applyNumberFormat="1" applyFont="1" applyFill="1" applyBorder="1" applyAlignment="1">
      <alignment horizontal="center"/>
    </xf>
    <xf numFmtId="185" fontId="3" fillId="6" borderId="7" xfId="0" applyNumberFormat="1" applyFont="1" applyFill="1" applyBorder="1" applyAlignment="1">
      <alignment horizontal="center"/>
    </xf>
    <xf numFmtId="185" fontId="3" fillId="0" borderId="21" xfId="0" applyNumberFormat="1" applyFont="1" applyBorder="1"/>
    <xf numFmtId="2" fontId="3" fillId="0" borderId="22" xfId="0" applyNumberFormat="1" applyFont="1" applyBorder="1"/>
    <xf numFmtId="185" fontId="3" fillId="0" borderId="23" xfId="0" applyNumberFormat="1" applyFont="1" applyBorder="1"/>
    <xf numFmtId="185" fontId="3" fillId="0" borderId="24" xfId="0" applyNumberFormat="1" applyFont="1" applyBorder="1"/>
    <xf numFmtId="185" fontId="3" fillId="0" borderId="25" xfId="0" applyNumberFormat="1" applyFont="1" applyBorder="1"/>
    <xf numFmtId="2" fontId="3" fillId="0" borderId="26" xfId="0" applyNumberFormat="1" applyFont="1" applyBorder="1"/>
    <xf numFmtId="185" fontId="3" fillId="0" borderId="27" xfId="0" applyNumberFormat="1" applyFont="1" applyBorder="1"/>
    <xf numFmtId="0" fontId="8" fillId="0" borderId="0" xfId="0" applyFont="1" applyBorder="1" applyAlignment="1">
      <alignment horizontal="right"/>
    </xf>
    <xf numFmtId="0" fontId="1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5" xfId="0" applyFont="1" applyBorder="1"/>
    <xf numFmtId="0" fontId="3" fillId="0" borderId="12" xfId="0" applyFont="1" applyBorder="1"/>
    <xf numFmtId="0" fontId="3" fillId="0" borderId="6" xfId="0" applyFont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Continuous"/>
    </xf>
    <xf numFmtId="0" fontId="10" fillId="0" borderId="0" xfId="0" applyFont="1" applyBorder="1"/>
    <xf numFmtId="0" fontId="3" fillId="3" borderId="0" xfId="0" applyFont="1" applyFill="1" applyBorder="1" applyAlignment="1">
      <alignment horizontal="center"/>
    </xf>
    <xf numFmtId="186" fontId="3" fillId="3" borderId="0" xfId="0" applyNumberFormat="1" applyFont="1" applyFill="1" applyBorder="1" applyAlignment="1">
      <alignment horizontal="center"/>
    </xf>
    <xf numFmtId="0" fontId="23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Continuous"/>
    </xf>
    <xf numFmtId="0" fontId="3" fillId="5" borderId="0" xfId="0" applyFont="1" applyFill="1" applyBorder="1" applyAlignment="1">
      <alignment horizontal="center"/>
    </xf>
    <xf numFmtId="186" fontId="3" fillId="5" borderId="0" xfId="0" applyNumberFormat="1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Continuous"/>
    </xf>
    <xf numFmtId="2" fontId="3" fillId="3" borderId="7" xfId="0" applyNumberFormat="1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Continuous"/>
    </xf>
    <xf numFmtId="0" fontId="3" fillId="5" borderId="6" xfId="0" applyFont="1" applyFill="1" applyBorder="1" applyAlignment="1">
      <alignment horizontal="centerContinuous"/>
    </xf>
    <xf numFmtId="2" fontId="3" fillId="5" borderId="7" xfId="0" applyNumberFormat="1" applyFont="1" applyFill="1" applyBorder="1" applyAlignment="1">
      <alignment horizontal="center"/>
    </xf>
    <xf numFmtId="185" fontId="3" fillId="0" borderId="0" xfId="0" applyNumberFormat="1" applyFont="1" applyBorder="1"/>
    <xf numFmtId="0" fontId="3" fillId="2" borderId="9" xfId="0" applyFont="1" applyFill="1" applyBorder="1" applyAlignment="1">
      <alignment horizontal="center"/>
    </xf>
    <xf numFmtId="186" fontId="3" fillId="4" borderId="9" xfId="0" applyNumberFormat="1" applyFont="1" applyFill="1" applyBorder="1" applyAlignment="1">
      <alignment horizontal="center"/>
    </xf>
    <xf numFmtId="0" fontId="3" fillId="7" borderId="7" xfId="0" applyFont="1" applyFill="1" applyBorder="1" applyAlignment="1">
      <alignment horizontal="center"/>
    </xf>
    <xf numFmtId="2" fontId="3" fillId="7" borderId="7" xfId="0" applyNumberFormat="1" applyFont="1" applyFill="1" applyBorder="1" applyAlignment="1">
      <alignment horizontal="center"/>
    </xf>
    <xf numFmtId="0" fontId="3" fillId="7" borderId="5" xfId="0" applyFont="1" applyFill="1" applyBorder="1" applyAlignment="1">
      <alignment horizontal="centerContinuous"/>
    </xf>
    <xf numFmtId="0" fontId="3" fillId="7" borderId="8" xfId="0" applyFont="1" applyFill="1" applyBorder="1" applyAlignment="1">
      <alignment horizontal="centerContinuous"/>
    </xf>
    <xf numFmtId="1" fontId="3" fillId="3" borderId="7" xfId="0" applyNumberFormat="1" applyFont="1" applyFill="1" applyBorder="1" applyAlignment="1">
      <alignment horizontal="center"/>
    </xf>
    <xf numFmtId="0" fontId="3" fillId="0" borderId="21" xfId="0" applyFont="1" applyBorder="1"/>
    <xf numFmtId="0" fontId="3" fillId="0" borderId="22" xfId="0" applyFont="1" applyBorder="1"/>
    <xf numFmtId="0" fontId="3" fillId="0" borderId="28" xfId="0" applyFont="1" applyBorder="1"/>
    <xf numFmtId="0" fontId="3" fillId="0" borderId="29" xfId="0" applyFont="1" applyBorder="1"/>
    <xf numFmtId="0" fontId="3" fillId="0" borderId="30" xfId="0" applyFont="1" applyBorder="1"/>
    <xf numFmtId="0" fontId="3" fillId="0" borderId="31" xfId="0" applyFont="1" applyBorder="1"/>
    <xf numFmtId="0" fontId="3" fillId="0" borderId="32" xfId="0" applyFont="1" applyBorder="1"/>
    <xf numFmtId="0" fontId="3" fillId="0" borderId="22" xfId="0" applyFont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8" borderId="7" xfId="0" applyFont="1" applyFill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8" borderId="34" xfId="0" applyFont="1" applyFill="1" applyBorder="1" applyAlignment="1">
      <alignment horizontal="center"/>
    </xf>
    <xf numFmtId="0" fontId="3" fillId="7" borderId="29" xfId="0" applyFont="1" applyFill="1" applyBorder="1" applyAlignment="1">
      <alignment horizontal="center" vertical="center" wrapText="1"/>
    </xf>
    <xf numFmtId="185" fontId="3" fillId="3" borderId="7" xfId="0" applyNumberFormat="1" applyFont="1" applyFill="1" applyBorder="1" applyAlignment="1">
      <alignment horizontal="center"/>
    </xf>
    <xf numFmtId="186" fontId="3" fillId="0" borderId="0" xfId="0" applyNumberFormat="1" applyFont="1"/>
    <xf numFmtId="186" fontId="3" fillId="0" borderId="22" xfId="0" applyNumberFormat="1" applyFont="1" applyBorder="1"/>
    <xf numFmtId="186" fontId="3" fillId="0" borderId="0" xfId="0" applyNumberFormat="1" applyFont="1" applyBorder="1"/>
    <xf numFmtId="186" fontId="3" fillId="2" borderId="1" xfId="0" applyNumberFormat="1" applyFont="1" applyFill="1" applyBorder="1" applyAlignment="1">
      <alignment horizontal="center"/>
    </xf>
    <xf numFmtId="186" fontId="3" fillId="2" borderId="4" xfId="0" applyNumberFormat="1" applyFont="1" applyFill="1" applyBorder="1" applyAlignment="1">
      <alignment horizontal="center"/>
    </xf>
    <xf numFmtId="186" fontId="3" fillId="7" borderId="7" xfId="0" applyNumberFormat="1" applyFont="1" applyFill="1" applyBorder="1" applyAlignment="1">
      <alignment horizontal="center"/>
    </xf>
    <xf numFmtId="186" fontId="3" fillId="0" borderId="31" xfId="0" applyNumberFormat="1" applyFont="1" applyBorder="1"/>
    <xf numFmtId="2" fontId="3" fillId="0" borderId="0" xfId="0" applyNumberFormat="1" applyFont="1"/>
    <xf numFmtId="2" fontId="3" fillId="2" borderId="1" xfId="0" applyNumberFormat="1" applyFont="1" applyFill="1" applyBorder="1" applyAlignment="1">
      <alignment horizontal="center"/>
    </xf>
    <xf numFmtId="2" fontId="3" fillId="2" borderId="4" xfId="0" applyNumberFormat="1" applyFont="1" applyFill="1" applyBorder="1" applyAlignment="1">
      <alignment horizontal="center"/>
    </xf>
    <xf numFmtId="2" fontId="3" fillId="0" borderId="31" xfId="0" applyNumberFormat="1" applyFont="1" applyBorder="1"/>
    <xf numFmtId="1" fontId="3" fillId="0" borderId="0" xfId="0" applyNumberFormat="1" applyFont="1"/>
    <xf numFmtId="1" fontId="3" fillId="0" borderId="22" xfId="0" applyNumberFormat="1" applyFont="1" applyBorder="1"/>
    <xf numFmtId="1" fontId="3" fillId="0" borderId="0" xfId="0" applyNumberFormat="1" applyFont="1" applyBorder="1"/>
    <xf numFmtId="1" fontId="3" fillId="2" borderId="1" xfId="0" applyNumberFormat="1" applyFont="1" applyFill="1" applyBorder="1" applyAlignment="1">
      <alignment horizontal="center"/>
    </xf>
    <xf numFmtId="1" fontId="3" fillId="2" borderId="4" xfId="0" applyNumberFormat="1" applyFont="1" applyFill="1" applyBorder="1" applyAlignment="1">
      <alignment horizontal="center"/>
    </xf>
    <xf numFmtId="1" fontId="3" fillId="7" borderId="7" xfId="0" applyNumberFormat="1" applyFont="1" applyFill="1" applyBorder="1" applyAlignment="1">
      <alignment horizontal="center"/>
    </xf>
    <xf numFmtId="1" fontId="3" fillId="0" borderId="31" xfId="0" applyNumberFormat="1" applyFont="1" applyBorder="1"/>
    <xf numFmtId="185" fontId="3" fillId="0" borderId="0" xfId="0" applyNumberFormat="1" applyFont="1"/>
    <xf numFmtId="185" fontId="3" fillId="0" borderId="22" xfId="0" applyNumberFormat="1" applyFont="1" applyBorder="1"/>
    <xf numFmtId="185" fontId="3" fillId="7" borderId="7" xfId="0" applyNumberFormat="1" applyFont="1" applyFill="1" applyBorder="1" applyAlignment="1">
      <alignment horizontal="center"/>
    </xf>
    <xf numFmtId="185" fontId="3" fillId="0" borderId="31" xfId="0" applyNumberFormat="1" applyFont="1" applyBorder="1"/>
    <xf numFmtId="1" fontId="4" fillId="2" borderId="1" xfId="0" applyNumberFormat="1" applyFont="1" applyFill="1" applyBorder="1" applyAlignment="1">
      <alignment horizontal="center"/>
    </xf>
    <xf numFmtId="186" fontId="23" fillId="3" borderId="5" xfId="0" applyNumberFormat="1" applyFont="1" applyFill="1" applyBorder="1" applyAlignment="1">
      <alignment horizontal="center"/>
    </xf>
    <xf numFmtId="1" fontId="23" fillId="3" borderId="5" xfId="0" applyNumberFormat="1" applyFont="1" applyFill="1" applyBorder="1" applyAlignment="1">
      <alignment horizontal="center"/>
    </xf>
    <xf numFmtId="186" fontId="3" fillId="0" borderId="0" xfId="0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" fontId="3" fillId="7" borderId="8" xfId="0" applyNumberFormat="1" applyFont="1" applyFill="1" applyBorder="1" applyAlignment="1">
      <alignment horizontal="center"/>
    </xf>
    <xf numFmtId="1" fontId="3" fillId="3" borderId="0" xfId="0" applyNumberFormat="1" applyFont="1" applyFill="1" applyBorder="1" applyAlignment="1">
      <alignment horizontal="center"/>
    </xf>
    <xf numFmtId="1" fontId="3" fillId="5" borderId="0" xfId="0" applyNumberFormat="1" applyFont="1" applyFill="1" applyBorder="1" applyAlignment="1">
      <alignment horizontal="center"/>
    </xf>
    <xf numFmtId="185" fontId="3" fillId="2" borderId="1" xfId="0" applyNumberFormat="1" applyFont="1" applyFill="1" applyBorder="1" applyAlignment="1">
      <alignment horizontal="center"/>
    </xf>
    <xf numFmtId="186" fontId="3" fillId="3" borderId="9" xfId="0" applyNumberFormat="1" applyFont="1" applyFill="1" applyBorder="1" applyAlignment="1">
      <alignment horizontal="center"/>
    </xf>
    <xf numFmtId="185" fontId="3" fillId="2" borderId="2" xfId="0" applyNumberFormat="1" applyFont="1" applyFill="1" applyBorder="1" applyAlignment="1">
      <alignment horizontal="center"/>
    </xf>
    <xf numFmtId="185" fontId="3" fillId="2" borderId="5" xfId="0" applyNumberFormat="1" applyFont="1" applyFill="1" applyBorder="1" applyAlignment="1">
      <alignment horizontal="center"/>
    </xf>
    <xf numFmtId="185" fontId="23" fillId="3" borderId="5" xfId="0" applyNumberFormat="1" applyFont="1" applyFill="1" applyBorder="1" applyAlignment="1">
      <alignment horizontal="center"/>
    </xf>
    <xf numFmtId="185" fontId="3" fillId="0" borderId="0" xfId="0" applyNumberFormat="1" applyFont="1" applyBorder="1" applyAlignment="1">
      <alignment horizontal="left"/>
    </xf>
    <xf numFmtId="185" fontId="23" fillId="3" borderId="0" xfId="0" applyNumberFormat="1" applyFont="1" applyFill="1" applyBorder="1" applyAlignment="1">
      <alignment horizontal="center"/>
    </xf>
    <xf numFmtId="185" fontId="23" fillId="5" borderId="0" xfId="0" applyNumberFormat="1" applyFont="1" applyFill="1" applyBorder="1" applyAlignment="1">
      <alignment horizontal="center"/>
    </xf>
    <xf numFmtId="186" fontId="8" fillId="0" borderId="0" xfId="0" applyNumberFormat="1" applyFont="1" applyBorder="1"/>
    <xf numFmtId="186" fontId="9" fillId="0" borderId="0" xfId="0" applyNumberFormat="1" applyFont="1" applyBorder="1"/>
    <xf numFmtId="186" fontId="23" fillId="3" borderId="0" xfId="0" applyNumberFormat="1" applyFont="1" applyFill="1" applyBorder="1" applyAlignment="1">
      <alignment horizontal="center"/>
    </xf>
    <xf numFmtId="186" fontId="23" fillId="5" borderId="0" xfId="0" applyNumberFormat="1" applyFont="1" applyFill="1" applyBorder="1" applyAlignment="1">
      <alignment horizontal="center"/>
    </xf>
    <xf numFmtId="186" fontId="23" fillId="7" borderId="5" xfId="0" applyNumberFormat="1" applyFont="1" applyFill="1" applyBorder="1" applyAlignment="1">
      <alignment horizontal="center"/>
    </xf>
    <xf numFmtId="2" fontId="3" fillId="2" borderId="7" xfId="0" applyNumberFormat="1" applyFont="1" applyFill="1" applyBorder="1" applyAlignment="1">
      <alignment horizontal="center"/>
    </xf>
    <xf numFmtId="2" fontId="3" fillId="2" borderId="4" xfId="0" applyNumberFormat="1" applyFont="1" applyFill="1" applyBorder="1"/>
    <xf numFmtId="2" fontId="3" fillId="4" borderId="7" xfId="0" applyNumberFormat="1" applyFont="1" applyFill="1" applyBorder="1" applyAlignment="1">
      <alignment horizontal="center"/>
    </xf>
    <xf numFmtId="2" fontId="3" fillId="7" borderId="9" xfId="0" applyNumberFormat="1" applyFont="1" applyFill="1" applyBorder="1" applyAlignment="1">
      <alignment horizontal="center"/>
    </xf>
    <xf numFmtId="185" fontId="3" fillId="2" borderId="4" xfId="0" applyNumberFormat="1" applyFont="1" applyFill="1" applyBorder="1"/>
    <xf numFmtId="186" fontId="3" fillId="7" borderId="9" xfId="0" applyNumberFormat="1" applyFont="1" applyFill="1" applyBorder="1" applyAlignment="1">
      <alignment horizontal="center"/>
    </xf>
    <xf numFmtId="1" fontId="3" fillId="7" borderId="9" xfId="0" applyNumberFormat="1" applyFont="1" applyFill="1" applyBorder="1" applyAlignment="1">
      <alignment horizontal="center"/>
    </xf>
    <xf numFmtId="185" fontId="23" fillId="7" borderId="5" xfId="0" applyNumberFormat="1" applyFont="1" applyFill="1" applyBorder="1" applyAlignment="1">
      <alignment horizontal="center"/>
    </xf>
    <xf numFmtId="1" fontId="23" fillId="7" borderId="5" xfId="0" applyNumberFormat="1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0" fontId="3" fillId="8" borderId="7" xfId="0" applyFont="1" applyFill="1" applyBorder="1" applyAlignment="1">
      <alignment horizontal="center"/>
    </xf>
    <xf numFmtId="0" fontId="3" fillId="0" borderId="35" xfId="0" applyFont="1" applyBorder="1" applyAlignment="1">
      <alignment horizontal="center" vertical="center" textRotation="90"/>
    </xf>
    <xf numFmtId="186" fontId="3" fillId="2" borderId="5" xfId="0" applyNumberFormat="1" applyFont="1" applyFill="1" applyBorder="1" applyAlignment="1">
      <alignment horizontal="center"/>
    </xf>
    <xf numFmtId="186" fontId="3" fillId="2" borderId="5" xfId="0" applyNumberFormat="1" applyFont="1" applyFill="1" applyBorder="1" applyAlignment="1">
      <alignment horizontal="center" vertical="center"/>
    </xf>
    <xf numFmtId="1" fontId="3" fillId="2" borderId="5" xfId="0" applyNumberFormat="1" applyFont="1" applyFill="1" applyBorder="1" applyAlignment="1">
      <alignment horizontal="center"/>
    </xf>
    <xf numFmtId="2" fontId="3" fillId="2" borderId="5" xfId="0" applyNumberFormat="1" applyFont="1" applyFill="1" applyBorder="1" applyAlignment="1">
      <alignment horizontal="center"/>
    </xf>
    <xf numFmtId="2" fontId="3" fillId="2" borderId="5" xfId="0" applyNumberFormat="1" applyFont="1" applyFill="1" applyBorder="1"/>
    <xf numFmtId="0" fontId="3" fillId="8" borderId="17" xfId="0" applyFont="1" applyFill="1" applyBorder="1" applyAlignment="1">
      <alignment horizontal="center"/>
    </xf>
    <xf numFmtId="1" fontId="15" fillId="2" borderId="1" xfId="0" applyNumberFormat="1" applyFont="1" applyFill="1" applyBorder="1" applyAlignment="1">
      <alignment horizontal="center"/>
    </xf>
    <xf numFmtId="185" fontId="3" fillId="7" borderId="5" xfId="0" applyNumberFormat="1" applyFont="1" applyFill="1" applyBorder="1" applyAlignment="1">
      <alignment horizontal="center"/>
    </xf>
    <xf numFmtId="1" fontId="3" fillId="7" borderId="5" xfId="0" applyNumberFormat="1" applyFont="1" applyFill="1" applyBorder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2" xfId="0" applyBorder="1"/>
    <xf numFmtId="0" fontId="0" fillId="0" borderId="33" xfId="0" applyBorder="1"/>
    <xf numFmtId="0" fontId="0" fillId="0" borderId="0" xfId="0" applyBorder="1"/>
    <xf numFmtId="0" fontId="0" fillId="0" borderId="29" xfId="0" applyBorder="1"/>
    <xf numFmtId="0" fontId="0" fillId="0" borderId="28" xfId="0" applyBorder="1"/>
    <xf numFmtId="0" fontId="0" fillId="0" borderId="30" xfId="0" applyBorder="1"/>
    <xf numFmtId="0" fontId="0" fillId="0" borderId="31" xfId="0" applyBorder="1"/>
    <xf numFmtId="0" fontId="0" fillId="0" borderId="7" xfId="0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3" fillId="2" borderId="1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5" fontId="0" fillId="0" borderId="0" xfId="0" applyNumberFormat="1"/>
    <xf numFmtId="185" fontId="3" fillId="2" borderId="1" xfId="0" applyNumberFormat="1" applyFont="1" applyFill="1" applyBorder="1" applyAlignment="1">
      <alignment horizontal="center" vertical="center"/>
    </xf>
    <xf numFmtId="185" fontId="3" fillId="2" borderId="4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2" fontId="3" fillId="2" borderId="0" xfId="0" applyNumberFormat="1" applyFont="1" applyFill="1" applyBorder="1"/>
    <xf numFmtId="185" fontId="0" fillId="0" borderId="12" xfId="0" applyNumberFormat="1" applyBorder="1"/>
    <xf numFmtId="0" fontId="0" fillId="0" borderId="12" xfId="0" applyBorder="1"/>
    <xf numFmtId="2" fontId="0" fillId="0" borderId="12" xfId="0" applyNumberFormat="1" applyBorder="1" applyAlignment="1">
      <alignment horizontal="center" vertical="center"/>
    </xf>
    <xf numFmtId="185" fontId="0" fillId="0" borderId="0" xfId="0" applyNumberFormat="1" applyBorder="1"/>
    <xf numFmtId="49" fontId="24" fillId="0" borderId="0" xfId="0" applyNumberFormat="1" applyFont="1" applyBorder="1" applyAlignment="1">
      <alignment wrapText="1"/>
    </xf>
    <xf numFmtId="49" fontId="24" fillId="0" borderId="28" xfId="0" applyNumberFormat="1" applyFont="1" applyBorder="1" applyAlignment="1">
      <alignment wrapText="1"/>
    </xf>
    <xf numFmtId="49" fontId="2" fillId="0" borderId="21" xfId="0" applyNumberFormat="1" applyFont="1" applyBorder="1"/>
    <xf numFmtId="185" fontId="23" fillId="7" borderId="22" xfId="0" applyNumberFormat="1" applyFont="1" applyFill="1" applyBorder="1" applyAlignment="1">
      <alignment horizontal="center"/>
    </xf>
    <xf numFmtId="49" fontId="24" fillId="0" borderId="29" xfId="0" applyNumberFormat="1" applyFont="1" applyBorder="1" applyAlignment="1">
      <alignment wrapText="1"/>
    </xf>
    <xf numFmtId="185" fontId="0" fillId="0" borderId="29" xfId="0" applyNumberFormat="1" applyBorder="1"/>
    <xf numFmtId="185" fontId="0" fillId="0" borderId="31" xfId="0" applyNumberFormat="1" applyBorder="1"/>
    <xf numFmtId="185" fontId="0" fillId="0" borderId="32" xfId="0" applyNumberFormat="1" applyBorder="1"/>
    <xf numFmtId="2" fontId="3" fillId="0" borderId="7" xfId="0" applyNumberFormat="1" applyFont="1" applyBorder="1" applyAlignment="1">
      <alignment horizontal="center" vertical="center"/>
    </xf>
    <xf numFmtId="2" fontId="3" fillId="9" borderId="7" xfId="0" applyNumberFormat="1" applyFont="1" applyFill="1" applyBorder="1" applyAlignment="1">
      <alignment horizontal="center" vertical="center" wrapText="1"/>
    </xf>
    <xf numFmtId="2" fontId="3" fillId="0" borderId="7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2" fontId="3" fillId="9" borderId="7" xfId="0" applyNumberFormat="1" applyFont="1" applyFill="1" applyBorder="1" applyAlignment="1">
      <alignment horizontal="center" vertical="center"/>
    </xf>
    <xf numFmtId="0" fontId="14" fillId="0" borderId="28" xfId="0" applyFont="1" applyBorder="1"/>
    <xf numFmtId="185" fontId="0" fillId="0" borderId="7" xfId="0" applyNumberFormat="1" applyBorder="1" applyAlignment="1">
      <alignment horizontal="center" vertical="center"/>
    </xf>
    <xf numFmtId="185" fontId="23" fillId="3" borderId="5" xfId="0" applyNumberFormat="1" applyFont="1" applyFill="1" applyBorder="1" applyAlignment="1">
      <alignment horizontal="center" vertical="center"/>
    </xf>
    <xf numFmtId="0" fontId="14" fillId="0" borderId="0" xfId="0" applyFont="1"/>
    <xf numFmtId="0" fontId="2" fillId="0" borderId="0" xfId="0" applyFont="1" applyAlignment="1">
      <alignment horizontal="left"/>
    </xf>
    <xf numFmtId="2" fontId="3" fillId="2" borderId="9" xfId="0" applyNumberFormat="1" applyFont="1" applyFill="1" applyBorder="1" applyAlignment="1"/>
    <xf numFmtId="2" fontId="3" fillId="2" borderId="15" xfId="0" applyNumberFormat="1" applyFont="1" applyFill="1" applyBorder="1" applyAlignment="1"/>
    <xf numFmtId="2" fontId="3" fillId="2" borderId="8" xfId="0" applyNumberFormat="1" applyFont="1" applyFill="1" applyBorder="1" applyAlignment="1"/>
    <xf numFmtId="0" fontId="0" fillId="10" borderId="0" xfId="0" applyFill="1"/>
    <xf numFmtId="0" fontId="3" fillId="2" borderId="7" xfId="0" quotePrefix="1" applyFont="1" applyFill="1" applyBorder="1" applyAlignment="1">
      <alignment horizontal="center"/>
    </xf>
    <xf numFmtId="185" fontId="3" fillId="0" borderId="7" xfId="0" applyNumberFormat="1" applyFont="1" applyBorder="1" applyAlignment="1">
      <alignment horizontal="center"/>
    </xf>
    <xf numFmtId="2" fontId="3" fillId="0" borderId="7" xfId="0" applyNumberFormat="1" applyFont="1" applyBorder="1" applyAlignment="1">
      <alignment horizontal="center"/>
    </xf>
    <xf numFmtId="2" fontId="3" fillId="0" borderId="29" xfId="0" applyNumberFormat="1" applyFont="1" applyBorder="1"/>
    <xf numFmtId="0" fontId="2" fillId="0" borderId="21" xfId="0" applyFont="1" applyBorder="1"/>
    <xf numFmtId="0" fontId="2" fillId="0" borderId="22" xfId="0" applyFont="1" applyBorder="1"/>
    <xf numFmtId="0" fontId="1" fillId="0" borderId="22" xfId="0" applyFont="1" applyBorder="1" applyAlignment="1">
      <alignment horizontal="center"/>
    </xf>
    <xf numFmtId="0" fontId="18" fillId="0" borderId="22" xfId="0" applyFont="1" applyBorder="1"/>
    <xf numFmtId="0" fontId="2" fillId="0" borderId="28" xfId="0" applyFont="1" applyBorder="1"/>
    <xf numFmtId="0" fontId="1" fillId="0" borderId="0" xfId="0" applyFont="1" applyAlignment="1">
      <alignment horizontal="center"/>
    </xf>
    <xf numFmtId="0" fontId="25" fillId="0" borderId="0" xfId="0" applyFont="1" applyAlignment="1">
      <alignment vertical="center"/>
    </xf>
    <xf numFmtId="0" fontId="1" fillId="0" borderId="28" xfId="0" applyFont="1" applyBorder="1" applyAlignment="1">
      <alignment horizontal="center"/>
    </xf>
    <xf numFmtId="0" fontId="18" fillId="0" borderId="21" xfId="0" applyFont="1" applyBorder="1" applyAlignment="1">
      <alignment horizontal="left" vertical="top"/>
    </xf>
    <xf numFmtId="0" fontId="1" fillId="0" borderId="30" xfId="0" applyFont="1" applyBorder="1" applyAlignment="1">
      <alignment horizontal="center"/>
    </xf>
    <xf numFmtId="0" fontId="18" fillId="0" borderId="28" xfId="0" applyFont="1" applyBorder="1" applyAlignment="1">
      <alignment horizontal="left" vertical="top"/>
    </xf>
    <xf numFmtId="0" fontId="26" fillId="0" borderId="30" xfId="0" applyFont="1" applyBorder="1" applyAlignment="1">
      <alignment horizontal="center"/>
    </xf>
    <xf numFmtId="0" fontId="27" fillId="0" borderId="30" xfId="0" applyFont="1" applyBorder="1" applyAlignment="1">
      <alignment vertical="center"/>
    </xf>
    <xf numFmtId="0" fontId="27" fillId="0" borderId="31" xfId="0" applyFont="1" applyBorder="1" applyAlignment="1">
      <alignment vertical="center"/>
    </xf>
    <xf numFmtId="0" fontId="27" fillId="0" borderId="32" xfId="0" applyFont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28" fillId="0" borderId="0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27" fillId="0" borderId="0" xfId="0" applyFont="1" applyBorder="1" applyAlignment="1">
      <alignment vertical="center"/>
    </xf>
    <xf numFmtId="0" fontId="18" fillId="0" borderId="21" xfId="0" applyFont="1" applyBorder="1" applyAlignment="1">
      <alignment horizontal="left" vertical="top" wrapText="1"/>
    </xf>
    <xf numFmtId="0" fontId="18" fillId="0" borderId="21" xfId="0" applyFont="1" applyBorder="1"/>
    <xf numFmtId="0" fontId="1" fillId="0" borderId="33" xfId="0" applyFont="1" applyBorder="1" applyAlignment="1">
      <alignment horizontal="center"/>
    </xf>
    <xf numFmtId="0" fontId="18" fillId="0" borderId="28" xfId="0" applyFont="1" applyBorder="1" applyAlignment="1">
      <alignment horizontal="left" vertical="top" wrapText="1"/>
    </xf>
    <xf numFmtId="0" fontId="26" fillId="0" borderId="28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4" fillId="0" borderId="0" xfId="0" applyFont="1" applyBorder="1" applyAlignment="1">
      <alignment horizontal="center"/>
    </xf>
    <xf numFmtId="0" fontId="14" fillId="10" borderId="0" xfId="0" applyFont="1" applyFill="1"/>
    <xf numFmtId="0" fontId="29" fillId="0" borderId="0" xfId="0" applyFont="1" applyFill="1" applyAlignment="1">
      <alignment horizontal="left" vertical="center"/>
    </xf>
    <xf numFmtId="0" fontId="29" fillId="0" borderId="0" xfId="0" applyFont="1" applyFill="1"/>
    <xf numFmtId="0" fontId="0" fillId="0" borderId="0" xfId="0" applyFill="1"/>
    <xf numFmtId="2" fontId="28" fillId="10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/>
    </xf>
    <xf numFmtId="2" fontId="30" fillId="4" borderId="1" xfId="0" applyNumberFormat="1" applyFont="1" applyFill="1" applyBorder="1" applyAlignment="1">
      <alignment horizontal="center" vertical="center"/>
    </xf>
    <xf numFmtId="2" fontId="30" fillId="4" borderId="13" xfId="0" applyNumberFormat="1" applyFont="1" applyFill="1" applyBorder="1" applyAlignment="1">
      <alignment horizontal="center" vertical="center"/>
    </xf>
    <xf numFmtId="2" fontId="30" fillId="4" borderId="4" xfId="0" applyNumberFormat="1" applyFont="1" applyFill="1" applyBorder="1" applyAlignment="1">
      <alignment horizontal="center" vertical="center"/>
    </xf>
    <xf numFmtId="0" fontId="3" fillId="8" borderId="36" xfId="0" applyFont="1" applyFill="1" applyBorder="1" applyAlignment="1">
      <alignment horizontal="center"/>
    </xf>
    <xf numFmtId="0" fontId="3" fillId="8" borderId="37" xfId="0" applyFont="1" applyFill="1" applyBorder="1" applyAlignment="1">
      <alignment horizontal="center"/>
    </xf>
    <xf numFmtId="0" fontId="3" fillId="8" borderId="38" xfId="0" applyFont="1" applyFill="1" applyBorder="1" applyAlignment="1">
      <alignment horizontal="center"/>
    </xf>
    <xf numFmtId="2" fontId="30" fillId="4" borderId="39" xfId="0" applyNumberFormat="1" applyFont="1" applyFill="1" applyBorder="1" applyAlignment="1">
      <alignment horizontal="center" vertical="center"/>
    </xf>
    <xf numFmtId="2" fontId="30" fillId="4" borderId="40" xfId="0" applyNumberFormat="1" applyFont="1" applyFill="1" applyBorder="1" applyAlignment="1">
      <alignment horizontal="center" vertical="center"/>
    </xf>
    <xf numFmtId="2" fontId="30" fillId="4" borderId="20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 textRotation="90"/>
    </xf>
    <xf numFmtId="0" fontId="0" fillId="0" borderId="7" xfId="0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7" xfId="1" applyFont="1" applyBorder="1" applyAlignment="1">
      <alignment horizontal="center"/>
    </xf>
    <xf numFmtId="0" fontId="14" fillId="0" borderId="7" xfId="1" applyFont="1" applyBorder="1" applyAlignment="1">
      <alignment horizontal="left" vertical="center"/>
    </xf>
    <xf numFmtId="0" fontId="2" fillId="0" borderId="7" xfId="1" applyFont="1" applyBorder="1" applyAlignment="1">
      <alignment horizontal="left" vertical="center" wrapText="1"/>
    </xf>
    <xf numFmtId="0" fontId="14" fillId="0" borderId="7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14" fillId="0" borderId="7" xfId="1" applyFont="1" applyBorder="1" applyAlignment="1">
      <alignment horizontal="left" vertical="center" wrapText="1"/>
    </xf>
    <xf numFmtId="0" fontId="2" fillId="0" borderId="7" xfId="1" applyFont="1" applyBorder="1" applyAlignment="1">
      <alignment horizontal="left" vertical="center"/>
    </xf>
    <xf numFmtId="14" fontId="2" fillId="0" borderId="7" xfId="1" applyNumberFormat="1" applyFont="1" applyBorder="1" applyAlignment="1">
      <alignment horizontal="center" vertical="center"/>
    </xf>
    <xf numFmtId="186" fontId="3" fillId="2" borderId="1" xfId="0" applyNumberFormat="1" applyFont="1" applyFill="1" applyBorder="1" applyAlignment="1">
      <alignment horizontal="center" vertical="center"/>
    </xf>
    <xf numFmtId="186" fontId="3" fillId="2" borderId="4" xfId="0" applyNumberFormat="1" applyFont="1" applyFill="1" applyBorder="1" applyAlignment="1">
      <alignment horizontal="center" vertical="center"/>
    </xf>
    <xf numFmtId="0" fontId="3" fillId="0" borderId="35" xfId="0" applyFont="1" applyBorder="1" applyAlignment="1">
      <alignment horizontal="center" vertical="center" textRotation="90"/>
    </xf>
    <xf numFmtId="0" fontId="3" fillId="4" borderId="17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2" fontId="30" fillId="4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35" xfId="0" applyFont="1" applyBorder="1" applyAlignment="1">
      <alignment horizontal="center" textRotation="90"/>
    </xf>
    <xf numFmtId="0" fontId="3" fillId="7" borderId="29" xfId="0" applyFont="1" applyFill="1" applyBorder="1" applyAlignment="1">
      <alignment horizontal="center" vertical="center" wrapText="1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31" fillId="0" borderId="33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31" fillId="0" borderId="30" xfId="0" applyFont="1" applyBorder="1" applyAlignment="1">
      <alignment horizontal="center" vertical="center" wrapText="1"/>
    </xf>
    <xf numFmtId="0" fontId="31" fillId="0" borderId="31" xfId="0" applyFont="1" applyBorder="1" applyAlignment="1">
      <alignment horizontal="center" vertical="center" wrapText="1"/>
    </xf>
    <xf numFmtId="0" fontId="31" fillId="0" borderId="32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15" fontId="28" fillId="0" borderId="21" xfId="0" applyNumberFormat="1" applyFont="1" applyBorder="1" applyAlignment="1">
      <alignment horizontal="center" vertical="center"/>
    </xf>
    <xf numFmtId="15" fontId="28" fillId="0" borderId="33" xfId="0" applyNumberFormat="1" applyFont="1" applyBorder="1" applyAlignment="1">
      <alignment horizontal="center" vertical="center"/>
    </xf>
    <xf numFmtId="15" fontId="28" fillId="0" borderId="30" xfId="0" applyNumberFormat="1" applyFont="1" applyBorder="1" applyAlignment="1">
      <alignment horizontal="center" vertical="center"/>
    </xf>
    <xf numFmtId="15" fontId="28" fillId="0" borderId="32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24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2" fontId="23" fillId="7" borderId="5" xfId="0" applyNumberFormat="1" applyFont="1" applyFill="1" applyBorder="1" applyAlignment="1">
      <alignment horizontal="center"/>
    </xf>
    <xf numFmtId="184" fontId="23" fillId="7" borderId="5" xfId="0" applyNumberFormat="1" applyFont="1" applyFill="1" applyBorder="1" applyAlignment="1">
      <alignment horizontal="center"/>
    </xf>
    <xf numFmtId="184" fontId="3" fillId="7" borderId="7" xfId="0" applyNumberFormat="1" applyFont="1" applyFill="1" applyBorder="1" applyAlignment="1">
      <alignment horizontal="center"/>
    </xf>
  </cellXfs>
  <cellStyles count="2">
    <cellStyle name="Normal" xfId="0" builtinId="0"/>
    <cellStyle name="Normal 2 2 2" xfId="1" xr:uid="{F5E6CC4F-0B4E-4CCC-B378-C6997F19F12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77535998400261"/>
          <c:y val="7.7210201572278953E-2"/>
          <c:w val="0.79810670363720304"/>
          <c:h val="0.77778505898492456"/>
        </c:manualLayout>
      </c:layout>
      <c:scatterChart>
        <c:scatterStyle val="smoothMarker"/>
        <c:varyColors val="0"/>
        <c:ser>
          <c:idx val="5"/>
          <c:order val="0"/>
          <c:tx>
            <c:v>Characteristic Line of FOS=1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'Liq-Graphs'!$AA$72:$AA$73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'Liq-Graphs'!$AB$72:$AB$73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1-4729-BCCF-7F6961C1DC36}"/>
            </c:ext>
          </c:extLst>
        </c:ser>
        <c:ser>
          <c:idx val="6"/>
          <c:order val="1"/>
          <c:tx>
            <c:v>Characteristic Line of FOS=1.2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'Liq-Graphs'!$AA$75:$AA$76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'Liq-Graphs'!$AB$75:$AB$76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1-4729-BCCF-7F6961C1DC36}"/>
            </c:ext>
          </c:extLst>
        </c:ser>
        <c:ser>
          <c:idx val="7"/>
          <c:order val="2"/>
          <c:tx>
            <c:v>Characteristic Line of FOS=1.5 (DBC 2021)</c:v>
          </c:tx>
          <c:spPr>
            <a:ln w="19050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'Liq-Graphs'!$AA$78:$AA$79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'Liq-Graphs'!$AB$78:$AB$79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B1-4729-BCCF-7F6961C1DC36}"/>
            </c:ext>
          </c:extLst>
        </c:ser>
        <c:ser>
          <c:idx val="0"/>
          <c:order val="3"/>
          <c:tx>
            <c:v>BH-01</c:v>
          </c:tx>
          <c:marker>
            <c:symbol val="none"/>
          </c:marker>
          <c:xVal>
            <c:numRef>
              <c:f>'All boreholes'!$AR$13:$AR$32</c:f>
              <c:numCache>
                <c:formatCode>0.00</c:formatCode>
                <c:ptCount val="20"/>
                <c:pt idx="0">
                  <c:v>0.3455607726754214</c:v>
                </c:pt>
                <c:pt idx="1">
                  <c:v>0.19936923977531767</c:v>
                </c:pt>
                <c:pt idx="2">
                  <c:v>#N/A</c:v>
                </c:pt>
                <c:pt idx="3">
                  <c:v>0.22999705785123944</c:v>
                </c:pt>
              </c:numCache>
            </c:numRef>
          </c:xVal>
          <c:yVal>
            <c:numRef>
              <c:f>'All boreholes'!$H$13:$H$32</c:f>
              <c:numCache>
                <c:formatCode>0.000</c:formatCode>
                <c:ptCount val="20"/>
                <c:pt idx="0">
                  <c:v>-0.62</c:v>
                </c:pt>
                <c:pt idx="1">
                  <c:v>-1.1200000000000001</c:v>
                </c:pt>
                <c:pt idx="2">
                  <c:v>-1.62</c:v>
                </c:pt>
                <c:pt idx="3">
                  <c:v>-2.12</c:v>
                </c:pt>
                <c:pt idx="4">
                  <c:v>-2.62</c:v>
                </c:pt>
                <c:pt idx="5">
                  <c:v>-3.12</c:v>
                </c:pt>
                <c:pt idx="6">
                  <c:v>-4.12</c:v>
                </c:pt>
                <c:pt idx="7">
                  <c:v>-5.12</c:v>
                </c:pt>
                <c:pt idx="8">
                  <c:v>-6.12</c:v>
                </c:pt>
                <c:pt idx="9">
                  <c:v>-7.12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B1-4729-BCCF-7F6961C1DC36}"/>
            </c:ext>
          </c:extLst>
        </c:ser>
        <c:ser>
          <c:idx val="1"/>
          <c:order val="4"/>
          <c:tx>
            <c:v>BH-02</c:v>
          </c:tx>
          <c:marker>
            <c:symbol val="none"/>
          </c:marker>
          <c:xVal>
            <c:numRef>
              <c:f>'All boreholes'!$AR$33:$AR$53</c:f>
              <c:numCache>
                <c:formatCode>0.00</c:formatCode>
                <c:ptCount val="21"/>
              </c:numCache>
            </c:numRef>
          </c:xVal>
          <c:yVal>
            <c:numRef>
              <c:f>'All boreholes'!$H$33:$H$53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B1-4729-BCCF-7F6961C1DC36}"/>
            </c:ext>
          </c:extLst>
        </c:ser>
        <c:ser>
          <c:idx val="2"/>
          <c:order val="5"/>
          <c:tx>
            <c:v>BH-03</c:v>
          </c:tx>
          <c:marker>
            <c:symbol val="none"/>
          </c:marker>
          <c:xVal>
            <c:numRef>
              <c:f>'All boreholes'!$AR$54:$AR$73</c:f>
              <c:numCache>
                <c:formatCode>0.00</c:formatCode>
                <c:ptCount val="20"/>
              </c:numCache>
            </c:numRef>
          </c:xVal>
          <c:yVal>
            <c:numRef>
              <c:f>'All boreholes'!$H$54:$H$73</c:f>
              <c:numCache>
                <c:formatCode>0.000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DB1-4729-BCCF-7F6961C1DC36}"/>
            </c:ext>
          </c:extLst>
        </c:ser>
        <c:ser>
          <c:idx val="3"/>
          <c:order val="6"/>
          <c:tx>
            <c:v>BH-04</c:v>
          </c:tx>
          <c:marker>
            <c:symbol val="none"/>
          </c:marker>
          <c:xVal>
            <c:numRef>
              <c:f>'All boreholes'!$AR$74:$AR$94</c:f>
              <c:numCache>
                <c:formatCode>0.00</c:formatCode>
                <c:ptCount val="21"/>
              </c:numCache>
            </c:numRef>
          </c:xVal>
          <c:yVal>
            <c:numRef>
              <c:f>'All boreholes'!$H$74:$H$94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B1-4729-BCCF-7F6961C1DC36}"/>
            </c:ext>
          </c:extLst>
        </c:ser>
        <c:ser>
          <c:idx val="4"/>
          <c:order val="7"/>
          <c:tx>
            <c:v>BH-05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'All boreholes'!$AR$95:$AR$115</c:f>
              <c:numCache>
                <c:formatCode>0.00</c:formatCode>
                <c:ptCount val="21"/>
              </c:numCache>
            </c:numRef>
          </c:xVal>
          <c:yVal>
            <c:numRef>
              <c:f>'All boreholes'!$H$95:$H$115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DB1-4729-BCCF-7F6961C1DC36}"/>
            </c:ext>
          </c:extLst>
        </c:ser>
        <c:ser>
          <c:idx val="8"/>
          <c:order val="8"/>
          <c:tx>
            <c:v>Average Ground level (mDMD)</c:v>
          </c:tx>
          <c:spPr>
            <a:ln w="1905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'Liq-Graphs'!$AC$72:$AC$73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xVal>
          <c:yVal>
            <c:numRef>
              <c:f>'Liq-Graphs'!$AD$72:$AD$73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DB1-4729-BCCF-7F6961C1D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80080"/>
        <c:axId val="1"/>
      </c:scatterChart>
      <c:valAx>
        <c:axId val="978580080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title>
          <c:tx>
            <c:rich>
              <a:bodyPr rot="0" vert="horz"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Factor of Safety against Liquefaction </a:t>
                </a:r>
              </a:p>
            </c:rich>
          </c:tx>
          <c:layout>
            <c:manualLayout>
              <c:xMode val="edge"/>
              <c:yMode val="edge"/>
              <c:x val="0.34193952107337933"/>
              <c:y val="2.035211477830363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mbria"/>
                <a:ea typeface="Cambria"/>
                <a:cs typeface="Cambria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8580080"/>
        <c:crosses val="autoZero"/>
        <c:crossBetween val="midCat"/>
      </c:valAx>
      <c:spPr>
        <a:noFill/>
        <a:ln w="9525">
          <a:solidFill>
            <a:schemeClr val="bg1">
              <a:lumMod val="85000"/>
            </a:schemeClr>
          </a:solidFill>
        </a:ln>
      </c:spPr>
    </c:plotArea>
    <c:legend>
      <c:legendPos val="r"/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j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60213397238389"/>
          <c:y val="7.4865806746948815E-2"/>
          <c:w val="0.74718967325335095"/>
          <c:h val="0.8751431686958705"/>
        </c:manualLayout>
      </c:layout>
      <c:scatterChart>
        <c:scatterStyle val="lineMarker"/>
        <c:varyColors val="0"/>
        <c:ser>
          <c:idx val="0"/>
          <c:order val="0"/>
          <c:tx>
            <c:v>SPT N Values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'All boreholes'!$K$13:$K$115</c:f>
              <c:numCache>
                <c:formatCode>0</c:formatCode>
                <c:ptCount val="103"/>
                <c:pt idx="0">
                  <c:v>21</c:v>
                </c:pt>
                <c:pt idx="1">
                  <c:v>12</c:v>
                </c:pt>
                <c:pt idx="2">
                  <c:v>46</c:v>
                </c:pt>
                <c:pt idx="3">
                  <c:v>14</c:v>
                </c:pt>
                <c:pt idx="4">
                  <c:v>22</c:v>
                </c:pt>
                <c:pt idx="5">
                  <c:v>11</c:v>
                </c:pt>
                <c:pt idx="6">
                  <c:v>12</c:v>
                </c:pt>
                <c:pt idx="7">
                  <c:v>8</c:v>
                </c:pt>
                <c:pt idx="8">
                  <c:v>12</c:v>
                </c:pt>
                <c:pt idx="9">
                  <c:v>18</c:v>
                </c:pt>
              </c:numCache>
            </c:numRef>
          </c:xVal>
          <c:yVal>
            <c:numRef>
              <c:f>'All boreholes'!$H$13:$H$115</c:f>
              <c:numCache>
                <c:formatCode>0.000</c:formatCode>
                <c:ptCount val="103"/>
                <c:pt idx="0">
                  <c:v>-0.62</c:v>
                </c:pt>
                <c:pt idx="1">
                  <c:v>-1.1200000000000001</c:v>
                </c:pt>
                <c:pt idx="2">
                  <c:v>-1.62</c:v>
                </c:pt>
                <c:pt idx="3">
                  <c:v>-2.12</c:v>
                </c:pt>
                <c:pt idx="4">
                  <c:v>-2.62</c:v>
                </c:pt>
                <c:pt idx="5">
                  <c:v>-3.12</c:v>
                </c:pt>
                <c:pt idx="6">
                  <c:v>-4.12</c:v>
                </c:pt>
                <c:pt idx="7">
                  <c:v>-5.12</c:v>
                </c:pt>
                <c:pt idx="8">
                  <c:v>-6.12</c:v>
                </c:pt>
                <c:pt idx="9">
                  <c:v>-7.12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6-499A-8524-37572A45B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82240"/>
        <c:axId val="1"/>
      </c:scatterChart>
      <c:valAx>
        <c:axId val="97858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n-GB" sz="1000" b="1">
                    <a:solidFill>
                      <a:srgbClr val="FF0000"/>
                    </a:solidFill>
                  </a:rPr>
                  <a:t>Field N values</a:t>
                </a:r>
              </a:p>
            </c:rich>
          </c:tx>
          <c:layout>
            <c:manualLayout>
              <c:xMode val="edge"/>
              <c:yMode val="edge"/>
              <c:x val="0.427973269936547"/>
              <c:y val="2.352465006332579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mbria"/>
                <a:ea typeface="Cambria"/>
                <a:cs typeface="Cambria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9785822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60213397238389"/>
          <c:y val="7.8929969584066589E-2"/>
          <c:w val="0.72925126294697029"/>
          <c:h val="0.87107911323976017"/>
        </c:manualLayout>
      </c:layout>
      <c:scatterChart>
        <c:scatterStyle val="lineMarker"/>
        <c:varyColors val="0"/>
        <c:ser>
          <c:idx val="0"/>
          <c:order val="0"/>
          <c:tx>
            <c:v>(N1)60 Values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'All boreholes'!$Z$13:$Z$115</c:f>
              <c:numCache>
                <c:formatCode>0.00</c:formatCode>
                <c:ptCount val="103"/>
                <c:pt idx="0">
                  <c:v>21</c:v>
                </c:pt>
                <c:pt idx="1">
                  <c:v>12</c:v>
                </c:pt>
                <c:pt idx="2">
                  <c:v>46</c:v>
                </c:pt>
                <c:pt idx="3">
                  <c:v>14</c:v>
                </c:pt>
                <c:pt idx="4">
                  <c:v>22</c:v>
                </c:pt>
                <c:pt idx="5">
                  <c:v>11</c:v>
                </c:pt>
                <c:pt idx="6">
                  <c:v>12</c:v>
                </c:pt>
                <c:pt idx="7">
                  <c:v>8</c:v>
                </c:pt>
                <c:pt idx="8">
                  <c:v>12</c:v>
                </c:pt>
                <c:pt idx="9">
                  <c:v>18</c:v>
                </c:pt>
              </c:numCache>
            </c:numRef>
          </c:xVal>
          <c:yVal>
            <c:numRef>
              <c:f>'All boreholes'!$H$13:$H$115</c:f>
              <c:numCache>
                <c:formatCode>0.000</c:formatCode>
                <c:ptCount val="103"/>
                <c:pt idx="0">
                  <c:v>-0.62</c:v>
                </c:pt>
                <c:pt idx="1">
                  <c:v>-1.1200000000000001</c:v>
                </c:pt>
                <c:pt idx="2">
                  <c:v>-1.62</c:v>
                </c:pt>
                <c:pt idx="3">
                  <c:v>-2.12</c:v>
                </c:pt>
                <c:pt idx="4">
                  <c:v>-2.62</c:v>
                </c:pt>
                <c:pt idx="5">
                  <c:v>-3.12</c:v>
                </c:pt>
                <c:pt idx="6">
                  <c:v>-4.12</c:v>
                </c:pt>
                <c:pt idx="7">
                  <c:v>-5.12</c:v>
                </c:pt>
                <c:pt idx="8">
                  <c:v>-6.12</c:v>
                </c:pt>
                <c:pt idx="9">
                  <c:v>-7.12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9E-482C-A05D-0090614A8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57040"/>
        <c:axId val="1"/>
      </c:scatterChart>
      <c:valAx>
        <c:axId val="97855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n-GB" sz="1000" b="1">
                    <a:solidFill>
                      <a:srgbClr val="FF0000"/>
                    </a:solidFill>
                  </a:rPr>
                  <a:t>(N1)</a:t>
                </a:r>
                <a:r>
                  <a:rPr lang="en-GB" sz="1000" b="1" baseline="-25000">
                    <a:solidFill>
                      <a:srgbClr val="FF0000"/>
                    </a:solidFill>
                  </a:rPr>
                  <a:t>60</a:t>
                </a:r>
                <a:r>
                  <a:rPr lang="en-GB" sz="1000" b="1">
                    <a:solidFill>
                      <a:srgbClr val="FF0000"/>
                    </a:solidFill>
                  </a:rPr>
                  <a:t>  values</a:t>
                </a:r>
              </a:p>
            </c:rich>
          </c:tx>
          <c:layout>
            <c:manualLayout>
              <c:xMode val="edge"/>
              <c:yMode val="edge"/>
              <c:x val="0.44242175373239634"/>
              <c:y val="2.4462740457979425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mbria"/>
                <a:ea typeface="Cambria"/>
                <a:cs typeface="Cambria"/>
              </a:defRPr>
            </a:pPr>
            <a:endParaRPr lang="en-US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9785570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488584846315698"/>
          <c:y val="8.3018851901394297E-2"/>
          <c:w val="0.67006247380842099"/>
          <c:h val="0.83921166111379919"/>
        </c:manualLayout>
      </c:layout>
      <c:scatterChart>
        <c:scatterStyle val="smoothMarker"/>
        <c:varyColors val="0"/>
        <c:ser>
          <c:idx val="0"/>
          <c:order val="0"/>
          <c:tx>
            <c:v>BH-01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boreholes'!$AG$13:$AG$32</c:f>
              <c:numCache>
                <c:formatCode>0.000</c:formatCode>
                <c:ptCount val="20"/>
                <c:pt idx="0">
                  <c:v>0.8957312999999999</c:v>
                </c:pt>
                <c:pt idx="1">
                  <c:v>0.89228879999999988</c:v>
                </c:pt>
                <c:pt idx="2">
                  <c:v>0.88884629999999998</c:v>
                </c:pt>
                <c:pt idx="3">
                  <c:v>0.88540379999999996</c:v>
                </c:pt>
                <c:pt idx="4">
                  <c:v>0.98434019424920105</c:v>
                </c:pt>
                <c:pt idx="5">
                  <c:v>1.0644577304854368</c:v>
                </c:pt>
                <c:pt idx="6">
                  <c:v>1.1851918336633662</c:v>
                </c:pt>
                <c:pt idx="7">
                  <c:v>1.2704487391678623</c:v>
                </c:pt>
                <c:pt idx="8">
                  <c:v>1.332519405076142</c:v>
                </c:pt>
                <c:pt idx="9">
                  <c:v>1.378605018430034</c:v>
                </c:pt>
              </c:numCache>
            </c:numRef>
          </c:xVal>
          <c:yVal>
            <c:numRef>
              <c:f>'All boreholes'!$H$13:$H$32</c:f>
              <c:numCache>
                <c:formatCode>0.000</c:formatCode>
                <c:ptCount val="20"/>
                <c:pt idx="0">
                  <c:v>-0.62</c:v>
                </c:pt>
                <c:pt idx="1">
                  <c:v>-1.1200000000000001</c:v>
                </c:pt>
                <c:pt idx="2">
                  <c:v>-1.62</c:v>
                </c:pt>
                <c:pt idx="3">
                  <c:v>-2.12</c:v>
                </c:pt>
                <c:pt idx="4">
                  <c:v>-2.62</c:v>
                </c:pt>
                <c:pt idx="5">
                  <c:v>-3.12</c:v>
                </c:pt>
                <c:pt idx="6">
                  <c:v>-4.12</c:v>
                </c:pt>
                <c:pt idx="7">
                  <c:v>-5.12</c:v>
                </c:pt>
                <c:pt idx="8">
                  <c:v>-6.12</c:v>
                </c:pt>
                <c:pt idx="9">
                  <c:v>-7.12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D9-4543-A64E-AEDC6F72A5AD}"/>
            </c:ext>
          </c:extLst>
        </c:ser>
        <c:ser>
          <c:idx val="1"/>
          <c:order val="1"/>
          <c:tx>
            <c:v>BH-02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boreholes'!$AG$33:$AG$53</c:f>
              <c:numCache>
                <c:formatCode>0.000</c:formatCode>
                <c:ptCount val="21"/>
              </c:numCache>
            </c:numRef>
          </c:xVal>
          <c:yVal>
            <c:numRef>
              <c:f>'All boreholes'!$H$33:$H$53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D9-4543-A64E-AEDC6F72A5AD}"/>
            </c:ext>
          </c:extLst>
        </c:ser>
        <c:ser>
          <c:idx val="2"/>
          <c:order val="2"/>
          <c:tx>
            <c:v>BH-03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boreholes'!$AG$54:$AG$73</c:f>
              <c:numCache>
                <c:formatCode>0.000</c:formatCode>
                <c:ptCount val="20"/>
              </c:numCache>
            </c:numRef>
          </c:xVal>
          <c:yVal>
            <c:numRef>
              <c:f>'All boreholes'!$H$54:$H$73</c:f>
              <c:numCache>
                <c:formatCode>0.000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D9-4543-A64E-AEDC6F72A5AD}"/>
            </c:ext>
          </c:extLst>
        </c:ser>
        <c:ser>
          <c:idx val="3"/>
          <c:order val="3"/>
          <c:tx>
            <c:v>BH-04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boreholes'!$AG$74:$AG$94</c:f>
              <c:numCache>
                <c:formatCode>0.000</c:formatCode>
                <c:ptCount val="21"/>
              </c:numCache>
            </c:numRef>
          </c:xVal>
          <c:yVal>
            <c:numRef>
              <c:f>'All boreholes'!$H$74:$H$94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D9-4543-A64E-AEDC6F72A5AD}"/>
            </c:ext>
          </c:extLst>
        </c:ser>
        <c:ser>
          <c:idx val="4"/>
          <c:order val="4"/>
          <c:tx>
            <c:v>BH-05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boreholes'!$AG$95:$AG$115</c:f>
              <c:numCache>
                <c:formatCode>0.000</c:formatCode>
                <c:ptCount val="21"/>
              </c:numCache>
            </c:numRef>
          </c:xVal>
          <c:yVal>
            <c:numRef>
              <c:f>'All boreholes'!$H$95:$H$115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D9-4543-A64E-AEDC6F72A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54160"/>
        <c:axId val="1"/>
      </c:scatterChart>
      <c:valAx>
        <c:axId val="97855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r>
                  <a:rPr lang="en-GB" b="1">
                    <a:solidFill>
                      <a:srgbClr val="FF0000"/>
                    </a:solidFill>
                  </a:rPr>
                  <a:t>Cyclic Stress Ratio (CSR) </a:t>
                </a:r>
              </a:p>
            </c:rich>
          </c:tx>
          <c:layout>
            <c:manualLayout>
              <c:xMode val="edge"/>
              <c:yMode val="edge"/>
              <c:x val="0.31076473896645274"/>
              <c:y val="2.5230973465805648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mbria"/>
                <a:ea typeface="Cambria"/>
                <a:cs typeface="Cambria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85541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j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44232229235808"/>
          <c:y val="8.2966523757426094E-2"/>
          <c:w val="0.64984147202187958"/>
          <c:h val="0.83861585081552947"/>
        </c:manualLayout>
      </c:layout>
      <c:scatterChart>
        <c:scatterStyle val="smoothMarker"/>
        <c:varyColors val="0"/>
        <c:ser>
          <c:idx val="1"/>
          <c:order val="1"/>
          <c:tx>
            <c:v>BH-02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boreholes'!$AJ$33:$AJ$53</c:f>
              <c:numCache>
                <c:formatCode>0.00</c:formatCode>
                <c:ptCount val="21"/>
              </c:numCache>
            </c:numRef>
          </c:xVal>
          <c:yVal>
            <c:numRef>
              <c:f>'All boreholes'!$H$33:$H$53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4C-4326-BB5F-4E70D404C33C}"/>
            </c:ext>
          </c:extLst>
        </c:ser>
        <c:ser>
          <c:idx val="2"/>
          <c:order val="2"/>
          <c:tx>
            <c:v>BH-03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boreholes'!$AJ$54:$AJ$73</c:f>
              <c:numCache>
                <c:formatCode>0.00</c:formatCode>
                <c:ptCount val="20"/>
              </c:numCache>
            </c:numRef>
          </c:xVal>
          <c:yVal>
            <c:numRef>
              <c:f>'All boreholes'!$H$54:$H$73</c:f>
              <c:numCache>
                <c:formatCode>0.000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4C-4326-BB5F-4E70D404C33C}"/>
            </c:ext>
          </c:extLst>
        </c:ser>
        <c:ser>
          <c:idx val="3"/>
          <c:order val="3"/>
          <c:tx>
            <c:v>BH-04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boreholes'!$AJ$74:$AJ$94</c:f>
              <c:numCache>
                <c:formatCode>0.00</c:formatCode>
                <c:ptCount val="21"/>
              </c:numCache>
            </c:numRef>
          </c:xVal>
          <c:yVal>
            <c:numRef>
              <c:f>'All boreholes'!$H$74:$H$94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4C-4326-BB5F-4E70D404C33C}"/>
            </c:ext>
          </c:extLst>
        </c:ser>
        <c:ser>
          <c:idx val="4"/>
          <c:order val="4"/>
          <c:tx>
            <c:v>BH-05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boreholes'!$AJ$95:$AJ$115</c:f>
              <c:numCache>
                <c:formatCode>0.00</c:formatCode>
                <c:ptCount val="21"/>
              </c:numCache>
            </c:numRef>
          </c:xVal>
          <c:yVal>
            <c:numRef>
              <c:f>'All boreholes'!$H$95:$H$115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4C-4326-BB5F-4E70D404C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53080"/>
        <c:axId val="1"/>
      </c:scatterChart>
      <c:scatterChart>
        <c:scatterStyle val="lineMarker"/>
        <c:varyColors val="0"/>
        <c:ser>
          <c:idx val="0"/>
          <c:order val="0"/>
          <c:tx>
            <c:v>BH-01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xVal>
            <c:numRef>
              <c:f>'All boreholes'!$AM$13:$AM$32</c:f>
              <c:numCache>
                <c:formatCode>0.0000</c:formatCode>
                <c:ptCount val="20"/>
                <c:pt idx="0">
                  <c:v>0.22824756750362288</c:v>
                </c:pt>
                <c:pt idx="1">
                  <c:v>0.1311799816345271</c:v>
                </c:pt>
                <c:pt idx="2">
                  <c:v>#N/A</c:v>
                </c:pt>
                <c:pt idx="3">
                  <c:v>0.150164624083543</c:v>
                </c:pt>
                <c:pt idx="4">
                  <c:v>0.24200829344830768</c:v>
                </c:pt>
                <c:pt idx="5">
                  <c:v>0.12204090780370019</c:v>
                </c:pt>
                <c:pt idx="6">
                  <c:v>0.1311799816345271</c:v>
                </c:pt>
                <c:pt idx="7">
                  <c:v>9.5920797720797715E-2</c:v>
                </c:pt>
                <c:pt idx="8">
                  <c:v>0.1311799816345271</c:v>
                </c:pt>
                <c:pt idx="9">
                  <c:v>0.19182098765432098</c:v>
                </c:pt>
              </c:numCache>
            </c:numRef>
          </c:xVal>
          <c:yVal>
            <c:numRef>
              <c:f>'All boreholes'!$H$13:$H$32</c:f>
              <c:numCache>
                <c:formatCode>0.000</c:formatCode>
                <c:ptCount val="20"/>
                <c:pt idx="0">
                  <c:v>-0.62</c:v>
                </c:pt>
                <c:pt idx="1">
                  <c:v>-1.1200000000000001</c:v>
                </c:pt>
                <c:pt idx="2">
                  <c:v>-1.62</c:v>
                </c:pt>
                <c:pt idx="3">
                  <c:v>-2.12</c:v>
                </c:pt>
                <c:pt idx="4">
                  <c:v>-2.62</c:v>
                </c:pt>
                <c:pt idx="5">
                  <c:v>-3.12</c:v>
                </c:pt>
                <c:pt idx="6">
                  <c:v>-4.12</c:v>
                </c:pt>
                <c:pt idx="7">
                  <c:v>-5.12</c:v>
                </c:pt>
                <c:pt idx="8">
                  <c:v>-6.12</c:v>
                </c:pt>
                <c:pt idx="9">
                  <c:v>-7.12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C-4326-BB5F-4E70D404C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53080"/>
        <c:axId val="1"/>
      </c:scatterChart>
      <c:valAx>
        <c:axId val="978553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000" b="1" i="0" u="none" strike="noStrike" kern="1200" baseline="0">
                    <a:solidFill>
                      <a:srgbClr val="FF0000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n-GB" sz="1000" b="1" i="0" u="none" strike="noStrike" kern="1200" baseline="0">
                    <a:solidFill>
                      <a:srgbClr val="FF0000"/>
                    </a:solidFill>
                    <a:latin typeface="+mj-lt"/>
                    <a:ea typeface="+mn-ea"/>
                    <a:cs typeface="+mn-cs"/>
                  </a:rPr>
                  <a:t>Cyclic Resistance Ratio (CRR</a:t>
                </a:r>
                <a:r>
                  <a:rPr lang="en-GB" sz="1000" b="1" i="0" u="none" strike="noStrike" kern="1200" baseline="-25000">
                    <a:solidFill>
                      <a:srgbClr val="FF0000"/>
                    </a:solidFill>
                    <a:latin typeface="+mj-lt"/>
                    <a:ea typeface="+mn-ea"/>
                    <a:cs typeface="+mn-cs"/>
                  </a:rPr>
                  <a:t>6.2</a:t>
                </a:r>
                <a:r>
                  <a:rPr lang="en-GB" sz="1000" b="1" i="0" u="none" strike="noStrike" kern="1200" baseline="0">
                    <a:solidFill>
                      <a:srgbClr val="FF0000"/>
                    </a:solidFill>
                    <a:latin typeface="+mj-lt"/>
                    <a:ea typeface="+mn-ea"/>
                    <a:cs typeface="+mn-cs"/>
                  </a:rPr>
                  <a:t>) </a:t>
                </a:r>
              </a:p>
            </c:rich>
          </c:tx>
          <c:layout>
            <c:manualLayout>
              <c:xMode val="edge"/>
              <c:yMode val="edge"/>
              <c:x val="0.25474233000286728"/>
              <c:y val="2.2106597736835078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mbria"/>
                <a:ea typeface="Cambria"/>
                <a:cs typeface="Cambria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9785530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j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48381452318461"/>
          <c:y val="0.2646166558240049"/>
          <c:w val="0.56852909011373576"/>
          <c:h val="0.66653244199175954"/>
        </c:manualLayout>
      </c:layout>
      <c:scatterChart>
        <c:scatterStyle val="smoothMarker"/>
        <c:varyColors val="0"/>
        <c:ser>
          <c:idx val="0"/>
          <c:order val="0"/>
          <c:tx>
            <c:v>BH-01 Liquefy Pro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'Comparison with LiquefyPro'!$F$5:$F$780</c:f>
              <c:numCache>
                <c:formatCode>General</c:formatCode>
                <c:ptCount val="77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1.08</c:v>
                </c:pt>
                <c:pt idx="189">
                  <c:v>1.0900000000000001</c:v>
                </c:pt>
                <c:pt idx="190">
                  <c:v>1.0900000000000001</c:v>
                </c:pt>
                <c:pt idx="191">
                  <c:v>1.1000000000000001</c:v>
                </c:pt>
                <c:pt idx="192">
                  <c:v>1.1100000000000001</c:v>
                </c:pt>
                <c:pt idx="193">
                  <c:v>1.1200000000000001</c:v>
                </c:pt>
                <c:pt idx="194">
                  <c:v>1.1200000000000001</c:v>
                </c:pt>
                <c:pt idx="195">
                  <c:v>1.1299999999999999</c:v>
                </c:pt>
                <c:pt idx="196">
                  <c:v>1.1399999999999999</c:v>
                </c:pt>
                <c:pt idx="197">
                  <c:v>1.1399999999999999</c:v>
                </c:pt>
                <c:pt idx="198">
                  <c:v>1.1499999999999999</c:v>
                </c:pt>
                <c:pt idx="199">
                  <c:v>1.1599999999999999</c:v>
                </c:pt>
                <c:pt idx="200">
                  <c:v>1.17</c:v>
                </c:pt>
                <c:pt idx="201">
                  <c:v>1.17</c:v>
                </c:pt>
                <c:pt idx="202">
                  <c:v>1.18</c:v>
                </c:pt>
                <c:pt idx="203">
                  <c:v>1.19</c:v>
                </c:pt>
                <c:pt idx="204">
                  <c:v>1.2</c:v>
                </c:pt>
                <c:pt idx="205">
                  <c:v>1.2</c:v>
                </c:pt>
                <c:pt idx="206">
                  <c:v>1.21</c:v>
                </c:pt>
                <c:pt idx="207">
                  <c:v>1.22</c:v>
                </c:pt>
                <c:pt idx="208">
                  <c:v>1.23</c:v>
                </c:pt>
                <c:pt idx="209">
                  <c:v>1.23</c:v>
                </c:pt>
                <c:pt idx="210">
                  <c:v>1.24</c:v>
                </c:pt>
                <c:pt idx="211">
                  <c:v>1.25</c:v>
                </c:pt>
                <c:pt idx="212">
                  <c:v>1.26</c:v>
                </c:pt>
                <c:pt idx="213">
                  <c:v>1.26</c:v>
                </c:pt>
                <c:pt idx="214">
                  <c:v>1.27</c:v>
                </c:pt>
                <c:pt idx="215">
                  <c:v>1.28</c:v>
                </c:pt>
                <c:pt idx="216">
                  <c:v>1.28</c:v>
                </c:pt>
                <c:pt idx="217">
                  <c:v>1.29</c:v>
                </c:pt>
                <c:pt idx="218">
                  <c:v>1.3</c:v>
                </c:pt>
                <c:pt idx="219">
                  <c:v>1.31</c:v>
                </c:pt>
                <c:pt idx="220">
                  <c:v>1.31</c:v>
                </c:pt>
                <c:pt idx="221">
                  <c:v>1.32</c:v>
                </c:pt>
                <c:pt idx="222">
                  <c:v>1.34</c:v>
                </c:pt>
                <c:pt idx="223">
                  <c:v>1.35</c:v>
                </c:pt>
                <c:pt idx="224">
                  <c:v>1.36</c:v>
                </c:pt>
                <c:pt idx="225">
                  <c:v>1.37</c:v>
                </c:pt>
                <c:pt idx="226">
                  <c:v>1.39</c:v>
                </c:pt>
                <c:pt idx="227">
                  <c:v>1.4</c:v>
                </c:pt>
                <c:pt idx="228">
                  <c:v>1.41</c:v>
                </c:pt>
                <c:pt idx="229">
                  <c:v>1.42</c:v>
                </c:pt>
                <c:pt idx="230">
                  <c:v>1.43</c:v>
                </c:pt>
                <c:pt idx="231">
                  <c:v>1.45</c:v>
                </c:pt>
                <c:pt idx="232">
                  <c:v>1.46</c:v>
                </c:pt>
                <c:pt idx="233">
                  <c:v>1.47</c:v>
                </c:pt>
                <c:pt idx="234">
                  <c:v>1.48</c:v>
                </c:pt>
                <c:pt idx="235">
                  <c:v>1.49</c:v>
                </c:pt>
                <c:pt idx="236">
                  <c:v>1.51</c:v>
                </c:pt>
                <c:pt idx="237">
                  <c:v>1.52</c:v>
                </c:pt>
                <c:pt idx="238">
                  <c:v>1.53</c:v>
                </c:pt>
                <c:pt idx="239">
                  <c:v>1.54</c:v>
                </c:pt>
                <c:pt idx="240">
                  <c:v>1.55</c:v>
                </c:pt>
                <c:pt idx="241">
                  <c:v>1.56</c:v>
                </c:pt>
                <c:pt idx="242">
                  <c:v>1.57</c:v>
                </c:pt>
                <c:pt idx="243">
                  <c:v>1.59</c:v>
                </c:pt>
                <c:pt idx="244">
                  <c:v>1.6</c:v>
                </c:pt>
                <c:pt idx="245">
                  <c:v>1.61</c:v>
                </c:pt>
                <c:pt idx="246">
                  <c:v>1.62</c:v>
                </c:pt>
                <c:pt idx="247">
                  <c:v>1.63</c:v>
                </c:pt>
                <c:pt idx="248">
                  <c:v>1.64</c:v>
                </c:pt>
                <c:pt idx="249">
                  <c:v>1.65</c:v>
                </c:pt>
                <c:pt idx="250">
                  <c:v>1.66</c:v>
                </c:pt>
                <c:pt idx="251">
                  <c:v>1.67</c:v>
                </c:pt>
                <c:pt idx="252">
                  <c:v>1.68</c:v>
                </c:pt>
                <c:pt idx="253">
                  <c:v>1.69</c:v>
                </c:pt>
                <c:pt idx="254">
                  <c:v>1.71</c:v>
                </c:pt>
                <c:pt idx="255">
                  <c:v>1.72</c:v>
                </c:pt>
                <c:pt idx="256">
                  <c:v>1.73</c:v>
                </c:pt>
                <c:pt idx="257">
                  <c:v>1.74</c:v>
                </c:pt>
                <c:pt idx="258">
                  <c:v>1.75</c:v>
                </c:pt>
                <c:pt idx="259">
                  <c:v>1.76</c:v>
                </c:pt>
                <c:pt idx="260">
                  <c:v>1.77</c:v>
                </c:pt>
                <c:pt idx="261">
                  <c:v>1.8</c:v>
                </c:pt>
                <c:pt idx="262">
                  <c:v>1.84</c:v>
                </c:pt>
                <c:pt idx="263">
                  <c:v>1.87</c:v>
                </c:pt>
                <c:pt idx="264">
                  <c:v>1.91</c:v>
                </c:pt>
                <c:pt idx="265">
                  <c:v>1.95</c:v>
                </c:pt>
                <c:pt idx="266">
                  <c:v>1.98</c:v>
                </c:pt>
                <c:pt idx="267">
                  <c:v>2.02</c:v>
                </c:pt>
                <c:pt idx="268">
                  <c:v>2.06</c:v>
                </c:pt>
                <c:pt idx="269">
                  <c:v>2.1</c:v>
                </c:pt>
                <c:pt idx="270">
                  <c:v>2.13</c:v>
                </c:pt>
                <c:pt idx="271">
                  <c:v>2.17</c:v>
                </c:pt>
                <c:pt idx="272">
                  <c:v>2.21</c:v>
                </c:pt>
                <c:pt idx="273">
                  <c:v>2.25</c:v>
                </c:pt>
                <c:pt idx="274">
                  <c:v>2.29</c:v>
                </c:pt>
                <c:pt idx="275">
                  <c:v>2.33</c:v>
                </c:pt>
                <c:pt idx="276">
                  <c:v>2.37</c:v>
                </c:pt>
                <c:pt idx="277">
                  <c:v>2.41</c:v>
                </c:pt>
                <c:pt idx="278">
                  <c:v>2.46</c:v>
                </c:pt>
                <c:pt idx="279">
                  <c:v>2.5</c:v>
                </c:pt>
                <c:pt idx="280">
                  <c:v>2.5499999999999998</c:v>
                </c:pt>
                <c:pt idx="281">
                  <c:v>2.59</c:v>
                </c:pt>
                <c:pt idx="282">
                  <c:v>2.64</c:v>
                </c:pt>
                <c:pt idx="283">
                  <c:v>2.69</c:v>
                </c:pt>
                <c:pt idx="284">
                  <c:v>2.74</c:v>
                </c:pt>
                <c:pt idx="285">
                  <c:v>2.8</c:v>
                </c:pt>
                <c:pt idx="286">
                  <c:v>2.85</c:v>
                </c:pt>
                <c:pt idx="287">
                  <c:v>2.91</c:v>
                </c:pt>
                <c:pt idx="288">
                  <c:v>2.97</c:v>
                </c:pt>
                <c:pt idx="289">
                  <c:v>3.04</c:v>
                </c:pt>
                <c:pt idx="290">
                  <c:v>3.1</c:v>
                </c:pt>
                <c:pt idx="291">
                  <c:v>3.17</c:v>
                </c:pt>
                <c:pt idx="292">
                  <c:v>3.25</c:v>
                </c:pt>
                <c:pt idx="293">
                  <c:v>3.34</c:v>
                </c:pt>
                <c:pt idx="294">
                  <c:v>3.43</c:v>
                </c:pt>
                <c:pt idx="295">
                  <c:v>3.54</c:v>
                </c:pt>
                <c:pt idx="296">
                  <c:v>3.68</c:v>
                </c:pt>
                <c:pt idx="297">
                  <c:v>3.87</c:v>
                </c:pt>
                <c:pt idx="298">
                  <c:v>4.21</c:v>
                </c:pt>
                <c:pt idx="299">
                  <c:v>4.76</c:v>
                </c:pt>
                <c:pt idx="300">
                  <c:v>4.76</c:v>
                </c:pt>
                <c:pt idx="301">
                  <c:v>4.75</c:v>
                </c:pt>
                <c:pt idx="302">
                  <c:v>4.75</c:v>
                </c:pt>
                <c:pt idx="303">
                  <c:v>4.74</c:v>
                </c:pt>
                <c:pt idx="304">
                  <c:v>4.74</c:v>
                </c:pt>
                <c:pt idx="305">
                  <c:v>4.7300000000000004</c:v>
                </c:pt>
                <c:pt idx="306">
                  <c:v>4.7300000000000004</c:v>
                </c:pt>
                <c:pt idx="307">
                  <c:v>4.72</c:v>
                </c:pt>
                <c:pt idx="308">
                  <c:v>4.72</c:v>
                </c:pt>
                <c:pt idx="309">
                  <c:v>4.71</c:v>
                </c:pt>
                <c:pt idx="310">
                  <c:v>4.71</c:v>
                </c:pt>
                <c:pt idx="311">
                  <c:v>4.7</c:v>
                </c:pt>
                <c:pt idx="312">
                  <c:v>4.7</c:v>
                </c:pt>
                <c:pt idx="313">
                  <c:v>4.6900000000000004</c:v>
                </c:pt>
                <c:pt idx="314">
                  <c:v>4.6900000000000004</c:v>
                </c:pt>
                <c:pt idx="315">
                  <c:v>4.68</c:v>
                </c:pt>
                <c:pt idx="316">
                  <c:v>4.68</c:v>
                </c:pt>
                <c:pt idx="317">
                  <c:v>4.67</c:v>
                </c:pt>
                <c:pt idx="318">
                  <c:v>4.67</c:v>
                </c:pt>
                <c:pt idx="319">
                  <c:v>4.66</c:v>
                </c:pt>
                <c:pt idx="320">
                  <c:v>4.66</c:v>
                </c:pt>
                <c:pt idx="321">
                  <c:v>4.6500000000000004</c:v>
                </c:pt>
                <c:pt idx="322">
                  <c:v>4.6500000000000004</c:v>
                </c:pt>
                <c:pt idx="323">
                  <c:v>4.6500000000000004</c:v>
                </c:pt>
                <c:pt idx="324">
                  <c:v>4.6399999999999997</c:v>
                </c:pt>
                <c:pt idx="325">
                  <c:v>4.6399999999999997</c:v>
                </c:pt>
                <c:pt idx="326">
                  <c:v>4.63</c:v>
                </c:pt>
                <c:pt idx="327">
                  <c:v>4.63</c:v>
                </c:pt>
                <c:pt idx="328">
                  <c:v>4.62</c:v>
                </c:pt>
                <c:pt idx="329">
                  <c:v>4.62</c:v>
                </c:pt>
                <c:pt idx="330">
                  <c:v>4.62</c:v>
                </c:pt>
                <c:pt idx="331">
                  <c:v>4.6100000000000003</c:v>
                </c:pt>
                <c:pt idx="332">
                  <c:v>4.6100000000000003</c:v>
                </c:pt>
                <c:pt idx="333">
                  <c:v>4.5999999999999996</c:v>
                </c:pt>
                <c:pt idx="334">
                  <c:v>4.5999999999999996</c:v>
                </c:pt>
                <c:pt idx="335">
                  <c:v>4.59</c:v>
                </c:pt>
                <c:pt idx="336">
                  <c:v>4.59</c:v>
                </c:pt>
                <c:pt idx="337">
                  <c:v>4.59</c:v>
                </c:pt>
                <c:pt idx="338">
                  <c:v>4.58</c:v>
                </c:pt>
                <c:pt idx="339">
                  <c:v>4.58</c:v>
                </c:pt>
                <c:pt idx="340">
                  <c:v>4.57</c:v>
                </c:pt>
                <c:pt idx="341">
                  <c:v>4.57</c:v>
                </c:pt>
                <c:pt idx="342">
                  <c:v>4.57</c:v>
                </c:pt>
                <c:pt idx="343">
                  <c:v>4.57</c:v>
                </c:pt>
                <c:pt idx="344">
                  <c:v>4.57</c:v>
                </c:pt>
                <c:pt idx="345">
                  <c:v>4.5599999999999996</c:v>
                </c:pt>
                <c:pt idx="346">
                  <c:v>4.5599999999999996</c:v>
                </c:pt>
                <c:pt idx="347">
                  <c:v>4.5599999999999996</c:v>
                </c:pt>
                <c:pt idx="348">
                  <c:v>4.5599999999999996</c:v>
                </c:pt>
                <c:pt idx="349">
                  <c:v>4.5599999999999996</c:v>
                </c:pt>
                <c:pt idx="350">
                  <c:v>4.5599999999999996</c:v>
                </c:pt>
                <c:pt idx="351">
                  <c:v>4.5599999999999996</c:v>
                </c:pt>
                <c:pt idx="352">
                  <c:v>4.55</c:v>
                </c:pt>
                <c:pt idx="353">
                  <c:v>4.55</c:v>
                </c:pt>
                <c:pt idx="354">
                  <c:v>4.55</c:v>
                </c:pt>
                <c:pt idx="355">
                  <c:v>4.55</c:v>
                </c:pt>
                <c:pt idx="356">
                  <c:v>4.55</c:v>
                </c:pt>
                <c:pt idx="357">
                  <c:v>4.55</c:v>
                </c:pt>
                <c:pt idx="358">
                  <c:v>4.55</c:v>
                </c:pt>
                <c:pt idx="359">
                  <c:v>4.55</c:v>
                </c:pt>
                <c:pt idx="360">
                  <c:v>4.54</c:v>
                </c:pt>
                <c:pt idx="361">
                  <c:v>4.54</c:v>
                </c:pt>
                <c:pt idx="362">
                  <c:v>4.54</c:v>
                </c:pt>
                <c:pt idx="363">
                  <c:v>4.54</c:v>
                </c:pt>
                <c:pt idx="364">
                  <c:v>4.54</c:v>
                </c:pt>
                <c:pt idx="365">
                  <c:v>4.54</c:v>
                </c:pt>
                <c:pt idx="366">
                  <c:v>4.54</c:v>
                </c:pt>
                <c:pt idx="367">
                  <c:v>4.54</c:v>
                </c:pt>
                <c:pt idx="368">
                  <c:v>4.54</c:v>
                </c:pt>
                <c:pt idx="369">
                  <c:v>4.53</c:v>
                </c:pt>
                <c:pt idx="370">
                  <c:v>4.53</c:v>
                </c:pt>
                <c:pt idx="371">
                  <c:v>4.53</c:v>
                </c:pt>
                <c:pt idx="372">
                  <c:v>4.53</c:v>
                </c:pt>
                <c:pt idx="373">
                  <c:v>4.53</c:v>
                </c:pt>
                <c:pt idx="374">
                  <c:v>4.53</c:v>
                </c:pt>
                <c:pt idx="375">
                  <c:v>4.53</c:v>
                </c:pt>
                <c:pt idx="376">
                  <c:v>4.53</c:v>
                </c:pt>
                <c:pt idx="377">
                  <c:v>4.53</c:v>
                </c:pt>
                <c:pt idx="378">
                  <c:v>4.53</c:v>
                </c:pt>
                <c:pt idx="379">
                  <c:v>4.38</c:v>
                </c:pt>
                <c:pt idx="380">
                  <c:v>4.25</c:v>
                </c:pt>
                <c:pt idx="381">
                  <c:v>4.5199999999999996</c:v>
                </c:pt>
                <c:pt idx="382">
                  <c:v>4.5199999999999996</c:v>
                </c:pt>
                <c:pt idx="383">
                  <c:v>4.5199999999999996</c:v>
                </c:pt>
                <c:pt idx="384">
                  <c:v>4.5199999999999996</c:v>
                </c:pt>
                <c:pt idx="385">
                  <c:v>4.5199999999999996</c:v>
                </c:pt>
                <c:pt idx="386">
                  <c:v>4.5199999999999996</c:v>
                </c:pt>
                <c:pt idx="387">
                  <c:v>4.5199999999999996</c:v>
                </c:pt>
                <c:pt idx="388">
                  <c:v>4.5199999999999996</c:v>
                </c:pt>
                <c:pt idx="389">
                  <c:v>4.5199999999999996</c:v>
                </c:pt>
                <c:pt idx="390">
                  <c:v>4.5199999999999996</c:v>
                </c:pt>
                <c:pt idx="391">
                  <c:v>4.5199999999999996</c:v>
                </c:pt>
                <c:pt idx="392">
                  <c:v>4.5199999999999996</c:v>
                </c:pt>
                <c:pt idx="393">
                  <c:v>4.5199999999999996</c:v>
                </c:pt>
                <c:pt idx="394">
                  <c:v>4.5199999999999996</c:v>
                </c:pt>
                <c:pt idx="395">
                  <c:v>4.5199999999999996</c:v>
                </c:pt>
                <c:pt idx="396">
                  <c:v>4.5199999999999996</c:v>
                </c:pt>
                <c:pt idx="397">
                  <c:v>4.5199999999999996</c:v>
                </c:pt>
                <c:pt idx="398">
                  <c:v>4.5199999999999996</c:v>
                </c:pt>
                <c:pt idx="399">
                  <c:v>4.51</c:v>
                </c:pt>
                <c:pt idx="400">
                  <c:v>4.51</c:v>
                </c:pt>
                <c:pt idx="401">
                  <c:v>4.51</c:v>
                </c:pt>
                <c:pt idx="402">
                  <c:v>4.51</c:v>
                </c:pt>
                <c:pt idx="403">
                  <c:v>4.51</c:v>
                </c:pt>
                <c:pt idx="404">
                  <c:v>4.51</c:v>
                </c:pt>
                <c:pt idx="405">
                  <c:v>4.51</c:v>
                </c:pt>
                <c:pt idx="406">
                  <c:v>4.51</c:v>
                </c:pt>
                <c:pt idx="407">
                  <c:v>4.51</c:v>
                </c:pt>
                <c:pt idx="408">
                  <c:v>4.51</c:v>
                </c:pt>
                <c:pt idx="409">
                  <c:v>4.51</c:v>
                </c:pt>
                <c:pt idx="410">
                  <c:v>4.51</c:v>
                </c:pt>
                <c:pt idx="411">
                  <c:v>4.51</c:v>
                </c:pt>
                <c:pt idx="412">
                  <c:v>4.51</c:v>
                </c:pt>
                <c:pt idx="413">
                  <c:v>4.51</c:v>
                </c:pt>
                <c:pt idx="414">
                  <c:v>4.51</c:v>
                </c:pt>
                <c:pt idx="415">
                  <c:v>4.51</c:v>
                </c:pt>
                <c:pt idx="416">
                  <c:v>4.51</c:v>
                </c:pt>
                <c:pt idx="417">
                  <c:v>4.51</c:v>
                </c:pt>
                <c:pt idx="418">
                  <c:v>4.51</c:v>
                </c:pt>
                <c:pt idx="419">
                  <c:v>4.51</c:v>
                </c:pt>
                <c:pt idx="420">
                  <c:v>4.51</c:v>
                </c:pt>
                <c:pt idx="421">
                  <c:v>4.51</c:v>
                </c:pt>
                <c:pt idx="422">
                  <c:v>4.51</c:v>
                </c:pt>
                <c:pt idx="423">
                  <c:v>4.51</c:v>
                </c:pt>
                <c:pt idx="424">
                  <c:v>4.51</c:v>
                </c:pt>
                <c:pt idx="425">
                  <c:v>4.51</c:v>
                </c:pt>
                <c:pt idx="426">
                  <c:v>4.51</c:v>
                </c:pt>
                <c:pt idx="427">
                  <c:v>4.51</c:v>
                </c:pt>
                <c:pt idx="428">
                  <c:v>4.51</c:v>
                </c:pt>
                <c:pt idx="429">
                  <c:v>4.51</c:v>
                </c:pt>
                <c:pt idx="430">
                  <c:v>4.51</c:v>
                </c:pt>
                <c:pt idx="431">
                  <c:v>4.51</c:v>
                </c:pt>
                <c:pt idx="432">
                  <c:v>4.51</c:v>
                </c:pt>
                <c:pt idx="433">
                  <c:v>4.51</c:v>
                </c:pt>
                <c:pt idx="434">
                  <c:v>4.51</c:v>
                </c:pt>
                <c:pt idx="435">
                  <c:v>4.51</c:v>
                </c:pt>
                <c:pt idx="436">
                  <c:v>4.51</c:v>
                </c:pt>
                <c:pt idx="437">
                  <c:v>4.51</c:v>
                </c:pt>
                <c:pt idx="438">
                  <c:v>4.51</c:v>
                </c:pt>
                <c:pt idx="439">
                  <c:v>4.51</c:v>
                </c:pt>
                <c:pt idx="440">
                  <c:v>4.51</c:v>
                </c:pt>
                <c:pt idx="441">
                  <c:v>4.51</c:v>
                </c:pt>
                <c:pt idx="442">
                  <c:v>4.51</c:v>
                </c:pt>
                <c:pt idx="443">
                  <c:v>4.51</c:v>
                </c:pt>
                <c:pt idx="444">
                  <c:v>4.51</c:v>
                </c:pt>
                <c:pt idx="445">
                  <c:v>4.51</c:v>
                </c:pt>
                <c:pt idx="446">
                  <c:v>4.5199999999999996</c:v>
                </c:pt>
                <c:pt idx="447">
                  <c:v>4.5199999999999996</c:v>
                </c:pt>
                <c:pt idx="448">
                  <c:v>4.5199999999999996</c:v>
                </c:pt>
                <c:pt idx="449">
                  <c:v>4.5199999999999996</c:v>
                </c:pt>
                <c:pt idx="450">
                  <c:v>4.5199999999999996</c:v>
                </c:pt>
                <c:pt idx="451">
                  <c:v>4.5199999999999996</c:v>
                </c:pt>
                <c:pt idx="452">
                  <c:v>4.5199999999999996</c:v>
                </c:pt>
                <c:pt idx="453">
                  <c:v>4.5199999999999996</c:v>
                </c:pt>
                <c:pt idx="454">
                  <c:v>4.5199999999999996</c:v>
                </c:pt>
                <c:pt idx="455">
                  <c:v>4.5199999999999996</c:v>
                </c:pt>
                <c:pt idx="456">
                  <c:v>4.5199999999999996</c:v>
                </c:pt>
                <c:pt idx="457">
                  <c:v>4.5199999999999996</c:v>
                </c:pt>
                <c:pt idx="458">
                  <c:v>4.5199999999999996</c:v>
                </c:pt>
                <c:pt idx="459">
                  <c:v>4.5199999999999996</c:v>
                </c:pt>
                <c:pt idx="460">
                  <c:v>4.55</c:v>
                </c:pt>
                <c:pt idx="461">
                  <c:v>4.55</c:v>
                </c:pt>
                <c:pt idx="462">
                  <c:v>4.55</c:v>
                </c:pt>
                <c:pt idx="463">
                  <c:v>4.55</c:v>
                </c:pt>
                <c:pt idx="464">
                  <c:v>4.55</c:v>
                </c:pt>
                <c:pt idx="465">
                  <c:v>4.55</c:v>
                </c:pt>
                <c:pt idx="466">
                  <c:v>4.55</c:v>
                </c:pt>
                <c:pt idx="467">
                  <c:v>4.55</c:v>
                </c:pt>
                <c:pt idx="468">
                  <c:v>4.55</c:v>
                </c:pt>
                <c:pt idx="469">
                  <c:v>4.55</c:v>
                </c:pt>
                <c:pt idx="470">
                  <c:v>4.55</c:v>
                </c:pt>
                <c:pt idx="471">
                  <c:v>4.55</c:v>
                </c:pt>
                <c:pt idx="472">
                  <c:v>4.54</c:v>
                </c:pt>
                <c:pt idx="473">
                  <c:v>4.54</c:v>
                </c:pt>
                <c:pt idx="474">
                  <c:v>4.54</c:v>
                </c:pt>
                <c:pt idx="475">
                  <c:v>4.54</c:v>
                </c:pt>
                <c:pt idx="476">
                  <c:v>4.54</c:v>
                </c:pt>
                <c:pt idx="477">
                  <c:v>4.54</c:v>
                </c:pt>
                <c:pt idx="478">
                  <c:v>4.54</c:v>
                </c:pt>
                <c:pt idx="479">
                  <c:v>4.54</c:v>
                </c:pt>
                <c:pt idx="480">
                  <c:v>4.54</c:v>
                </c:pt>
                <c:pt idx="481">
                  <c:v>4.54</c:v>
                </c:pt>
                <c:pt idx="482">
                  <c:v>4.54</c:v>
                </c:pt>
                <c:pt idx="483">
                  <c:v>4.54</c:v>
                </c:pt>
                <c:pt idx="484">
                  <c:v>4.54</c:v>
                </c:pt>
                <c:pt idx="485">
                  <c:v>4.54</c:v>
                </c:pt>
                <c:pt idx="486">
                  <c:v>4.54</c:v>
                </c:pt>
                <c:pt idx="487">
                  <c:v>4.54</c:v>
                </c:pt>
                <c:pt idx="488">
                  <c:v>4.54</c:v>
                </c:pt>
                <c:pt idx="489">
                  <c:v>4.54</c:v>
                </c:pt>
                <c:pt idx="490">
                  <c:v>4.54</c:v>
                </c:pt>
                <c:pt idx="491">
                  <c:v>4.54</c:v>
                </c:pt>
                <c:pt idx="492">
                  <c:v>4.54</c:v>
                </c:pt>
                <c:pt idx="493">
                  <c:v>4.54</c:v>
                </c:pt>
                <c:pt idx="494">
                  <c:v>4.54</c:v>
                </c:pt>
                <c:pt idx="495">
                  <c:v>4.54</c:v>
                </c:pt>
                <c:pt idx="496">
                  <c:v>4.54</c:v>
                </c:pt>
                <c:pt idx="497">
                  <c:v>4.54</c:v>
                </c:pt>
                <c:pt idx="498">
                  <c:v>4.54</c:v>
                </c:pt>
                <c:pt idx="499">
                  <c:v>4.54</c:v>
                </c:pt>
                <c:pt idx="500">
                  <c:v>4.54</c:v>
                </c:pt>
                <c:pt idx="501">
                  <c:v>4.54</c:v>
                </c:pt>
                <c:pt idx="502">
                  <c:v>4.54</c:v>
                </c:pt>
                <c:pt idx="503">
                  <c:v>4.54</c:v>
                </c:pt>
                <c:pt idx="504">
                  <c:v>4.54</c:v>
                </c:pt>
                <c:pt idx="505">
                  <c:v>4.54</c:v>
                </c:pt>
                <c:pt idx="506">
                  <c:v>4.54</c:v>
                </c:pt>
                <c:pt idx="507">
                  <c:v>4.54</c:v>
                </c:pt>
                <c:pt idx="508">
                  <c:v>4.54</c:v>
                </c:pt>
                <c:pt idx="509">
                  <c:v>4.54</c:v>
                </c:pt>
                <c:pt idx="510">
                  <c:v>4.54</c:v>
                </c:pt>
                <c:pt idx="511">
                  <c:v>4.54</c:v>
                </c:pt>
                <c:pt idx="512">
                  <c:v>4.54</c:v>
                </c:pt>
                <c:pt idx="513">
                  <c:v>4.54</c:v>
                </c:pt>
                <c:pt idx="514">
                  <c:v>4.54</c:v>
                </c:pt>
                <c:pt idx="515">
                  <c:v>4.54</c:v>
                </c:pt>
                <c:pt idx="516">
                  <c:v>4.54</c:v>
                </c:pt>
                <c:pt idx="517">
                  <c:v>4.54</c:v>
                </c:pt>
                <c:pt idx="518">
                  <c:v>4.54</c:v>
                </c:pt>
                <c:pt idx="519">
                  <c:v>4.54</c:v>
                </c:pt>
                <c:pt idx="520">
                  <c:v>4.54</c:v>
                </c:pt>
                <c:pt idx="521">
                  <c:v>4.54</c:v>
                </c:pt>
                <c:pt idx="522">
                  <c:v>4.54</c:v>
                </c:pt>
                <c:pt idx="523">
                  <c:v>4.54</c:v>
                </c:pt>
                <c:pt idx="524">
                  <c:v>4.54</c:v>
                </c:pt>
                <c:pt idx="525">
                  <c:v>4.54</c:v>
                </c:pt>
                <c:pt idx="526">
                  <c:v>4.54</c:v>
                </c:pt>
                <c:pt idx="527">
                  <c:v>4.55</c:v>
                </c:pt>
                <c:pt idx="528">
                  <c:v>4.55</c:v>
                </c:pt>
                <c:pt idx="529">
                  <c:v>4.55</c:v>
                </c:pt>
                <c:pt idx="530">
                  <c:v>4.55</c:v>
                </c:pt>
                <c:pt idx="531">
                  <c:v>4.55</c:v>
                </c:pt>
                <c:pt idx="532">
                  <c:v>4.55</c:v>
                </c:pt>
                <c:pt idx="533">
                  <c:v>4.55</c:v>
                </c:pt>
                <c:pt idx="534">
                  <c:v>4.55</c:v>
                </c:pt>
                <c:pt idx="535">
                  <c:v>4.55</c:v>
                </c:pt>
                <c:pt idx="536">
                  <c:v>4.55</c:v>
                </c:pt>
                <c:pt idx="537">
                  <c:v>4.55</c:v>
                </c:pt>
                <c:pt idx="538">
                  <c:v>4.55</c:v>
                </c:pt>
                <c:pt idx="539">
                  <c:v>4.55</c:v>
                </c:pt>
                <c:pt idx="540">
                  <c:v>4.55</c:v>
                </c:pt>
                <c:pt idx="541">
                  <c:v>4.55</c:v>
                </c:pt>
                <c:pt idx="542">
                  <c:v>4.55</c:v>
                </c:pt>
                <c:pt idx="543">
                  <c:v>4.55</c:v>
                </c:pt>
                <c:pt idx="544">
                  <c:v>4.55</c:v>
                </c:pt>
                <c:pt idx="545">
                  <c:v>4.55</c:v>
                </c:pt>
                <c:pt idx="546">
                  <c:v>4.55</c:v>
                </c:pt>
                <c:pt idx="547">
                  <c:v>4.55</c:v>
                </c:pt>
                <c:pt idx="548">
                  <c:v>4.55</c:v>
                </c:pt>
                <c:pt idx="549">
                  <c:v>4.55</c:v>
                </c:pt>
                <c:pt idx="550">
                  <c:v>4.5599999999999996</c:v>
                </c:pt>
                <c:pt idx="551">
                  <c:v>4.5599999999999996</c:v>
                </c:pt>
                <c:pt idx="552">
                  <c:v>4.5599999999999996</c:v>
                </c:pt>
                <c:pt idx="553">
                  <c:v>4.5599999999999996</c:v>
                </c:pt>
                <c:pt idx="554">
                  <c:v>4.5599999999999996</c:v>
                </c:pt>
                <c:pt idx="555">
                  <c:v>4.5599999999999996</c:v>
                </c:pt>
                <c:pt idx="556">
                  <c:v>4.5599999999999996</c:v>
                </c:pt>
                <c:pt idx="557">
                  <c:v>4.5599999999999996</c:v>
                </c:pt>
                <c:pt idx="558">
                  <c:v>4.5599999999999996</c:v>
                </c:pt>
                <c:pt idx="559">
                  <c:v>4.5599999999999996</c:v>
                </c:pt>
                <c:pt idx="560">
                  <c:v>4.5599999999999996</c:v>
                </c:pt>
                <c:pt idx="561">
                  <c:v>4.5599999999999996</c:v>
                </c:pt>
                <c:pt idx="562">
                  <c:v>4.5599999999999996</c:v>
                </c:pt>
                <c:pt idx="563">
                  <c:v>4.5599999999999996</c:v>
                </c:pt>
                <c:pt idx="564">
                  <c:v>4.5599999999999996</c:v>
                </c:pt>
                <c:pt idx="565">
                  <c:v>4.57</c:v>
                </c:pt>
                <c:pt idx="566">
                  <c:v>4.57</c:v>
                </c:pt>
                <c:pt idx="567">
                  <c:v>4.57</c:v>
                </c:pt>
                <c:pt idx="568">
                  <c:v>4.57</c:v>
                </c:pt>
                <c:pt idx="569">
                  <c:v>4.57</c:v>
                </c:pt>
                <c:pt idx="570">
                  <c:v>4.57</c:v>
                </c:pt>
                <c:pt idx="571">
                  <c:v>4.57</c:v>
                </c:pt>
                <c:pt idx="572">
                  <c:v>4.57</c:v>
                </c:pt>
                <c:pt idx="573">
                  <c:v>4.57</c:v>
                </c:pt>
                <c:pt idx="574">
                  <c:v>4.57</c:v>
                </c:pt>
                <c:pt idx="575">
                  <c:v>4.57</c:v>
                </c:pt>
                <c:pt idx="576">
                  <c:v>4.57</c:v>
                </c:pt>
                <c:pt idx="577">
                  <c:v>4.57</c:v>
                </c:pt>
                <c:pt idx="578">
                  <c:v>4.58</c:v>
                </c:pt>
                <c:pt idx="579">
                  <c:v>4.58</c:v>
                </c:pt>
                <c:pt idx="580">
                  <c:v>4.58</c:v>
                </c:pt>
                <c:pt idx="581">
                  <c:v>4.58</c:v>
                </c:pt>
                <c:pt idx="582">
                  <c:v>4.58</c:v>
                </c:pt>
                <c:pt idx="583">
                  <c:v>4.58</c:v>
                </c:pt>
                <c:pt idx="584">
                  <c:v>4.58</c:v>
                </c:pt>
                <c:pt idx="585">
                  <c:v>4.58</c:v>
                </c:pt>
                <c:pt idx="586">
                  <c:v>4.58</c:v>
                </c:pt>
                <c:pt idx="587">
                  <c:v>4.58</c:v>
                </c:pt>
                <c:pt idx="588">
                  <c:v>4.58</c:v>
                </c:pt>
                <c:pt idx="589">
                  <c:v>4.59</c:v>
                </c:pt>
                <c:pt idx="590">
                  <c:v>4.59</c:v>
                </c:pt>
                <c:pt idx="591">
                  <c:v>4.59</c:v>
                </c:pt>
                <c:pt idx="592">
                  <c:v>4.59</c:v>
                </c:pt>
                <c:pt idx="593">
                  <c:v>4.59</c:v>
                </c:pt>
                <c:pt idx="594">
                  <c:v>4.59</c:v>
                </c:pt>
                <c:pt idx="595">
                  <c:v>4.59</c:v>
                </c:pt>
                <c:pt idx="596">
                  <c:v>4.59</c:v>
                </c:pt>
                <c:pt idx="597">
                  <c:v>4.59</c:v>
                </c:pt>
                <c:pt idx="598">
                  <c:v>4.59</c:v>
                </c:pt>
                <c:pt idx="599">
                  <c:v>4.5999999999999996</c:v>
                </c:pt>
                <c:pt idx="600">
                  <c:v>4.5999999999999996</c:v>
                </c:pt>
                <c:pt idx="601">
                  <c:v>4.5999999999999996</c:v>
                </c:pt>
                <c:pt idx="602">
                  <c:v>4.5999999999999996</c:v>
                </c:pt>
                <c:pt idx="603">
                  <c:v>4.5999999999999996</c:v>
                </c:pt>
                <c:pt idx="604">
                  <c:v>4.5999999999999996</c:v>
                </c:pt>
                <c:pt idx="605">
                  <c:v>4.5999999999999996</c:v>
                </c:pt>
                <c:pt idx="606">
                  <c:v>4.5999999999999996</c:v>
                </c:pt>
                <c:pt idx="607">
                  <c:v>4.5999999999999996</c:v>
                </c:pt>
                <c:pt idx="608">
                  <c:v>4.6100000000000003</c:v>
                </c:pt>
                <c:pt idx="609">
                  <c:v>4.6100000000000003</c:v>
                </c:pt>
                <c:pt idx="610">
                  <c:v>4.6100000000000003</c:v>
                </c:pt>
                <c:pt idx="611">
                  <c:v>4.6100000000000003</c:v>
                </c:pt>
                <c:pt idx="612">
                  <c:v>4.6100000000000003</c:v>
                </c:pt>
                <c:pt idx="613">
                  <c:v>4.6100000000000003</c:v>
                </c:pt>
                <c:pt idx="614">
                  <c:v>4.6100000000000003</c:v>
                </c:pt>
                <c:pt idx="615">
                  <c:v>4.6100000000000003</c:v>
                </c:pt>
                <c:pt idx="616">
                  <c:v>4.62</c:v>
                </c:pt>
                <c:pt idx="617">
                  <c:v>4.62</c:v>
                </c:pt>
                <c:pt idx="618">
                  <c:v>4.62</c:v>
                </c:pt>
                <c:pt idx="619">
                  <c:v>4.62</c:v>
                </c:pt>
                <c:pt idx="620">
                  <c:v>4.62</c:v>
                </c:pt>
                <c:pt idx="621">
                  <c:v>4.62</c:v>
                </c:pt>
                <c:pt idx="622">
                  <c:v>4.62</c:v>
                </c:pt>
                <c:pt idx="623">
                  <c:v>4.62</c:v>
                </c:pt>
                <c:pt idx="624">
                  <c:v>4.63</c:v>
                </c:pt>
                <c:pt idx="625">
                  <c:v>4.63</c:v>
                </c:pt>
                <c:pt idx="626">
                  <c:v>4.63</c:v>
                </c:pt>
                <c:pt idx="627">
                  <c:v>4.63</c:v>
                </c:pt>
                <c:pt idx="628">
                  <c:v>4.63</c:v>
                </c:pt>
                <c:pt idx="629">
                  <c:v>4.63</c:v>
                </c:pt>
                <c:pt idx="630">
                  <c:v>4.63</c:v>
                </c:pt>
                <c:pt idx="631">
                  <c:v>4.6399999999999997</c:v>
                </c:pt>
                <c:pt idx="632">
                  <c:v>4.6399999999999997</c:v>
                </c:pt>
                <c:pt idx="633">
                  <c:v>4.6399999999999997</c:v>
                </c:pt>
                <c:pt idx="634">
                  <c:v>4.6399999999999997</c:v>
                </c:pt>
                <c:pt idx="635">
                  <c:v>4.6399999999999997</c:v>
                </c:pt>
                <c:pt idx="636">
                  <c:v>4.6399999999999997</c:v>
                </c:pt>
                <c:pt idx="637">
                  <c:v>4.6399999999999997</c:v>
                </c:pt>
                <c:pt idx="638">
                  <c:v>4.6500000000000004</c:v>
                </c:pt>
                <c:pt idx="639">
                  <c:v>4.6500000000000004</c:v>
                </c:pt>
                <c:pt idx="640">
                  <c:v>4.6500000000000004</c:v>
                </c:pt>
                <c:pt idx="641">
                  <c:v>4.6500000000000004</c:v>
                </c:pt>
                <c:pt idx="642">
                  <c:v>4.6500000000000004</c:v>
                </c:pt>
                <c:pt idx="643">
                  <c:v>4.6500000000000004</c:v>
                </c:pt>
                <c:pt idx="644">
                  <c:v>4.6500000000000004</c:v>
                </c:pt>
                <c:pt idx="645">
                  <c:v>4.66</c:v>
                </c:pt>
                <c:pt idx="646">
                  <c:v>4.66</c:v>
                </c:pt>
                <c:pt idx="647">
                  <c:v>4.66</c:v>
                </c:pt>
                <c:pt idx="648">
                  <c:v>4.66</c:v>
                </c:pt>
                <c:pt idx="649">
                  <c:v>4.66</c:v>
                </c:pt>
                <c:pt idx="650">
                  <c:v>4.66</c:v>
                </c:pt>
                <c:pt idx="651">
                  <c:v>4.66</c:v>
                </c:pt>
                <c:pt idx="652">
                  <c:v>4.67</c:v>
                </c:pt>
                <c:pt idx="653">
                  <c:v>4.67</c:v>
                </c:pt>
                <c:pt idx="654">
                  <c:v>4.67</c:v>
                </c:pt>
                <c:pt idx="655">
                  <c:v>4.67</c:v>
                </c:pt>
                <c:pt idx="656">
                  <c:v>4.67</c:v>
                </c:pt>
                <c:pt idx="657">
                  <c:v>4.67</c:v>
                </c:pt>
                <c:pt idx="658">
                  <c:v>4.68</c:v>
                </c:pt>
                <c:pt idx="659">
                  <c:v>4.68</c:v>
                </c:pt>
                <c:pt idx="660">
                  <c:v>4.68</c:v>
                </c:pt>
                <c:pt idx="661">
                  <c:v>4.68</c:v>
                </c:pt>
                <c:pt idx="662">
                  <c:v>4.68</c:v>
                </c:pt>
                <c:pt idx="663">
                  <c:v>4.68</c:v>
                </c:pt>
                <c:pt idx="664">
                  <c:v>4.6900000000000004</c:v>
                </c:pt>
                <c:pt idx="665">
                  <c:v>4.6900000000000004</c:v>
                </c:pt>
                <c:pt idx="666">
                  <c:v>4.6900000000000004</c:v>
                </c:pt>
                <c:pt idx="667">
                  <c:v>4.6900000000000004</c:v>
                </c:pt>
                <c:pt idx="668">
                  <c:v>4.6900000000000004</c:v>
                </c:pt>
                <c:pt idx="669">
                  <c:v>4.6900000000000004</c:v>
                </c:pt>
                <c:pt idx="670">
                  <c:v>4.7</c:v>
                </c:pt>
                <c:pt idx="671">
                  <c:v>4.7</c:v>
                </c:pt>
                <c:pt idx="672">
                  <c:v>4.7</c:v>
                </c:pt>
                <c:pt idx="673">
                  <c:v>4.7</c:v>
                </c:pt>
                <c:pt idx="674">
                  <c:v>4.7</c:v>
                </c:pt>
                <c:pt idx="675">
                  <c:v>4.7</c:v>
                </c:pt>
                <c:pt idx="676">
                  <c:v>4.71</c:v>
                </c:pt>
                <c:pt idx="677">
                  <c:v>4.71</c:v>
                </c:pt>
                <c:pt idx="678">
                  <c:v>4.71</c:v>
                </c:pt>
                <c:pt idx="679">
                  <c:v>4.71</c:v>
                </c:pt>
                <c:pt idx="680">
                  <c:v>4.71</c:v>
                </c:pt>
                <c:pt idx="681">
                  <c:v>4.72</c:v>
                </c:pt>
                <c:pt idx="682">
                  <c:v>4.72</c:v>
                </c:pt>
                <c:pt idx="683">
                  <c:v>4.72</c:v>
                </c:pt>
                <c:pt idx="684">
                  <c:v>4.72</c:v>
                </c:pt>
                <c:pt idx="685">
                  <c:v>4.72</c:v>
                </c:pt>
                <c:pt idx="686">
                  <c:v>4.7300000000000004</c:v>
                </c:pt>
                <c:pt idx="687">
                  <c:v>4.7300000000000004</c:v>
                </c:pt>
                <c:pt idx="688">
                  <c:v>4.7300000000000004</c:v>
                </c:pt>
                <c:pt idx="689">
                  <c:v>4.7300000000000004</c:v>
                </c:pt>
                <c:pt idx="690">
                  <c:v>4.7300000000000004</c:v>
                </c:pt>
                <c:pt idx="691">
                  <c:v>4.7300000000000004</c:v>
                </c:pt>
                <c:pt idx="692">
                  <c:v>4.74</c:v>
                </c:pt>
                <c:pt idx="693">
                  <c:v>4.74</c:v>
                </c:pt>
                <c:pt idx="694">
                  <c:v>4.74</c:v>
                </c:pt>
                <c:pt idx="695">
                  <c:v>4.74</c:v>
                </c:pt>
                <c:pt idx="696">
                  <c:v>4.74</c:v>
                </c:pt>
                <c:pt idx="697">
                  <c:v>4.75</c:v>
                </c:pt>
                <c:pt idx="698">
                  <c:v>4.75</c:v>
                </c:pt>
                <c:pt idx="699">
                  <c:v>4.75</c:v>
                </c:pt>
                <c:pt idx="700">
                  <c:v>4.75</c:v>
                </c:pt>
                <c:pt idx="701">
                  <c:v>4.75</c:v>
                </c:pt>
                <c:pt idx="702">
                  <c:v>4.76</c:v>
                </c:pt>
                <c:pt idx="703">
                  <c:v>4.76</c:v>
                </c:pt>
                <c:pt idx="704">
                  <c:v>4.76</c:v>
                </c:pt>
                <c:pt idx="705">
                  <c:v>4.76</c:v>
                </c:pt>
                <c:pt idx="706">
                  <c:v>4.76</c:v>
                </c:pt>
                <c:pt idx="707">
                  <c:v>4.7699999999999996</c:v>
                </c:pt>
                <c:pt idx="708">
                  <c:v>4.7699999999999996</c:v>
                </c:pt>
                <c:pt idx="709">
                  <c:v>4.7699999999999996</c:v>
                </c:pt>
                <c:pt idx="710">
                  <c:v>4.7699999999999996</c:v>
                </c:pt>
                <c:pt idx="711">
                  <c:v>4.78</c:v>
                </c:pt>
                <c:pt idx="712">
                  <c:v>4.78</c:v>
                </c:pt>
                <c:pt idx="713">
                  <c:v>4.78</c:v>
                </c:pt>
                <c:pt idx="714">
                  <c:v>4.78</c:v>
                </c:pt>
                <c:pt idx="715">
                  <c:v>4.78</c:v>
                </c:pt>
                <c:pt idx="716">
                  <c:v>4.79</c:v>
                </c:pt>
                <c:pt idx="717">
                  <c:v>4.79</c:v>
                </c:pt>
                <c:pt idx="718">
                  <c:v>4.79</c:v>
                </c:pt>
                <c:pt idx="719">
                  <c:v>4.79</c:v>
                </c:pt>
                <c:pt idx="720">
                  <c:v>4.79</c:v>
                </c:pt>
                <c:pt idx="721">
                  <c:v>4.8</c:v>
                </c:pt>
                <c:pt idx="722">
                  <c:v>4.8</c:v>
                </c:pt>
                <c:pt idx="723">
                  <c:v>4.8</c:v>
                </c:pt>
                <c:pt idx="724">
                  <c:v>4.8</c:v>
                </c:pt>
                <c:pt idx="725">
                  <c:v>4.8099999999999996</c:v>
                </c:pt>
                <c:pt idx="726">
                  <c:v>4.8099999999999996</c:v>
                </c:pt>
                <c:pt idx="727">
                  <c:v>4.8099999999999996</c:v>
                </c:pt>
                <c:pt idx="728">
                  <c:v>4.8099999999999996</c:v>
                </c:pt>
                <c:pt idx="729">
                  <c:v>4.82</c:v>
                </c:pt>
                <c:pt idx="730">
                  <c:v>4.82</c:v>
                </c:pt>
                <c:pt idx="731">
                  <c:v>4.82</c:v>
                </c:pt>
                <c:pt idx="732">
                  <c:v>4.82</c:v>
                </c:pt>
                <c:pt idx="733">
                  <c:v>4.82</c:v>
                </c:pt>
                <c:pt idx="734">
                  <c:v>4.83</c:v>
                </c:pt>
                <c:pt idx="735">
                  <c:v>4.83</c:v>
                </c:pt>
                <c:pt idx="736">
                  <c:v>4.83</c:v>
                </c:pt>
                <c:pt idx="737">
                  <c:v>4.83</c:v>
                </c:pt>
                <c:pt idx="738">
                  <c:v>4.84</c:v>
                </c:pt>
                <c:pt idx="739">
                  <c:v>4.84</c:v>
                </c:pt>
                <c:pt idx="740">
                  <c:v>4.84</c:v>
                </c:pt>
                <c:pt idx="741">
                  <c:v>4.84</c:v>
                </c:pt>
                <c:pt idx="742">
                  <c:v>4.8499999999999996</c:v>
                </c:pt>
                <c:pt idx="743">
                  <c:v>4.8499999999999996</c:v>
                </c:pt>
                <c:pt idx="744">
                  <c:v>4.8499999999999996</c:v>
                </c:pt>
                <c:pt idx="745">
                  <c:v>4.8499999999999996</c:v>
                </c:pt>
                <c:pt idx="746">
                  <c:v>4.8600000000000003</c:v>
                </c:pt>
                <c:pt idx="747">
                  <c:v>4.8600000000000003</c:v>
                </c:pt>
                <c:pt idx="748">
                  <c:v>4.8600000000000003</c:v>
                </c:pt>
                <c:pt idx="749">
                  <c:v>4.8600000000000003</c:v>
                </c:pt>
                <c:pt idx="750">
                  <c:v>4.87</c:v>
                </c:pt>
                <c:pt idx="751">
                  <c:v>4.87</c:v>
                </c:pt>
                <c:pt idx="752">
                  <c:v>4.87</c:v>
                </c:pt>
                <c:pt idx="753">
                  <c:v>4.87</c:v>
                </c:pt>
                <c:pt idx="754">
                  <c:v>4.88</c:v>
                </c:pt>
                <c:pt idx="755">
                  <c:v>4.88</c:v>
                </c:pt>
                <c:pt idx="756">
                  <c:v>4.88</c:v>
                </c:pt>
                <c:pt idx="757">
                  <c:v>4.88</c:v>
                </c:pt>
                <c:pt idx="758">
                  <c:v>4.8899999999999997</c:v>
                </c:pt>
                <c:pt idx="759">
                  <c:v>4.8899999999999997</c:v>
                </c:pt>
                <c:pt idx="760">
                  <c:v>4.8899999999999997</c:v>
                </c:pt>
                <c:pt idx="761">
                  <c:v>4.8899999999999997</c:v>
                </c:pt>
                <c:pt idx="762">
                  <c:v>4.9000000000000004</c:v>
                </c:pt>
                <c:pt idx="763">
                  <c:v>4.9000000000000004</c:v>
                </c:pt>
                <c:pt idx="764">
                  <c:v>4.9000000000000004</c:v>
                </c:pt>
                <c:pt idx="765">
                  <c:v>4.9000000000000004</c:v>
                </c:pt>
                <c:pt idx="766">
                  <c:v>4.91</c:v>
                </c:pt>
                <c:pt idx="767">
                  <c:v>4.91</c:v>
                </c:pt>
                <c:pt idx="768">
                  <c:v>4.91</c:v>
                </c:pt>
                <c:pt idx="769">
                  <c:v>4.92</c:v>
                </c:pt>
                <c:pt idx="770">
                  <c:v>4.92</c:v>
                </c:pt>
                <c:pt idx="771">
                  <c:v>4.92</c:v>
                </c:pt>
                <c:pt idx="772">
                  <c:v>4.92</c:v>
                </c:pt>
                <c:pt idx="773">
                  <c:v>4.93</c:v>
                </c:pt>
                <c:pt idx="774">
                  <c:v>4.93</c:v>
                </c:pt>
                <c:pt idx="775">
                  <c:v>4.93</c:v>
                </c:pt>
              </c:numCache>
            </c:numRef>
          </c:xVal>
          <c:yVal>
            <c:numRef>
              <c:f>'Comparison with LiquefyPro'!$C$5:$C$780</c:f>
              <c:numCache>
                <c:formatCode>General</c:formatCode>
                <c:ptCount val="776"/>
                <c:pt idx="0">
                  <c:v>-0.62</c:v>
                </c:pt>
                <c:pt idx="1">
                  <c:v>-0.64</c:v>
                </c:pt>
                <c:pt idx="2">
                  <c:v>-0.67</c:v>
                </c:pt>
                <c:pt idx="3">
                  <c:v>-0.69</c:v>
                </c:pt>
                <c:pt idx="4">
                  <c:v>-0.72</c:v>
                </c:pt>
                <c:pt idx="5">
                  <c:v>-0.74</c:v>
                </c:pt>
                <c:pt idx="6">
                  <c:v>-0.77</c:v>
                </c:pt>
                <c:pt idx="7">
                  <c:v>-0.79</c:v>
                </c:pt>
                <c:pt idx="8">
                  <c:v>-0.82</c:v>
                </c:pt>
                <c:pt idx="9">
                  <c:v>-0.84</c:v>
                </c:pt>
                <c:pt idx="10">
                  <c:v>-0.87</c:v>
                </c:pt>
                <c:pt idx="11">
                  <c:v>-0.89</c:v>
                </c:pt>
                <c:pt idx="12">
                  <c:v>-0.92</c:v>
                </c:pt>
                <c:pt idx="13">
                  <c:v>-0.94</c:v>
                </c:pt>
                <c:pt idx="14">
                  <c:v>-0.97</c:v>
                </c:pt>
                <c:pt idx="15">
                  <c:v>-0.99</c:v>
                </c:pt>
                <c:pt idx="16">
                  <c:v>-1.02</c:v>
                </c:pt>
                <c:pt idx="17">
                  <c:v>-1.04</c:v>
                </c:pt>
                <c:pt idx="18">
                  <c:v>-1.07</c:v>
                </c:pt>
                <c:pt idx="19">
                  <c:v>-1.0900000000000001</c:v>
                </c:pt>
                <c:pt idx="20">
                  <c:v>-1.1200000000000001</c:v>
                </c:pt>
                <c:pt idx="21">
                  <c:v>-1.1399999999999999</c:v>
                </c:pt>
                <c:pt idx="22">
                  <c:v>-1.17</c:v>
                </c:pt>
                <c:pt idx="23">
                  <c:v>-1.19</c:v>
                </c:pt>
                <c:pt idx="24">
                  <c:v>-1.22</c:v>
                </c:pt>
                <c:pt idx="25">
                  <c:v>-1.24</c:v>
                </c:pt>
                <c:pt idx="26">
                  <c:v>-1.27</c:v>
                </c:pt>
                <c:pt idx="27">
                  <c:v>-1.29</c:v>
                </c:pt>
                <c:pt idx="28">
                  <c:v>-1.32</c:v>
                </c:pt>
                <c:pt idx="29">
                  <c:v>-1.34</c:v>
                </c:pt>
                <c:pt idx="30">
                  <c:v>-1.37</c:v>
                </c:pt>
                <c:pt idx="31">
                  <c:v>-1.39</c:v>
                </c:pt>
                <c:pt idx="32">
                  <c:v>-1.42</c:v>
                </c:pt>
                <c:pt idx="33">
                  <c:v>-1.44</c:v>
                </c:pt>
                <c:pt idx="34">
                  <c:v>-1.47</c:v>
                </c:pt>
                <c:pt idx="35">
                  <c:v>-1.49</c:v>
                </c:pt>
                <c:pt idx="36">
                  <c:v>-1.52</c:v>
                </c:pt>
                <c:pt idx="37">
                  <c:v>-1.54</c:v>
                </c:pt>
                <c:pt idx="38">
                  <c:v>-1.57</c:v>
                </c:pt>
                <c:pt idx="39">
                  <c:v>-1.59</c:v>
                </c:pt>
                <c:pt idx="40">
                  <c:v>-1.62</c:v>
                </c:pt>
                <c:pt idx="41">
                  <c:v>-1.64</c:v>
                </c:pt>
                <c:pt idx="42">
                  <c:v>-1.67</c:v>
                </c:pt>
                <c:pt idx="43">
                  <c:v>-1.69</c:v>
                </c:pt>
                <c:pt idx="44">
                  <c:v>-1.72</c:v>
                </c:pt>
                <c:pt idx="45">
                  <c:v>-1.74</c:v>
                </c:pt>
                <c:pt idx="46">
                  <c:v>-1.77</c:v>
                </c:pt>
                <c:pt idx="47">
                  <c:v>-1.79</c:v>
                </c:pt>
                <c:pt idx="48">
                  <c:v>-1.82</c:v>
                </c:pt>
                <c:pt idx="49">
                  <c:v>-1.84</c:v>
                </c:pt>
                <c:pt idx="50">
                  <c:v>-1.87</c:v>
                </c:pt>
                <c:pt idx="51">
                  <c:v>-1.89</c:v>
                </c:pt>
                <c:pt idx="52">
                  <c:v>-1.92</c:v>
                </c:pt>
                <c:pt idx="53">
                  <c:v>-1.94</c:v>
                </c:pt>
                <c:pt idx="54">
                  <c:v>-1.97</c:v>
                </c:pt>
                <c:pt idx="55">
                  <c:v>-1.99</c:v>
                </c:pt>
                <c:pt idx="56">
                  <c:v>-2.02</c:v>
                </c:pt>
                <c:pt idx="57">
                  <c:v>-2.04</c:v>
                </c:pt>
                <c:pt idx="58">
                  <c:v>-2.0699999999999998</c:v>
                </c:pt>
                <c:pt idx="59">
                  <c:v>-2.09</c:v>
                </c:pt>
                <c:pt idx="60">
                  <c:v>-2.12</c:v>
                </c:pt>
                <c:pt idx="61">
                  <c:v>-2.14</c:v>
                </c:pt>
                <c:pt idx="62">
                  <c:v>-2.17</c:v>
                </c:pt>
                <c:pt idx="63">
                  <c:v>-2.19</c:v>
                </c:pt>
                <c:pt idx="64">
                  <c:v>-2.2200000000000002</c:v>
                </c:pt>
                <c:pt idx="65">
                  <c:v>-2.2400000000000002</c:v>
                </c:pt>
                <c:pt idx="66">
                  <c:v>-2.27</c:v>
                </c:pt>
                <c:pt idx="67">
                  <c:v>-2.29</c:v>
                </c:pt>
                <c:pt idx="68">
                  <c:v>-2.3199999999999998</c:v>
                </c:pt>
                <c:pt idx="69">
                  <c:v>-2.35</c:v>
                </c:pt>
                <c:pt idx="70">
                  <c:v>-2.37</c:v>
                </c:pt>
                <c:pt idx="71">
                  <c:v>-2.4</c:v>
                </c:pt>
                <c:pt idx="72">
                  <c:v>-2.42</c:v>
                </c:pt>
                <c:pt idx="73">
                  <c:v>-2.4500000000000002</c:v>
                </c:pt>
                <c:pt idx="74">
                  <c:v>-2.4700000000000002</c:v>
                </c:pt>
                <c:pt idx="75">
                  <c:v>-2.5</c:v>
                </c:pt>
                <c:pt idx="76">
                  <c:v>-2.52</c:v>
                </c:pt>
                <c:pt idx="77">
                  <c:v>-2.5499999999999998</c:v>
                </c:pt>
                <c:pt idx="78">
                  <c:v>-2.57</c:v>
                </c:pt>
                <c:pt idx="79">
                  <c:v>-2.6</c:v>
                </c:pt>
                <c:pt idx="80">
                  <c:v>-2.62</c:v>
                </c:pt>
                <c:pt idx="81">
                  <c:v>-2.65</c:v>
                </c:pt>
                <c:pt idx="82">
                  <c:v>-2.67</c:v>
                </c:pt>
                <c:pt idx="83">
                  <c:v>-2.7</c:v>
                </c:pt>
                <c:pt idx="84">
                  <c:v>-2.72</c:v>
                </c:pt>
                <c:pt idx="85">
                  <c:v>-2.75</c:v>
                </c:pt>
                <c:pt idx="86">
                  <c:v>-2.77</c:v>
                </c:pt>
                <c:pt idx="87">
                  <c:v>-2.8</c:v>
                </c:pt>
                <c:pt idx="88">
                  <c:v>-2.82</c:v>
                </c:pt>
                <c:pt idx="89">
                  <c:v>-2.85</c:v>
                </c:pt>
                <c:pt idx="90">
                  <c:v>-2.87</c:v>
                </c:pt>
                <c:pt idx="91">
                  <c:v>-2.9</c:v>
                </c:pt>
                <c:pt idx="92">
                  <c:v>-2.92</c:v>
                </c:pt>
                <c:pt idx="93">
                  <c:v>-2.95</c:v>
                </c:pt>
                <c:pt idx="94">
                  <c:v>-2.97</c:v>
                </c:pt>
                <c:pt idx="95">
                  <c:v>-3</c:v>
                </c:pt>
                <c:pt idx="96">
                  <c:v>-3.02</c:v>
                </c:pt>
                <c:pt idx="97">
                  <c:v>-3.05</c:v>
                </c:pt>
                <c:pt idx="98">
                  <c:v>-3.07</c:v>
                </c:pt>
                <c:pt idx="99">
                  <c:v>-3.1</c:v>
                </c:pt>
                <c:pt idx="100">
                  <c:v>-3.12</c:v>
                </c:pt>
                <c:pt idx="101">
                  <c:v>-3.15</c:v>
                </c:pt>
                <c:pt idx="102">
                  <c:v>-3.17</c:v>
                </c:pt>
                <c:pt idx="103">
                  <c:v>-3.2</c:v>
                </c:pt>
                <c:pt idx="104">
                  <c:v>-3.22</c:v>
                </c:pt>
                <c:pt idx="105">
                  <c:v>-3.25</c:v>
                </c:pt>
                <c:pt idx="106">
                  <c:v>-3.27</c:v>
                </c:pt>
                <c:pt idx="107">
                  <c:v>-3.3</c:v>
                </c:pt>
                <c:pt idx="108">
                  <c:v>-3.32</c:v>
                </c:pt>
                <c:pt idx="109">
                  <c:v>-3.35</c:v>
                </c:pt>
                <c:pt idx="110">
                  <c:v>-3.37</c:v>
                </c:pt>
                <c:pt idx="111">
                  <c:v>-3.4</c:v>
                </c:pt>
                <c:pt idx="112">
                  <c:v>-3.42</c:v>
                </c:pt>
                <c:pt idx="113">
                  <c:v>-3.45</c:v>
                </c:pt>
                <c:pt idx="114">
                  <c:v>-3.47</c:v>
                </c:pt>
                <c:pt idx="115">
                  <c:v>-3.5</c:v>
                </c:pt>
                <c:pt idx="116">
                  <c:v>-3.52</c:v>
                </c:pt>
                <c:pt idx="117">
                  <c:v>-3.55</c:v>
                </c:pt>
                <c:pt idx="118">
                  <c:v>-3.57</c:v>
                </c:pt>
                <c:pt idx="119">
                  <c:v>-3.6</c:v>
                </c:pt>
                <c:pt idx="120">
                  <c:v>-3.62</c:v>
                </c:pt>
                <c:pt idx="121">
                  <c:v>-3.65</c:v>
                </c:pt>
                <c:pt idx="122">
                  <c:v>-3.67</c:v>
                </c:pt>
                <c:pt idx="123">
                  <c:v>-3.7</c:v>
                </c:pt>
                <c:pt idx="124">
                  <c:v>-3.72</c:v>
                </c:pt>
                <c:pt idx="125">
                  <c:v>-3.75</c:v>
                </c:pt>
                <c:pt idx="126">
                  <c:v>-3.77</c:v>
                </c:pt>
                <c:pt idx="127">
                  <c:v>-3.8</c:v>
                </c:pt>
                <c:pt idx="128">
                  <c:v>-3.82</c:v>
                </c:pt>
                <c:pt idx="129">
                  <c:v>-3.85</c:v>
                </c:pt>
                <c:pt idx="130">
                  <c:v>-3.87</c:v>
                </c:pt>
                <c:pt idx="131">
                  <c:v>-3.9</c:v>
                </c:pt>
                <c:pt idx="132">
                  <c:v>-3.92</c:v>
                </c:pt>
                <c:pt idx="133">
                  <c:v>-3.95</c:v>
                </c:pt>
                <c:pt idx="134">
                  <c:v>-3.97</c:v>
                </c:pt>
                <c:pt idx="135">
                  <c:v>-4</c:v>
                </c:pt>
                <c:pt idx="136">
                  <c:v>-4.0199999999999996</c:v>
                </c:pt>
                <c:pt idx="137">
                  <c:v>-4.05</c:v>
                </c:pt>
                <c:pt idx="138">
                  <c:v>-4.07</c:v>
                </c:pt>
                <c:pt idx="139">
                  <c:v>-4.0999999999999996</c:v>
                </c:pt>
                <c:pt idx="140">
                  <c:v>-4.12</c:v>
                </c:pt>
                <c:pt idx="141">
                  <c:v>-4.1500000000000004</c:v>
                </c:pt>
                <c:pt idx="142">
                  <c:v>-4.17</c:v>
                </c:pt>
                <c:pt idx="143">
                  <c:v>-4.2</c:v>
                </c:pt>
                <c:pt idx="144">
                  <c:v>-4.22</c:v>
                </c:pt>
                <c:pt idx="145">
                  <c:v>-4.25</c:v>
                </c:pt>
                <c:pt idx="146">
                  <c:v>-4.2699999999999996</c:v>
                </c:pt>
                <c:pt idx="147">
                  <c:v>-4.3</c:v>
                </c:pt>
                <c:pt idx="148">
                  <c:v>-4.32</c:v>
                </c:pt>
                <c:pt idx="149">
                  <c:v>-4.3499999999999996</c:v>
                </c:pt>
                <c:pt idx="150">
                  <c:v>-4.37</c:v>
                </c:pt>
                <c:pt idx="151">
                  <c:v>-4.4000000000000004</c:v>
                </c:pt>
                <c:pt idx="152">
                  <c:v>-4.42</c:v>
                </c:pt>
                <c:pt idx="153">
                  <c:v>-4.45</c:v>
                </c:pt>
                <c:pt idx="154">
                  <c:v>-4.47</c:v>
                </c:pt>
                <c:pt idx="155">
                  <c:v>-4.5</c:v>
                </c:pt>
                <c:pt idx="156">
                  <c:v>-4.5199999999999996</c:v>
                </c:pt>
                <c:pt idx="157">
                  <c:v>-4.55</c:v>
                </c:pt>
                <c:pt idx="158">
                  <c:v>-4.57</c:v>
                </c:pt>
                <c:pt idx="159">
                  <c:v>-4.5999999999999996</c:v>
                </c:pt>
                <c:pt idx="160">
                  <c:v>-4.62</c:v>
                </c:pt>
                <c:pt idx="161">
                  <c:v>-4.6500000000000004</c:v>
                </c:pt>
                <c:pt idx="162">
                  <c:v>-4.67</c:v>
                </c:pt>
                <c:pt idx="163">
                  <c:v>-4.7</c:v>
                </c:pt>
                <c:pt idx="164">
                  <c:v>-4.72</c:v>
                </c:pt>
                <c:pt idx="165">
                  <c:v>-4.75</c:v>
                </c:pt>
                <c:pt idx="166">
                  <c:v>-4.7699999999999996</c:v>
                </c:pt>
                <c:pt idx="167">
                  <c:v>-4.8</c:v>
                </c:pt>
                <c:pt idx="168">
                  <c:v>-4.82</c:v>
                </c:pt>
                <c:pt idx="169">
                  <c:v>-4.8499999999999996</c:v>
                </c:pt>
                <c:pt idx="170">
                  <c:v>-4.87</c:v>
                </c:pt>
                <c:pt idx="171">
                  <c:v>-4.9000000000000004</c:v>
                </c:pt>
                <c:pt idx="172">
                  <c:v>-4.92</c:v>
                </c:pt>
                <c:pt idx="173">
                  <c:v>-4.95</c:v>
                </c:pt>
                <c:pt idx="174">
                  <c:v>-4.97</c:v>
                </c:pt>
                <c:pt idx="175">
                  <c:v>-5</c:v>
                </c:pt>
                <c:pt idx="176">
                  <c:v>-5.0199999999999996</c:v>
                </c:pt>
                <c:pt idx="177">
                  <c:v>-5.05</c:v>
                </c:pt>
                <c:pt idx="178">
                  <c:v>-5.07</c:v>
                </c:pt>
                <c:pt idx="179">
                  <c:v>-5.0999999999999996</c:v>
                </c:pt>
                <c:pt idx="180">
                  <c:v>-5.12</c:v>
                </c:pt>
                <c:pt idx="181">
                  <c:v>-5.15</c:v>
                </c:pt>
                <c:pt idx="182">
                  <c:v>-5.17</c:v>
                </c:pt>
                <c:pt idx="183">
                  <c:v>-5.2</c:v>
                </c:pt>
                <c:pt idx="184">
                  <c:v>-5.22</c:v>
                </c:pt>
                <c:pt idx="185">
                  <c:v>-5.25</c:v>
                </c:pt>
                <c:pt idx="186">
                  <c:v>-5.27</c:v>
                </c:pt>
                <c:pt idx="187">
                  <c:v>-5.3</c:v>
                </c:pt>
                <c:pt idx="188">
                  <c:v>-5.32</c:v>
                </c:pt>
                <c:pt idx="189">
                  <c:v>-5.35</c:v>
                </c:pt>
                <c:pt idx="190">
                  <c:v>-5.37</c:v>
                </c:pt>
                <c:pt idx="191">
                  <c:v>-5.4</c:v>
                </c:pt>
                <c:pt idx="192">
                  <c:v>-5.42</c:v>
                </c:pt>
                <c:pt idx="193">
                  <c:v>-5.45</c:v>
                </c:pt>
                <c:pt idx="194">
                  <c:v>-5.47</c:v>
                </c:pt>
                <c:pt idx="195">
                  <c:v>-5.5</c:v>
                </c:pt>
                <c:pt idx="196">
                  <c:v>-5.52</c:v>
                </c:pt>
                <c:pt idx="197">
                  <c:v>-5.55</c:v>
                </c:pt>
                <c:pt idx="198">
                  <c:v>-5.57</c:v>
                </c:pt>
                <c:pt idx="199">
                  <c:v>-5.6</c:v>
                </c:pt>
                <c:pt idx="200">
                  <c:v>-5.62</c:v>
                </c:pt>
                <c:pt idx="201">
                  <c:v>-5.65</c:v>
                </c:pt>
                <c:pt idx="202">
                  <c:v>-5.67</c:v>
                </c:pt>
                <c:pt idx="203">
                  <c:v>-5.7</c:v>
                </c:pt>
                <c:pt idx="204">
                  <c:v>-5.72</c:v>
                </c:pt>
                <c:pt idx="205">
                  <c:v>-5.75</c:v>
                </c:pt>
                <c:pt idx="206">
                  <c:v>-5.77</c:v>
                </c:pt>
                <c:pt idx="207">
                  <c:v>-5.8</c:v>
                </c:pt>
                <c:pt idx="208">
                  <c:v>-5.82</c:v>
                </c:pt>
                <c:pt idx="209">
                  <c:v>-5.85</c:v>
                </c:pt>
                <c:pt idx="210">
                  <c:v>-5.87</c:v>
                </c:pt>
                <c:pt idx="211">
                  <c:v>-5.9</c:v>
                </c:pt>
                <c:pt idx="212">
                  <c:v>-5.92</c:v>
                </c:pt>
                <c:pt idx="213">
                  <c:v>-5.95</c:v>
                </c:pt>
                <c:pt idx="214">
                  <c:v>-5.97</c:v>
                </c:pt>
                <c:pt idx="215">
                  <c:v>-6</c:v>
                </c:pt>
                <c:pt idx="216">
                  <c:v>-6.02</c:v>
                </c:pt>
                <c:pt idx="217">
                  <c:v>-6.05</c:v>
                </c:pt>
                <c:pt idx="218">
                  <c:v>-6.07</c:v>
                </c:pt>
                <c:pt idx="219">
                  <c:v>-6.1</c:v>
                </c:pt>
                <c:pt idx="220">
                  <c:v>-6.12</c:v>
                </c:pt>
                <c:pt idx="221">
                  <c:v>-6.15</c:v>
                </c:pt>
                <c:pt idx="222">
                  <c:v>-6.17</c:v>
                </c:pt>
                <c:pt idx="223">
                  <c:v>-6.2</c:v>
                </c:pt>
                <c:pt idx="224">
                  <c:v>-6.22</c:v>
                </c:pt>
                <c:pt idx="225">
                  <c:v>-6.25</c:v>
                </c:pt>
                <c:pt idx="226">
                  <c:v>-6.27</c:v>
                </c:pt>
                <c:pt idx="227">
                  <c:v>-6.3</c:v>
                </c:pt>
                <c:pt idx="228">
                  <c:v>-6.32</c:v>
                </c:pt>
                <c:pt idx="229">
                  <c:v>-6.35</c:v>
                </c:pt>
                <c:pt idx="230">
                  <c:v>-6.37</c:v>
                </c:pt>
                <c:pt idx="231">
                  <c:v>-6.4</c:v>
                </c:pt>
                <c:pt idx="232">
                  <c:v>-6.42</c:v>
                </c:pt>
                <c:pt idx="233">
                  <c:v>-6.45</c:v>
                </c:pt>
                <c:pt idx="234">
                  <c:v>-6.47</c:v>
                </c:pt>
                <c:pt idx="235">
                  <c:v>-6.5</c:v>
                </c:pt>
                <c:pt idx="236">
                  <c:v>-6.52</c:v>
                </c:pt>
                <c:pt idx="237">
                  <c:v>-6.55</c:v>
                </c:pt>
                <c:pt idx="238">
                  <c:v>-6.57</c:v>
                </c:pt>
                <c:pt idx="239">
                  <c:v>-6.6</c:v>
                </c:pt>
                <c:pt idx="240">
                  <c:v>-6.62</c:v>
                </c:pt>
                <c:pt idx="241">
                  <c:v>-6.65</c:v>
                </c:pt>
                <c:pt idx="242">
                  <c:v>-6.67</c:v>
                </c:pt>
                <c:pt idx="243">
                  <c:v>-6.7</c:v>
                </c:pt>
                <c:pt idx="244">
                  <c:v>-6.72</c:v>
                </c:pt>
                <c:pt idx="245">
                  <c:v>-6.75</c:v>
                </c:pt>
                <c:pt idx="246">
                  <c:v>-6.77</c:v>
                </c:pt>
                <c:pt idx="247">
                  <c:v>-6.8</c:v>
                </c:pt>
                <c:pt idx="248">
                  <c:v>-6.82</c:v>
                </c:pt>
                <c:pt idx="249">
                  <c:v>-6.85</c:v>
                </c:pt>
                <c:pt idx="250">
                  <c:v>-6.87</c:v>
                </c:pt>
                <c:pt idx="251">
                  <c:v>-6.9</c:v>
                </c:pt>
                <c:pt idx="252">
                  <c:v>-6.92</c:v>
                </c:pt>
                <c:pt idx="253">
                  <c:v>-6.95</c:v>
                </c:pt>
                <c:pt idx="254">
                  <c:v>-6.97</c:v>
                </c:pt>
                <c:pt idx="255">
                  <c:v>-7</c:v>
                </c:pt>
                <c:pt idx="256">
                  <c:v>-7.02</c:v>
                </c:pt>
                <c:pt idx="257">
                  <c:v>-7.05</c:v>
                </c:pt>
                <c:pt idx="258">
                  <c:v>-7.07</c:v>
                </c:pt>
                <c:pt idx="259">
                  <c:v>-7.1</c:v>
                </c:pt>
                <c:pt idx="260">
                  <c:v>-7.12</c:v>
                </c:pt>
                <c:pt idx="261">
                  <c:v>-7.15</c:v>
                </c:pt>
                <c:pt idx="262">
                  <c:v>-7.17</c:v>
                </c:pt>
                <c:pt idx="263">
                  <c:v>-7.2</c:v>
                </c:pt>
                <c:pt idx="264">
                  <c:v>-7.22</c:v>
                </c:pt>
                <c:pt idx="265">
                  <c:v>-7.25</c:v>
                </c:pt>
                <c:pt idx="266">
                  <c:v>-7.27</c:v>
                </c:pt>
                <c:pt idx="267">
                  <c:v>-7.3</c:v>
                </c:pt>
                <c:pt idx="268">
                  <c:v>-7.32</c:v>
                </c:pt>
                <c:pt idx="269">
                  <c:v>-7.35</c:v>
                </c:pt>
                <c:pt idx="270">
                  <c:v>-7.37</c:v>
                </c:pt>
                <c:pt idx="271">
                  <c:v>-7.4</c:v>
                </c:pt>
                <c:pt idx="272">
                  <c:v>-7.42</c:v>
                </c:pt>
                <c:pt idx="273">
                  <c:v>-7.45</c:v>
                </c:pt>
                <c:pt idx="274">
                  <c:v>-7.47</c:v>
                </c:pt>
                <c:pt idx="275">
                  <c:v>-7.5</c:v>
                </c:pt>
                <c:pt idx="276">
                  <c:v>-7.52</c:v>
                </c:pt>
                <c:pt idx="277">
                  <c:v>-7.55</c:v>
                </c:pt>
                <c:pt idx="278">
                  <c:v>-7.57</c:v>
                </c:pt>
                <c:pt idx="279">
                  <c:v>-7.6</c:v>
                </c:pt>
                <c:pt idx="280">
                  <c:v>-7.62</c:v>
                </c:pt>
                <c:pt idx="281">
                  <c:v>-7.65</c:v>
                </c:pt>
                <c:pt idx="282">
                  <c:v>-7.67</c:v>
                </c:pt>
                <c:pt idx="283">
                  <c:v>-7.7</c:v>
                </c:pt>
                <c:pt idx="284">
                  <c:v>-7.72</c:v>
                </c:pt>
                <c:pt idx="285">
                  <c:v>-7.75</c:v>
                </c:pt>
                <c:pt idx="286">
                  <c:v>-7.77</c:v>
                </c:pt>
                <c:pt idx="287">
                  <c:v>-7.8</c:v>
                </c:pt>
                <c:pt idx="288">
                  <c:v>-7.82</c:v>
                </c:pt>
                <c:pt idx="289">
                  <c:v>-7.85</c:v>
                </c:pt>
                <c:pt idx="290">
                  <c:v>-7.87</c:v>
                </c:pt>
                <c:pt idx="291">
                  <c:v>-7.9</c:v>
                </c:pt>
                <c:pt idx="292">
                  <c:v>-7.92</c:v>
                </c:pt>
                <c:pt idx="293">
                  <c:v>-7.95</c:v>
                </c:pt>
                <c:pt idx="294">
                  <c:v>-7.97</c:v>
                </c:pt>
                <c:pt idx="295">
                  <c:v>-8</c:v>
                </c:pt>
                <c:pt idx="296">
                  <c:v>-8.02</c:v>
                </c:pt>
                <c:pt idx="297">
                  <c:v>-8.0500000000000007</c:v>
                </c:pt>
                <c:pt idx="298">
                  <c:v>-8.07</c:v>
                </c:pt>
                <c:pt idx="299">
                  <c:v>-8.1</c:v>
                </c:pt>
                <c:pt idx="300">
                  <c:v>-8.1199999999999992</c:v>
                </c:pt>
                <c:pt idx="301">
                  <c:v>-8.15</c:v>
                </c:pt>
                <c:pt idx="302">
                  <c:v>-8.17</c:v>
                </c:pt>
                <c:pt idx="303">
                  <c:v>-8.1999999999999993</c:v>
                </c:pt>
                <c:pt idx="304">
                  <c:v>-8.2200000000000006</c:v>
                </c:pt>
                <c:pt idx="305">
                  <c:v>-8.25</c:v>
                </c:pt>
                <c:pt idx="306">
                  <c:v>-8.27</c:v>
                </c:pt>
                <c:pt idx="307">
                  <c:v>-8.3000000000000007</c:v>
                </c:pt>
                <c:pt idx="308">
                  <c:v>-8.32</c:v>
                </c:pt>
                <c:pt idx="309">
                  <c:v>-8.35</c:v>
                </c:pt>
                <c:pt idx="310">
                  <c:v>-8.3699999999999992</c:v>
                </c:pt>
                <c:pt idx="311">
                  <c:v>-8.4</c:v>
                </c:pt>
                <c:pt idx="312">
                  <c:v>-8.42</c:v>
                </c:pt>
                <c:pt idx="313">
                  <c:v>-8.4499999999999993</c:v>
                </c:pt>
                <c:pt idx="314">
                  <c:v>-8.4700000000000006</c:v>
                </c:pt>
                <c:pt idx="315">
                  <c:v>-8.5</c:v>
                </c:pt>
                <c:pt idx="316">
                  <c:v>-8.52</c:v>
                </c:pt>
                <c:pt idx="317">
                  <c:v>-8.5500000000000007</c:v>
                </c:pt>
                <c:pt idx="318">
                  <c:v>-8.57</c:v>
                </c:pt>
                <c:pt idx="319">
                  <c:v>-8.6</c:v>
                </c:pt>
                <c:pt idx="320">
                  <c:v>-8.6199999999999992</c:v>
                </c:pt>
                <c:pt idx="321">
                  <c:v>-8.65</c:v>
                </c:pt>
                <c:pt idx="322">
                  <c:v>-8.67</c:v>
                </c:pt>
                <c:pt idx="323">
                  <c:v>-8.6999999999999993</c:v>
                </c:pt>
                <c:pt idx="324">
                  <c:v>-8.7200000000000006</c:v>
                </c:pt>
                <c:pt idx="325">
                  <c:v>-8.75</c:v>
                </c:pt>
                <c:pt idx="326">
                  <c:v>-8.77</c:v>
                </c:pt>
                <c:pt idx="327">
                  <c:v>-8.8000000000000007</c:v>
                </c:pt>
                <c:pt idx="328">
                  <c:v>-8.82</c:v>
                </c:pt>
                <c:pt idx="329">
                  <c:v>-8.85</c:v>
                </c:pt>
                <c:pt idx="330">
                  <c:v>-8.8699999999999992</c:v>
                </c:pt>
                <c:pt idx="331">
                  <c:v>-8.9</c:v>
                </c:pt>
                <c:pt idx="332">
                  <c:v>-8.92</c:v>
                </c:pt>
                <c:pt idx="333">
                  <c:v>-8.9499999999999993</c:v>
                </c:pt>
                <c:pt idx="334">
                  <c:v>-8.9700000000000006</c:v>
                </c:pt>
                <c:pt idx="335">
                  <c:v>-9</c:v>
                </c:pt>
                <c:pt idx="336">
                  <c:v>-9.02</c:v>
                </c:pt>
                <c:pt idx="337">
                  <c:v>-9.0500000000000007</c:v>
                </c:pt>
                <c:pt idx="338">
                  <c:v>-9.07</c:v>
                </c:pt>
                <c:pt idx="339">
                  <c:v>-9.1</c:v>
                </c:pt>
                <c:pt idx="340">
                  <c:v>-9.1199999999999992</c:v>
                </c:pt>
                <c:pt idx="341">
                  <c:v>-9.15</c:v>
                </c:pt>
                <c:pt idx="342">
                  <c:v>-9.17</c:v>
                </c:pt>
                <c:pt idx="343">
                  <c:v>-9.1999999999999993</c:v>
                </c:pt>
                <c:pt idx="344">
                  <c:v>-9.2200000000000006</c:v>
                </c:pt>
                <c:pt idx="345">
                  <c:v>-9.25</c:v>
                </c:pt>
                <c:pt idx="346">
                  <c:v>-9.27</c:v>
                </c:pt>
                <c:pt idx="347">
                  <c:v>-9.3000000000000007</c:v>
                </c:pt>
                <c:pt idx="348">
                  <c:v>-9.32</c:v>
                </c:pt>
                <c:pt idx="349">
                  <c:v>-9.35</c:v>
                </c:pt>
                <c:pt idx="350">
                  <c:v>-9.3699999999999992</c:v>
                </c:pt>
                <c:pt idx="351">
                  <c:v>-9.4</c:v>
                </c:pt>
                <c:pt idx="352">
                  <c:v>-9.42</c:v>
                </c:pt>
                <c:pt idx="353">
                  <c:v>-9.44</c:v>
                </c:pt>
                <c:pt idx="354">
                  <c:v>-9.4700000000000006</c:v>
                </c:pt>
                <c:pt idx="355">
                  <c:v>-9.49</c:v>
                </c:pt>
                <c:pt idx="356">
                  <c:v>-9.52</c:v>
                </c:pt>
                <c:pt idx="357">
                  <c:v>-9.5399999999999991</c:v>
                </c:pt>
                <c:pt idx="358">
                  <c:v>-9.57</c:v>
                </c:pt>
                <c:pt idx="359">
                  <c:v>-9.59</c:v>
                </c:pt>
                <c:pt idx="360">
                  <c:v>-9.6199999999999992</c:v>
                </c:pt>
                <c:pt idx="361">
                  <c:v>-9.64</c:v>
                </c:pt>
                <c:pt idx="362">
                  <c:v>-9.67</c:v>
                </c:pt>
                <c:pt idx="363">
                  <c:v>-9.69</c:v>
                </c:pt>
                <c:pt idx="364">
                  <c:v>-9.7200000000000006</c:v>
                </c:pt>
                <c:pt idx="365">
                  <c:v>-9.74</c:v>
                </c:pt>
                <c:pt idx="366">
                  <c:v>-9.77</c:v>
                </c:pt>
                <c:pt idx="367">
                  <c:v>-9.7899999999999991</c:v>
                </c:pt>
                <c:pt idx="368">
                  <c:v>-9.82</c:v>
                </c:pt>
                <c:pt idx="369">
                  <c:v>-9.84</c:v>
                </c:pt>
                <c:pt idx="370">
                  <c:v>-9.8699999999999992</c:v>
                </c:pt>
                <c:pt idx="371">
                  <c:v>-9.89</c:v>
                </c:pt>
                <c:pt idx="372">
                  <c:v>-9.92</c:v>
                </c:pt>
                <c:pt idx="373">
                  <c:v>-9.94</c:v>
                </c:pt>
                <c:pt idx="374">
                  <c:v>-9.9700000000000006</c:v>
                </c:pt>
                <c:pt idx="375">
                  <c:v>-9.99</c:v>
                </c:pt>
                <c:pt idx="376">
                  <c:v>-10.02</c:v>
                </c:pt>
                <c:pt idx="377">
                  <c:v>-10.039999999999999</c:v>
                </c:pt>
                <c:pt idx="378">
                  <c:v>-10.07</c:v>
                </c:pt>
                <c:pt idx="379">
                  <c:v>-10.09</c:v>
                </c:pt>
                <c:pt idx="380">
                  <c:v>-10.119999999999999</c:v>
                </c:pt>
                <c:pt idx="381">
                  <c:v>-10.14</c:v>
                </c:pt>
                <c:pt idx="382">
                  <c:v>-10.17</c:v>
                </c:pt>
                <c:pt idx="383">
                  <c:v>-10.19</c:v>
                </c:pt>
                <c:pt idx="384">
                  <c:v>-10.220000000000001</c:v>
                </c:pt>
                <c:pt idx="385">
                  <c:v>-10.24</c:v>
                </c:pt>
                <c:pt idx="386">
                  <c:v>-10.27</c:v>
                </c:pt>
                <c:pt idx="387">
                  <c:v>-10.29</c:v>
                </c:pt>
                <c:pt idx="388">
                  <c:v>-10.32</c:v>
                </c:pt>
                <c:pt idx="389">
                  <c:v>-10.34</c:v>
                </c:pt>
                <c:pt idx="390">
                  <c:v>-10.37</c:v>
                </c:pt>
                <c:pt idx="391">
                  <c:v>-10.39</c:v>
                </c:pt>
                <c:pt idx="392">
                  <c:v>-10.42</c:v>
                </c:pt>
                <c:pt idx="393">
                  <c:v>-10.44</c:v>
                </c:pt>
                <c:pt idx="394">
                  <c:v>-10.47</c:v>
                </c:pt>
                <c:pt idx="395">
                  <c:v>-10.49</c:v>
                </c:pt>
                <c:pt idx="396">
                  <c:v>-10.52</c:v>
                </c:pt>
                <c:pt idx="397">
                  <c:v>-10.54</c:v>
                </c:pt>
                <c:pt idx="398">
                  <c:v>-10.57</c:v>
                </c:pt>
                <c:pt idx="399">
                  <c:v>-10.59</c:v>
                </c:pt>
                <c:pt idx="400">
                  <c:v>-10.62</c:v>
                </c:pt>
                <c:pt idx="401">
                  <c:v>-10.64</c:v>
                </c:pt>
                <c:pt idx="402">
                  <c:v>-10.67</c:v>
                </c:pt>
                <c:pt idx="403">
                  <c:v>-10.69</c:v>
                </c:pt>
                <c:pt idx="404">
                  <c:v>-10.72</c:v>
                </c:pt>
                <c:pt idx="405">
                  <c:v>-10.74</c:v>
                </c:pt>
                <c:pt idx="406">
                  <c:v>-10.77</c:v>
                </c:pt>
                <c:pt idx="407">
                  <c:v>-10.79</c:v>
                </c:pt>
                <c:pt idx="408">
                  <c:v>-10.82</c:v>
                </c:pt>
                <c:pt idx="409">
                  <c:v>-10.84</c:v>
                </c:pt>
                <c:pt idx="410">
                  <c:v>-10.87</c:v>
                </c:pt>
                <c:pt idx="411">
                  <c:v>-10.89</c:v>
                </c:pt>
                <c:pt idx="412">
                  <c:v>-10.92</c:v>
                </c:pt>
                <c:pt idx="413">
                  <c:v>-10.94</c:v>
                </c:pt>
                <c:pt idx="414">
                  <c:v>-10.97</c:v>
                </c:pt>
                <c:pt idx="415">
                  <c:v>-10.99</c:v>
                </c:pt>
                <c:pt idx="416">
                  <c:v>-11.02</c:v>
                </c:pt>
                <c:pt idx="417">
                  <c:v>-11.04</c:v>
                </c:pt>
                <c:pt idx="418">
                  <c:v>-11.07</c:v>
                </c:pt>
                <c:pt idx="419">
                  <c:v>-11.09</c:v>
                </c:pt>
                <c:pt idx="420">
                  <c:v>-11.12</c:v>
                </c:pt>
                <c:pt idx="421">
                  <c:v>-11.14</c:v>
                </c:pt>
                <c:pt idx="422">
                  <c:v>-11.17</c:v>
                </c:pt>
                <c:pt idx="423">
                  <c:v>-11.19</c:v>
                </c:pt>
                <c:pt idx="424">
                  <c:v>-11.22</c:v>
                </c:pt>
                <c:pt idx="425">
                  <c:v>-11.24</c:v>
                </c:pt>
                <c:pt idx="426">
                  <c:v>-11.27</c:v>
                </c:pt>
                <c:pt idx="427">
                  <c:v>-11.29</c:v>
                </c:pt>
                <c:pt idx="428">
                  <c:v>-11.32</c:v>
                </c:pt>
                <c:pt idx="429">
                  <c:v>-11.34</c:v>
                </c:pt>
                <c:pt idx="430">
                  <c:v>-11.37</c:v>
                </c:pt>
                <c:pt idx="431">
                  <c:v>-11.39</c:v>
                </c:pt>
                <c:pt idx="432">
                  <c:v>-11.42</c:v>
                </c:pt>
                <c:pt idx="433">
                  <c:v>-11.44</c:v>
                </c:pt>
                <c:pt idx="434">
                  <c:v>-11.47</c:v>
                </c:pt>
                <c:pt idx="435">
                  <c:v>-11.49</c:v>
                </c:pt>
                <c:pt idx="436">
                  <c:v>-11.52</c:v>
                </c:pt>
                <c:pt idx="437">
                  <c:v>-11.54</c:v>
                </c:pt>
                <c:pt idx="438">
                  <c:v>-11.57</c:v>
                </c:pt>
                <c:pt idx="439">
                  <c:v>-11.59</c:v>
                </c:pt>
                <c:pt idx="440">
                  <c:v>-11.62</c:v>
                </c:pt>
                <c:pt idx="441">
                  <c:v>-11.64</c:v>
                </c:pt>
                <c:pt idx="442">
                  <c:v>-11.67</c:v>
                </c:pt>
                <c:pt idx="443">
                  <c:v>-11.69</c:v>
                </c:pt>
                <c:pt idx="444">
                  <c:v>-11.72</c:v>
                </c:pt>
                <c:pt idx="445">
                  <c:v>-11.74</c:v>
                </c:pt>
                <c:pt idx="446">
                  <c:v>-11.77</c:v>
                </c:pt>
                <c:pt idx="447">
                  <c:v>-11.79</c:v>
                </c:pt>
                <c:pt idx="448">
                  <c:v>-11.82</c:v>
                </c:pt>
                <c:pt idx="449">
                  <c:v>-11.84</c:v>
                </c:pt>
                <c:pt idx="450">
                  <c:v>-11.87</c:v>
                </c:pt>
                <c:pt idx="451">
                  <c:v>-11.89</c:v>
                </c:pt>
                <c:pt idx="452">
                  <c:v>-11.92</c:v>
                </c:pt>
                <c:pt idx="453">
                  <c:v>-11.94</c:v>
                </c:pt>
                <c:pt idx="454">
                  <c:v>-11.97</c:v>
                </c:pt>
                <c:pt idx="455">
                  <c:v>-11.99</c:v>
                </c:pt>
                <c:pt idx="456">
                  <c:v>-12.02</c:v>
                </c:pt>
                <c:pt idx="457">
                  <c:v>-12.04</c:v>
                </c:pt>
                <c:pt idx="458">
                  <c:v>-12.07</c:v>
                </c:pt>
                <c:pt idx="459">
                  <c:v>-12.09</c:v>
                </c:pt>
                <c:pt idx="460">
                  <c:v>-12.12</c:v>
                </c:pt>
                <c:pt idx="461">
                  <c:v>-12.14</c:v>
                </c:pt>
                <c:pt idx="462">
                  <c:v>-12.17</c:v>
                </c:pt>
                <c:pt idx="463">
                  <c:v>-12.19</c:v>
                </c:pt>
                <c:pt idx="464">
                  <c:v>-12.22</c:v>
                </c:pt>
                <c:pt idx="465">
                  <c:v>-12.24</c:v>
                </c:pt>
                <c:pt idx="466">
                  <c:v>-12.27</c:v>
                </c:pt>
                <c:pt idx="467">
                  <c:v>-12.29</c:v>
                </c:pt>
                <c:pt idx="468">
                  <c:v>-12.32</c:v>
                </c:pt>
                <c:pt idx="469">
                  <c:v>-12.34</c:v>
                </c:pt>
                <c:pt idx="470">
                  <c:v>-12.37</c:v>
                </c:pt>
                <c:pt idx="471">
                  <c:v>-12.39</c:v>
                </c:pt>
                <c:pt idx="472">
                  <c:v>-12.42</c:v>
                </c:pt>
                <c:pt idx="473">
                  <c:v>-12.44</c:v>
                </c:pt>
                <c:pt idx="474">
                  <c:v>-12.47</c:v>
                </c:pt>
                <c:pt idx="475">
                  <c:v>-12.49</c:v>
                </c:pt>
                <c:pt idx="476">
                  <c:v>-12.52</c:v>
                </c:pt>
                <c:pt idx="477">
                  <c:v>-12.54</c:v>
                </c:pt>
                <c:pt idx="478">
                  <c:v>-12.57</c:v>
                </c:pt>
                <c:pt idx="479">
                  <c:v>-12.59</c:v>
                </c:pt>
                <c:pt idx="480">
                  <c:v>-12.62</c:v>
                </c:pt>
                <c:pt idx="481">
                  <c:v>-12.64</c:v>
                </c:pt>
                <c:pt idx="482">
                  <c:v>-12.67</c:v>
                </c:pt>
                <c:pt idx="483">
                  <c:v>-12.69</c:v>
                </c:pt>
                <c:pt idx="484">
                  <c:v>-12.72</c:v>
                </c:pt>
                <c:pt idx="485">
                  <c:v>-12.74</c:v>
                </c:pt>
                <c:pt idx="486">
                  <c:v>-12.77</c:v>
                </c:pt>
                <c:pt idx="487">
                  <c:v>-12.79</c:v>
                </c:pt>
                <c:pt idx="488">
                  <c:v>-12.82</c:v>
                </c:pt>
                <c:pt idx="489">
                  <c:v>-12.84</c:v>
                </c:pt>
                <c:pt idx="490">
                  <c:v>-12.87</c:v>
                </c:pt>
                <c:pt idx="491">
                  <c:v>-12.89</c:v>
                </c:pt>
                <c:pt idx="492">
                  <c:v>-12.92</c:v>
                </c:pt>
                <c:pt idx="493">
                  <c:v>-12.94</c:v>
                </c:pt>
                <c:pt idx="494">
                  <c:v>-12.97</c:v>
                </c:pt>
                <c:pt idx="495">
                  <c:v>-12.99</c:v>
                </c:pt>
                <c:pt idx="496">
                  <c:v>-13.02</c:v>
                </c:pt>
                <c:pt idx="497">
                  <c:v>-13.04</c:v>
                </c:pt>
                <c:pt idx="498">
                  <c:v>-13.07</c:v>
                </c:pt>
                <c:pt idx="499">
                  <c:v>-13.09</c:v>
                </c:pt>
                <c:pt idx="500">
                  <c:v>-13.12</c:v>
                </c:pt>
                <c:pt idx="501">
                  <c:v>-13.14</c:v>
                </c:pt>
                <c:pt idx="502">
                  <c:v>-13.17</c:v>
                </c:pt>
                <c:pt idx="503">
                  <c:v>-13.19</c:v>
                </c:pt>
                <c:pt idx="504">
                  <c:v>-13.22</c:v>
                </c:pt>
                <c:pt idx="505">
                  <c:v>-13.24</c:v>
                </c:pt>
                <c:pt idx="506">
                  <c:v>-13.27</c:v>
                </c:pt>
                <c:pt idx="507">
                  <c:v>-13.29</c:v>
                </c:pt>
                <c:pt idx="508">
                  <c:v>-13.32</c:v>
                </c:pt>
                <c:pt idx="509">
                  <c:v>-13.34</c:v>
                </c:pt>
                <c:pt idx="510">
                  <c:v>-13.37</c:v>
                </c:pt>
                <c:pt idx="511">
                  <c:v>-13.39</c:v>
                </c:pt>
                <c:pt idx="512">
                  <c:v>-13.42</c:v>
                </c:pt>
                <c:pt idx="513">
                  <c:v>-13.44</c:v>
                </c:pt>
                <c:pt idx="514">
                  <c:v>-13.47</c:v>
                </c:pt>
                <c:pt idx="515">
                  <c:v>-13.49</c:v>
                </c:pt>
                <c:pt idx="516">
                  <c:v>-13.52</c:v>
                </c:pt>
                <c:pt idx="517">
                  <c:v>-13.54</c:v>
                </c:pt>
                <c:pt idx="518">
                  <c:v>-13.57</c:v>
                </c:pt>
                <c:pt idx="519">
                  <c:v>-13.59</c:v>
                </c:pt>
                <c:pt idx="520">
                  <c:v>-13.62</c:v>
                </c:pt>
                <c:pt idx="521">
                  <c:v>-13.64</c:v>
                </c:pt>
                <c:pt idx="522">
                  <c:v>-13.67</c:v>
                </c:pt>
                <c:pt idx="523">
                  <c:v>-13.69</c:v>
                </c:pt>
                <c:pt idx="524">
                  <c:v>-13.72</c:v>
                </c:pt>
                <c:pt idx="525">
                  <c:v>-13.74</c:v>
                </c:pt>
                <c:pt idx="526">
                  <c:v>-13.77</c:v>
                </c:pt>
                <c:pt idx="527">
                  <c:v>-13.79</c:v>
                </c:pt>
                <c:pt idx="528">
                  <c:v>-13.82</c:v>
                </c:pt>
                <c:pt idx="529">
                  <c:v>-13.84</c:v>
                </c:pt>
                <c:pt idx="530">
                  <c:v>-13.87</c:v>
                </c:pt>
                <c:pt idx="531">
                  <c:v>-13.89</c:v>
                </c:pt>
                <c:pt idx="532">
                  <c:v>-13.92</c:v>
                </c:pt>
                <c:pt idx="533">
                  <c:v>-13.94</c:v>
                </c:pt>
                <c:pt idx="534">
                  <c:v>-13.97</c:v>
                </c:pt>
                <c:pt idx="535">
                  <c:v>-13.99</c:v>
                </c:pt>
                <c:pt idx="536">
                  <c:v>-14.02</c:v>
                </c:pt>
                <c:pt idx="537">
                  <c:v>-14.04</c:v>
                </c:pt>
                <c:pt idx="538">
                  <c:v>-14.07</c:v>
                </c:pt>
                <c:pt idx="539">
                  <c:v>-14.09</c:v>
                </c:pt>
                <c:pt idx="540">
                  <c:v>-14.12</c:v>
                </c:pt>
                <c:pt idx="541">
                  <c:v>-14.14</c:v>
                </c:pt>
                <c:pt idx="542">
                  <c:v>-14.17</c:v>
                </c:pt>
                <c:pt idx="543">
                  <c:v>-14.19</c:v>
                </c:pt>
                <c:pt idx="544">
                  <c:v>-14.22</c:v>
                </c:pt>
                <c:pt idx="545">
                  <c:v>-14.24</c:v>
                </c:pt>
                <c:pt idx="546">
                  <c:v>-14.27</c:v>
                </c:pt>
                <c:pt idx="547">
                  <c:v>-14.29</c:v>
                </c:pt>
                <c:pt idx="548">
                  <c:v>-14.32</c:v>
                </c:pt>
                <c:pt idx="549">
                  <c:v>-14.34</c:v>
                </c:pt>
                <c:pt idx="550">
                  <c:v>-14.37</c:v>
                </c:pt>
                <c:pt idx="551">
                  <c:v>-14.39</c:v>
                </c:pt>
                <c:pt idx="552">
                  <c:v>-14.42</c:v>
                </c:pt>
                <c:pt idx="553">
                  <c:v>-14.44</c:v>
                </c:pt>
                <c:pt idx="554">
                  <c:v>-14.47</c:v>
                </c:pt>
                <c:pt idx="555">
                  <c:v>-14.49</c:v>
                </c:pt>
                <c:pt idx="556">
                  <c:v>-14.52</c:v>
                </c:pt>
                <c:pt idx="557">
                  <c:v>-14.54</c:v>
                </c:pt>
                <c:pt idx="558">
                  <c:v>-14.57</c:v>
                </c:pt>
                <c:pt idx="559">
                  <c:v>-14.59</c:v>
                </c:pt>
                <c:pt idx="560">
                  <c:v>-14.62</c:v>
                </c:pt>
                <c:pt idx="561">
                  <c:v>-14.64</c:v>
                </c:pt>
                <c:pt idx="562">
                  <c:v>-14.67</c:v>
                </c:pt>
                <c:pt idx="563">
                  <c:v>-14.69</c:v>
                </c:pt>
                <c:pt idx="564">
                  <c:v>-14.72</c:v>
                </c:pt>
                <c:pt idx="565">
                  <c:v>-14.74</c:v>
                </c:pt>
                <c:pt idx="566">
                  <c:v>-14.77</c:v>
                </c:pt>
                <c:pt idx="567">
                  <c:v>-14.79</c:v>
                </c:pt>
                <c:pt idx="568">
                  <c:v>-14.82</c:v>
                </c:pt>
                <c:pt idx="569">
                  <c:v>-14.84</c:v>
                </c:pt>
                <c:pt idx="570">
                  <c:v>-14.87</c:v>
                </c:pt>
                <c:pt idx="571">
                  <c:v>-14.89</c:v>
                </c:pt>
                <c:pt idx="572">
                  <c:v>-14.92</c:v>
                </c:pt>
                <c:pt idx="573">
                  <c:v>-14.94</c:v>
                </c:pt>
                <c:pt idx="574">
                  <c:v>-14.97</c:v>
                </c:pt>
                <c:pt idx="575">
                  <c:v>-14.99</c:v>
                </c:pt>
                <c:pt idx="576">
                  <c:v>-15.02</c:v>
                </c:pt>
                <c:pt idx="577">
                  <c:v>-15.04</c:v>
                </c:pt>
                <c:pt idx="578">
                  <c:v>-15.07</c:v>
                </c:pt>
                <c:pt idx="579">
                  <c:v>-15.09</c:v>
                </c:pt>
                <c:pt idx="580">
                  <c:v>-15.12</c:v>
                </c:pt>
                <c:pt idx="581">
                  <c:v>-15.14</c:v>
                </c:pt>
                <c:pt idx="582">
                  <c:v>-15.17</c:v>
                </c:pt>
                <c:pt idx="583">
                  <c:v>-15.19</c:v>
                </c:pt>
                <c:pt idx="584">
                  <c:v>-15.22</c:v>
                </c:pt>
                <c:pt idx="585">
                  <c:v>-15.24</c:v>
                </c:pt>
                <c:pt idx="586">
                  <c:v>-15.27</c:v>
                </c:pt>
                <c:pt idx="587">
                  <c:v>-15.29</c:v>
                </c:pt>
                <c:pt idx="588">
                  <c:v>-15.32</c:v>
                </c:pt>
                <c:pt idx="589">
                  <c:v>-15.34</c:v>
                </c:pt>
                <c:pt idx="590">
                  <c:v>-15.37</c:v>
                </c:pt>
                <c:pt idx="591">
                  <c:v>-15.39</c:v>
                </c:pt>
                <c:pt idx="592">
                  <c:v>-15.42</c:v>
                </c:pt>
                <c:pt idx="593">
                  <c:v>-15.44</c:v>
                </c:pt>
                <c:pt idx="594">
                  <c:v>-15.47</c:v>
                </c:pt>
                <c:pt idx="595">
                  <c:v>-15.49</c:v>
                </c:pt>
                <c:pt idx="596">
                  <c:v>-15.52</c:v>
                </c:pt>
                <c:pt idx="597">
                  <c:v>-15.54</c:v>
                </c:pt>
                <c:pt idx="598">
                  <c:v>-15.57</c:v>
                </c:pt>
                <c:pt idx="599">
                  <c:v>-15.59</c:v>
                </c:pt>
                <c:pt idx="600">
                  <c:v>-15.62</c:v>
                </c:pt>
                <c:pt idx="601">
                  <c:v>-15.64</c:v>
                </c:pt>
                <c:pt idx="602">
                  <c:v>-15.67</c:v>
                </c:pt>
                <c:pt idx="603">
                  <c:v>-15.69</c:v>
                </c:pt>
                <c:pt idx="604">
                  <c:v>-15.72</c:v>
                </c:pt>
                <c:pt idx="605">
                  <c:v>-15.74</c:v>
                </c:pt>
                <c:pt idx="606">
                  <c:v>-15.77</c:v>
                </c:pt>
                <c:pt idx="607">
                  <c:v>-15.79</c:v>
                </c:pt>
                <c:pt idx="608">
                  <c:v>-15.82</c:v>
                </c:pt>
                <c:pt idx="609">
                  <c:v>-15.84</c:v>
                </c:pt>
                <c:pt idx="610">
                  <c:v>-15.87</c:v>
                </c:pt>
                <c:pt idx="611">
                  <c:v>-15.89</c:v>
                </c:pt>
                <c:pt idx="612">
                  <c:v>-15.92</c:v>
                </c:pt>
                <c:pt idx="613">
                  <c:v>-15.94</c:v>
                </c:pt>
                <c:pt idx="614">
                  <c:v>-15.97</c:v>
                </c:pt>
                <c:pt idx="615">
                  <c:v>-15.99</c:v>
                </c:pt>
                <c:pt idx="616">
                  <c:v>-16.02</c:v>
                </c:pt>
                <c:pt idx="617">
                  <c:v>-16.04</c:v>
                </c:pt>
                <c:pt idx="618">
                  <c:v>-16.07</c:v>
                </c:pt>
                <c:pt idx="619">
                  <c:v>-16.09</c:v>
                </c:pt>
                <c:pt idx="620">
                  <c:v>-16.12</c:v>
                </c:pt>
                <c:pt idx="621">
                  <c:v>-16.14</c:v>
                </c:pt>
                <c:pt idx="622">
                  <c:v>-16.170000000000002</c:v>
                </c:pt>
                <c:pt idx="623">
                  <c:v>-16.190000000000001</c:v>
                </c:pt>
                <c:pt idx="624">
                  <c:v>-16.22</c:v>
                </c:pt>
                <c:pt idx="625">
                  <c:v>-16.239999999999998</c:v>
                </c:pt>
                <c:pt idx="626">
                  <c:v>-16.27</c:v>
                </c:pt>
                <c:pt idx="627">
                  <c:v>-16.29</c:v>
                </c:pt>
                <c:pt idx="628">
                  <c:v>-16.32</c:v>
                </c:pt>
                <c:pt idx="629">
                  <c:v>-16.34</c:v>
                </c:pt>
                <c:pt idx="630">
                  <c:v>-16.37</c:v>
                </c:pt>
                <c:pt idx="631">
                  <c:v>-16.39</c:v>
                </c:pt>
                <c:pt idx="632">
                  <c:v>-16.420000000000002</c:v>
                </c:pt>
                <c:pt idx="633">
                  <c:v>-16.440000000000001</c:v>
                </c:pt>
                <c:pt idx="634">
                  <c:v>-16.47</c:v>
                </c:pt>
                <c:pt idx="635">
                  <c:v>-16.489999999999998</c:v>
                </c:pt>
                <c:pt idx="636">
                  <c:v>-16.52</c:v>
                </c:pt>
                <c:pt idx="637">
                  <c:v>-16.54</c:v>
                </c:pt>
                <c:pt idx="638">
                  <c:v>-16.57</c:v>
                </c:pt>
                <c:pt idx="639">
                  <c:v>-16.59</c:v>
                </c:pt>
                <c:pt idx="640">
                  <c:v>-16.62</c:v>
                </c:pt>
                <c:pt idx="641">
                  <c:v>-16.64</c:v>
                </c:pt>
                <c:pt idx="642">
                  <c:v>-16.670000000000002</c:v>
                </c:pt>
                <c:pt idx="643">
                  <c:v>-16.690000000000001</c:v>
                </c:pt>
                <c:pt idx="644">
                  <c:v>-16.72</c:v>
                </c:pt>
                <c:pt idx="645">
                  <c:v>-16.739999999999998</c:v>
                </c:pt>
                <c:pt idx="646">
                  <c:v>-16.77</c:v>
                </c:pt>
                <c:pt idx="647">
                  <c:v>-16.79</c:v>
                </c:pt>
                <c:pt idx="648">
                  <c:v>-16.82</c:v>
                </c:pt>
                <c:pt idx="649">
                  <c:v>-16.84</c:v>
                </c:pt>
                <c:pt idx="650">
                  <c:v>-16.87</c:v>
                </c:pt>
                <c:pt idx="651">
                  <c:v>-16.89</c:v>
                </c:pt>
                <c:pt idx="652">
                  <c:v>-16.920000000000002</c:v>
                </c:pt>
                <c:pt idx="653">
                  <c:v>-16.940000000000001</c:v>
                </c:pt>
                <c:pt idx="654">
                  <c:v>-16.97</c:v>
                </c:pt>
                <c:pt idx="655">
                  <c:v>-16.989999999999998</c:v>
                </c:pt>
                <c:pt idx="656">
                  <c:v>-17.02</c:v>
                </c:pt>
                <c:pt idx="657">
                  <c:v>-17.04</c:v>
                </c:pt>
                <c:pt idx="658">
                  <c:v>-17.07</c:v>
                </c:pt>
                <c:pt idx="659">
                  <c:v>-17.09</c:v>
                </c:pt>
                <c:pt idx="660">
                  <c:v>-17.12</c:v>
                </c:pt>
                <c:pt idx="661">
                  <c:v>-17.14</c:v>
                </c:pt>
                <c:pt idx="662">
                  <c:v>-17.170000000000002</c:v>
                </c:pt>
                <c:pt idx="663">
                  <c:v>-17.190000000000001</c:v>
                </c:pt>
                <c:pt idx="664">
                  <c:v>-17.22</c:v>
                </c:pt>
                <c:pt idx="665">
                  <c:v>-17.239999999999998</c:v>
                </c:pt>
                <c:pt idx="666">
                  <c:v>-17.27</c:v>
                </c:pt>
                <c:pt idx="667">
                  <c:v>-17.29</c:v>
                </c:pt>
                <c:pt idx="668">
                  <c:v>-17.32</c:v>
                </c:pt>
                <c:pt idx="669">
                  <c:v>-17.34</c:v>
                </c:pt>
                <c:pt idx="670">
                  <c:v>-17.37</c:v>
                </c:pt>
                <c:pt idx="671">
                  <c:v>-17.39</c:v>
                </c:pt>
                <c:pt idx="672">
                  <c:v>-17.420000000000002</c:v>
                </c:pt>
                <c:pt idx="673">
                  <c:v>-17.440000000000001</c:v>
                </c:pt>
                <c:pt idx="674">
                  <c:v>-17.47</c:v>
                </c:pt>
                <c:pt idx="675">
                  <c:v>-17.489999999999998</c:v>
                </c:pt>
                <c:pt idx="676">
                  <c:v>-17.52</c:v>
                </c:pt>
                <c:pt idx="677">
                  <c:v>-17.54</c:v>
                </c:pt>
                <c:pt idx="678">
                  <c:v>-17.57</c:v>
                </c:pt>
                <c:pt idx="679">
                  <c:v>-17.59</c:v>
                </c:pt>
                <c:pt idx="680">
                  <c:v>-17.62</c:v>
                </c:pt>
                <c:pt idx="681">
                  <c:v>-17.64</c:v>
                </c:pt>
                <c:pt idx="682">
                  <c:v>-17.670000000000002</c:v>
                </c:pt>
                <c:pt idx="683">
                  <c:v>-17.690000000000001</c:v>
                </c:pt>
                <c:pt idx="684">
                  <c:v>-17.72</c:v>
                </c:pt>
                <c:pt idx="685">
                  <c:v>-17.739999999999998</c:v>
                </c:pt>
                <c:pt idx="686">
                  <c:v>-17.77</c:v>
                </c:pt>
                <c:pt idx="687">
                  <c:v>-17.79</c:v>
                </c:pt>
                <c:pt idx="688">
                  <c:v>-17.82</c:v>
                </c:pt>
                <c:pt idx="689">
                  <c:v>-17.84</c:v>
                </c:pt>
                <c:pt idx="690">
                  <c:v>-17.87</c:v>
                </c:pt>
                <c:pt idx="691">
                  <c:v>-17.89</c:v>
                </c:pt>
                <c:pt idx="692">
                  <c:v>-17.920000000000002</c:v>
                </c:pt>
                <c:pt idx="693">
                  <c:v>-17.940000000000001</c:v>
                </c:pt>
                <c:pt idx="694">
                  <c:v>-17.97</c:v>
                </c:pt>
                <c:pt idx="695">
                  <c:v>-17.989999999999998</c:v>
                </c:pt>
                <c:pt idx="696">
                  <c:v>-18.02</c:v>
                </c:pt>
                <c:pt idx="697">
                  <c:v>-18.04</c:v>
                </c:pt>
                <c:pt idx="698">
                  <c:v>-18.07</c:v>
                </c:pt>
                <c:pt idx="699">
                  <c:v>-18.09</c:v>
                </c:pt>
                <c:pt idx="700">
                  <c:v>-18.12</c:v>
                </c:pt>
                <c:pt idx="701">
                  <c:v>-18.14</c:v>
                </c:pt>
                <c:pt idx="702">
                  <c:v>-18.170000000000002</c:v>
                </c:pt>
                <c:pt idx="703">
                  <c:v>-18.190000000000001</c:v>
                </c:pt>
                <c:pt idx="704">
                  <c:v>-18.22</c:v>
                </c:pt>
                <c:pt idx="705">
                  <c:v>-18.239999999999998</c:v>
                </c:pt>
                <c:pt idx="706">
                  <c:v>-18.27</c:v>
                </c:pt>
                <c:pt idx="707">
                  <c:v>-18.29</c:v>
                </c:pt>
                <c:pt idx="708">
                  <c:v>-18.32</c:v>
                </c:pt>
                <c:pt idx="709">
                  <c:v>-18.34</c:v>
                </c:pt>
                <c:pt idx="710">
                  <c:v>-18.37</c:v>
                </c:pt>
                <c:pt idx="711">
                  <c:v>-18.39</c:v>
                </c:pt>
                <c:pt idx="712">
                  <c:v>-18.420000000000002</c:v>
                </c:pt>
                <c:pt idx="713">
                  <c:v>-18.440000000000001</c:v>
                </c:pt>
                <c:pt idx="714">
                  <c:v>-18.47</c:v>
                </c:pt>
                <c:pt idx="715">
                  <c:v>-18.489999999999998</c:v>
                </c:pt>
                <c:pt idx="716">
                  <c:v>-18.52</c:v>
                </c:pt>
                <c:pt idx="717">
                  <c:v>-18.54</c:v>
                </c:pt>
                <c:pt idx="718">
                  <c:v>-18.57</c:v>
                </c:pt>
                <c:pt idx="719">
                  <c:v>-18.59</c:v>
                </c:pt>
                <c:pt idx="720">
                  <c:v>-18.62</c:v>
                </c:pt>
                <c:pt idx="721">
                  <c:v>-18.64</c:v>
                </c:pt>
                <c:pt idx="722">
                  <c:v>-18.670000000000002</c:v>
                </c:pt>
                <c:pt idx="723">
                  <c:v>-18.690000000000001</c:v>
                </c:pt>
                <c:pt idx="724">
                  <c:v>-18.72</c:v>
                </c:pt>
                <c:pt idx="725">
                  <c:v>-18.739999999999998</c:v>
                </c:pt>
                <c:pt idx="726">
                  <c:v>-18.77</c:v>
                </c:pt>
                <c:pt idx="727">
                  <c:v>-18.79</c:v>
                </c:pt>
                <c:pt idx="728">
                  <c:v>-18.82</c:v>
                </c:pt>
                <c:pt idx="729">
                  <c:v>-18.84</c:v>
                </c:pt>
                <c:pt idx="730">
                  <c:v>-18.87</c:v>
                </c:pt>
                <c:pt idx="731">
                  <c:v>-18.89</c:v>
                </c:pt>
                <c:pt idx="732">
                  <c:v>-18.920000000000002</c:v>
                </c:pt>
                <c:pt idx="733">
                  <c:v>-18.940000000000001</c:v>
                </c:pt>
                <c:pt idx="734">
                  <c:v>-18.97</c:v>
                </c:pt>
                <c:pt idx="735">
                  <c:v>-18.989999999999998</c:v>
                </c:pt>
                <c:pt idx="736">
                  <c:v>-19.02</c:v>
                </c:pt>
                <c:pt idx="737">
                  <c:v>-19.04</c:v>
                </c:pt>
                <c:pt idx="738">
                  <c:v>-19.07</c:v>
                </c:pt>
                <c:pt idx="739">
                  <c:v>-19.09</c:v>
                </c:pt>
                <c:pt idx="740">
                  <c:v>-19.12</c:v>
                </c:pt>
                <c:pt idx="741">
                  <c:v>-19.14</c:v>
                </c:pt>
                <c:pt idx="742">
                  <c:v>-19.170000000000002</c:v>
                </c:pt>
                <c:pt idx="743">
                  <c:v>-19.190000000000001</c:v>
                </c:pt>
                <c:pt idx="744">
                  <c:v>-19.22</c:v>
                </c:pt>
                <c:pt idx="745">
                  <c:v>-19.239999999999998</c:v>
                </c:pt>
                <c:pt idx="746">
                  <c:v>-19.27</c:v>
                </c:pt>
                <c:pt idx="747">
                  <c:v>-19.29</c:v>
                </c:pt>
                <c:pt idx="748">
                  <c:v>-19.32</c:v>
                </c:pt>
                <c:pt idx="749">
                  <c:v>-19.34</c:v>
                </c:pt>
                <c:pt idx="750">
                  <c:v>-19.37</c:v>
                </c:pt>
                <c:pt idx="751">
                  <c:v>-19.39</c:v>
                </c:pt>
                <c:pt idx="752">
                  <c:v>-19.420000000000002</c:v>
                </c:pt>
                <c:pt idx="753">
                  <c:v>-19.440000000000001</c:v>
                </c:pt>
                <c:pt idx="754">
                  <c:v>-19.47</c:v>
                </c:pt>
                <c:pt idx="755">
                  <c:v>-19.489999999999998</c:v>
                </c:pt>
                <c:pt idx="756">
                  <c:v>-19.52</c:v>
                </c:pt>
                <c:pt idx="757">
                  <c:v>-19.54</c:v>
                </c:pt>
                <c:pt idx="758">
                  <c:v>-19.57</c:v>
                </c:pt>
                <c:pt idx="759">
                  <c:v>-19.59</c:v>
                </c:pt>
                <c:pt idx="760">
                  <c:v>-19.62</c:v>
                </c:pt>
                <c:pt idx="761">
                  <c:v>-19.64</c:v>
                </c:pt>
                <c:pt idx="762">
                  <c:v>-19.670000000000002</c:v>
                </c:pt>
                <c:pt idx="763">
                  <c:v>-19.690000000000001</c:v>
                </c:pt>
                <c:pt idx="764">
                  <c:v>-19.72</c:v>
                </c:pt>
                <c:pt idx="765">
                  <c:v>-19.739999999999998</c:v>
                </c:pt>
                <c:pt idx="766">
                  <c:v>-19.77</c:v>
                </c:pt>
                <c:pt idx="767">
                  <c:v>-19.79</c:v>
                </c:pt>
                <c:pt idx="768">
                  <c:v>-19.82</c:v>
                </c:pt>
                <c:pt idx="769">
                  <c:v>-19.84</c:v>
                </c:pt>
                <c:pt idx="770">
                  <c:v>-19.87</c:v>
                </c:pt>
                <c:pt idx="771">
                  <c:v>-19.89</c:v>
                </c:pt>
                <c:pt idx="772">
                  <c:v>-19.920000000000002</c:v>
                </c:pt>
                <c:pt idx="773">
                  <c:v>-19.940000000000001</c:v>
                </c:pt>
                <c:pt idx="774">
                  <c:v>-19.97</c:v>
                </c:pt>
                <c:pt idx="775">
                  <c:v>-19.989999999999998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77-4200-BFE5-43B9B7FF34FD}"/>
            </c:ext>
          </c:extLst>
        </c:ser>
        <c:ser>
          <c:idx val="1"/>
          <c:order val="1"/>
          <c:tx>
            <c:v>BH-01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boreholes'!$AR$13:$AR$32</c:f>
              <c:numCache>
                <c:formatCode>0.00</c:formatCode>
                <c:ptCount val="20"/>
                <c:pt idx="0">
                  <c:v>0.3455607726754214</c:v>
                </c:pt>
                <c:pt idx="1">
                  <c:v>0.19936923977531767</c:v>
                </c:pt>
                <c:pt idx="2">
                  <c:v>#N/A</c:v>
                </c:pt>
                <c:pt idx="3">
                  <c:v>0.22999705785123944</c:v>
                </c:pt>
              </c:numCache>
            </c:numRef>
          </c:xVal>
          <c:yVal>
            <c:numRef>
              <c:f>'All boreholes'!$H$13:$H$32</c:f>
              <c:numCache>
                <c:formatCode>0.000</c:formatCode>
                <c:ptCount val="20"/>
                <c:pt idx="0">
                  <c:v>-0.62</c:v>
                </c:pt>
                <c:pt idx="1">
                  <c:v>-1.1200000000000001</c:v>
                </c:pt>
                <c:pt idx="2">
                  <c:v>-1.62</c:v>
                </c:pt>
                <c:pt idx="3">
                  <c:v>-2.12</c:v>
                </c:pt>
                <c:pt idx="4">
                  <c:v>-2.62</c:v>
                </c:pt>
                <c:pt idx="5">
                  <c:v>-3.12</c:v>
                </c:pt>
                <c:pt idx="6">
                  <c:v>-4.12</c:v>
                </c:pt>
                <c:pt idx="7">
                  <c:v>-5.12</c:v>
                </c:pt>
                <c:pt idx="8">
                  <c:v>-6.12</c:v>
                </c:pt>
                <c:pt idx="9">
                  <c:v>-7.12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77-4200-BFE5-43B9B7FF34FD}"/>
            </c:ext>
          </c:extLst>
        </c:ser>
        <c:ser>
          <c:idx val="2"/>
          <c:order val="2"/>
          <c:tx>
            <c:v>Characteristic Line FOS=1.2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'Comparison with LiquefyPro'!$H$23:$H$24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'Comparison with LiquefyPro'!$I$23:$I$24</c:f>
              <c:numCache>
                <c:formatCode>General</c:formatCode>
                <c:ptCount val="2"/>
                <c:pt idx="0">
                  <c:v>-5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77-4200-BFE5-43B9B7FF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62800"/>
        <c:axId val="1"/>
      </c:scatterChart>
      <c:valAx>
        <c:axId val="97856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Factor of Safety against Liquefaction for Mw = 6.2 (0.19g PGA)</a:t>
                </a:r>
              </a:p>
            </c:rich>
          </c:tx>
          <c:layout>
            <c:manualLayout>
              <c:xMode val="edge"/>
              <c:yMode val="edge"/>
              <c:x val="9.4928329159428143E-2"/>
              <c:y val="6.220341207349081E-2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 algn="ctr" rtl="0">
                  <a:def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Elevation (mDMD)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5628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2910075692238001"/>
          <c:y val="0.36184443002434996"/>
          <c:w val="0.45855398933272939"/>
          <c:h val="0.41776584193720406"/>
        </c:manualLayout>
      </c:layout>
      <c:overlay val="0"/>
      <c:txPr>
        <a:bodyPr/>
        <a:lstStyle/>
        <a:p>
          <a:pPr algn="ctr" rtl="0">
            <a:defRPr lang="en-US" sz="9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70603674540683"/>
          <c:y val="0.2218816130889622"/>
          <c:w val="0.54630686789151361"/>
          <c:h val="0.70926748472680223"/>
        </c:manualLayout>
      </c:layout>
      <c:scatterChart>
        <c:scatterStyle val="smoothMarker"/>
        <c:varyColors val="0"/>
        <c:ser>
          <c:idx val="2"/>
          <c:order val="0"/>
          <c:tx>
            <c:v>BH-02 Liquefy Pro</c:v>
          </c:tx>
          <c:spPr>
            <a:ln w="19050"/>
          </c:spPr>
          <c:marker>
            <c:symbol val="none"/>
          </c:marker>
          <c:xVal>
            <c:numRef>
              <c:f>'Comparison with LiquefyPro'!$U$5:$U$778</c:f>
              <c:numCache>
                <c:formatCode>General</c:formatCode>
                <c:ptCount val="77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2.37</c:v>
                </c:pt>
                <c:pt idx="184">
                  <c:v>2.33</c:v>
                </c:pt>
                <c:pt idx="185">
                  <c:v>2.2999999999999998</c:v>
                </c:pt>
                <c:pt idx="186">
                  <c:v>2.2599999999999998</c:v>
                </c:pt>
                <c:pt idx="187">
                  <c:v>2.23</c:v>
                </c:pt>
                <c:pt idx="188">
                  <c:v>2.19</c:v>
                </c:pt>
                <c:pt idx="189">
                  <c:v>2.16</c:v>
                </c:pt>
                <c:pt idx="190">
                  <c:v>2.13</c:v>
                </c:pt>
                <c:pt idx="191">
                  <c:v>2.09</c:v>
                </c:pt>
                <c:pt idx="192">
                  <c:v>2.06</c:v>
                </c:pt>
                <c:pt idx="193">
                  <c:v>2.0299999999999998</c:v>
                </c:pt>
                <c:pt idx="194">
                  <c:v>2</c:v>
                </c:pt>
                <c:pt idx="195">
                  <c:v>1.96</c:v>
                </c:pt>
                <c:pt idx="196">
                  <c:v>1.93</c:v>
                </c:pt>
                <c:pt idx="197">
                  <c:v>1.9</c:v>
                </c:pt>
                <c:pt idx="198">
                  <c:v>1.87</c:v>
                </c:pt>
                <c:pt idx="199">
                  <c:v>1.84</c:v>
                </c:pt>
                <c:pt idx="200">
                  <c:v>1.81</c:v>
                </c:pt>
                <c:pt idx="201">
                  <c:v>1.78</c:v>
                </c:pt>
                <c:pt idx="202">
                  <c:v>1.74</c:v>
                </c:pt>
                <c:pt idx="203">
                  <c:v>1.71</c:v>
                </c:pt>
                <c:pt idx="204">
                  <c:v>1.68</c:v>
                </c:pt>
                <c:pt idx="205">
                  <c:v>1.65</c:v>
                </c:pt>
                <c:pt idx="206">
                  <c:v>1.62</c:v>
                </c:pt>
                <c:pt idx="207">
                  <c:v>1.59</c:v>
                </c:pt>
                <c:pt idx="208">
                  <c:v>1.56</c:v>
                </c:pt>
                <c:pt idx="209">
                  <c:v>1.53</c:v>
                </c:pt>
                <c:pt idx="210">
                  <c:v>1.51</c:v>
                </c:pt>
                <c:pt idx="211">
                  <c:v>1.48</c:v>
                </c:pt>
                <c:pt idx="212">
                  <c:v>1.45</c:v>
                </c:pt>
                <c:pt idx="213">
                  <c:v>1.42</c:v>
                </c:pt>
                <c:pt idx="214">
                  <c:v>1.39</c:v>
                </c:pt>
                <c:pt idx="215">
                  <c:v>1.36</c:v>
                </c:pt>
                <c:pt idx="216">
                  <c:v>1.33</c:v>
                </c:pt>
                <c:pt idx="217">
                  <c:v>1.35</c:v>
                </c:pt>
                <c:pt idx="218">
                  <c:v>1.38</c:v>
                </c:pt>
                <c:pt idx="219">
                  <c:v>1.41</c:v>
                </c:pt>
                <c:pt idx="220">
                  <c:v>1.44</c:v>
                </c:pt>
                <c:pt idx="221">
                  <c:v>1.47</c:v>
                </c:pt>
                <c:pt idx="222">
                  <c:v>1.49</c:v>
                </c:pt>
                <c:pt idx="223">
                  <c:v>1.52</c:v>
                </c:pt>
                <c:pt idx="224">
                  <c:v>1.55</c:v>
                </c:pt>
                <c:pt idx="225">
                  <c:v>1.58</c:v>
                </c:pt>
                <c:pt idx="226">
                  <c:v>1.6</c:v>
                </c:pt>
                <c:pt idx="227">
                  <c:v>1.63</c:v>
                </c:pt>
                <c:pt idx="228">
                  <c:v>1.66</c:v>
                </c:pt>
                <c:pt idx="229">
                  <c:v>1.68</c:v>
                </c:pt>
                <c:pt idx="230">
                  <c:v>1.71</c:v>
                </c:pt>
                <c:pt idx="231">
                  <c:v>1.74</c:v>
                </c:pt>
                <c:pt idx="232">
                  <c:v>1.76</c:v>
                </c:pt>
                <c:pt idx="233">
                  <c:v>1.79</c:v>
                </c:pt>
                <c:pt idx="234">
                  <c:v>1.81</c:v>
                </c:pt>
                <c:pt idx="235">
                  <c:v>1.84</c:v>
                </c:pt>
                <c:pt idx="236">
                  <c:v>1.87</c:v>
                </c:pt>
                <c:pt idx="237">
                  <c:v>1.89</c:v>
                </c:pt>
                <c:pt idx="238">
                  <c:v>1.92</c:v>
                </c:pt>
                <c:pt idx="239">
                  <c:v>1.94</c:v>
                </c:pt>
                <c:pt idx="240">
                  <c:v>1.97</c:v>
                </c:pt>
                <c:pt idx="241">
                  <c:v>1.99</c:v>
                </c:pt>
                <c:pt idx="242">
                  <c:v>2.02</c:v>
                </c:pt>
                <c:pt idx="243">
                  <c:v>2.04</c:v>
                </c:pt>
                <c:pt idx="244">
                  <c:v>2.0699999999999998</c:v>
                </c:pt>
                <c:pt idx="245">
                  <c:v>2.09</c:v>
                </c:pt>
                <c:pt idx="246">
                  <c:v>2.12</c:v>
                </c:pt>
                <c:pt idx="247">
                  <c:v>2.14</c:v>
                </c:pt>
                <c:pt idx="248">
                  <c:v>2.17</c:v>
                </c:pt>
                <c:pt idx="249">
                  <c:v>2.2000000000000002</c:v>
                </c:pt>
                <c:pt idx="250">
                  <c:v>2.2200000000000002</c:v>
                </c:pt>
                <c:pt idx="251">
                  <c:v>2.25</c:v>
                </c:pt>
                <c:pt idx="252">
                  <c:v>2.2799999999999998</c:v>
                </c:pt>
                <c:pt idx="253">
                  <c:v>2.2999999999999998</c:v>
                </c:pt>
                <c:pt idx="254">
                  <c:v>2.33</c:v>
                </c:pt>
                <c:pt idx="255">
                  <c:v>2.36</c:v>
                </c:pt>
                <c:pt idx="256">
                  <c:v>2.38</c:v>
                </c:pt>
                <c:pt idx="257">
                  <c:v>2.4500000000000002</c:v>
                </c:pt>
                <c:pt idx="258">
                  <c:v>2.52</c:v>
                </c:pt>
                <c:pt idx="259">
                  <c:v>2.6</c:v>
                </c:pt>
                <c:pt idx="260">
                  <c:v>2.68</c:v>
                </c:pt>
                <c:pt idx="261">
                  <c:v>2.77</c:v>
                </c:pt>
                <c:pt idx="262">
                  <c:v>2.86</c:v>
                </c:pt>
                <c:pt idx="263">
                  <c:v>2.96</c:v>
                </c:pt>
                <c:pt idx="264">
                  <c:v>3.06</c:v>
                </c:pt>
                <c:pt idx="265">
                  <c:v>3.18</c:v>
                </c:pt>
                <c:pt idx="266">
                  <c:v>3.31</c:v>
                </c:pt>
                <c:pt idx="267">
                  <c:v>3.45</c:v>
                </c:pt>
                <c:pt idx="268">
                  <c:v>3.64</c:v>
                </c:pt>
                <c:pt idx="269">
                  <c:v>3.9</c:v>
                </c:pt>
                <c:pt idx="270">
                  <c:v>4.62</c:v>
                </c:pt>
                <c:pt idx="271">
                  <c:v>4.88</c:v>
                </c:pt>
                <c:pt idx="272">
                  <c:v>4.88</c:v>
                </c:pt>
                <c:pt idx="273">
                  <c:v>4.87</c:v>
                </c:pt>
                <c:pt idx="274">
                  <c:v>4.87</c:v>
                </c:pt>
                <c:pt idx="275">
                  <c:v>4.8600000000000003</c:v>
                </c:pt>
                <c:pt idx="276">
                  <c:v>4.8499999999999996</c:v>
                </c:pt>
                <c:pt idx="277">
                  <c:v>4.8499999999999996</c:v>
                </c:pt>
                <c:pt idx="278">
                  <c:v>4.84</c:v>
                </c:pt>
                <c:pt idx="279">
                  <c:v>4.83</c:v>
                </c:pt>
                <c:pt idx="280">
                  <c:v>4.83</c:v>
                </c:pt>
                <c:pt idx="281">
                  <c:v>4.82</c:v>
                </c:pt>
                <c:pt idx="282">
                  <c:v>4.82</c:v>
                </c:pt>
                <c:pt idx="283">
                  <c:v>4.8099999999999996</c:v>
                </c:pt>
                <c:pt idx="284">
                  <c:v>4.8</c:v>
                </c:pt>
                <c:pt idx="285">
                  <c:v>4.8</c:v>
                </c:pt>
                <c:pt idx="286">
                  <c:v>4.79</c:v>
                </c:pt>
                <c:pt idx="287">
                  <c:v>4.79</c:v>
                </c:pt>
                <c:pt idx="288">
                  <c:v>4.78</c:v>
                </c:pt>
                <c:pt idx="289">
                  <c:v>4.7699999999999996</c:v>
                </c:pt>
                <c:pt idx="290">
                  <c:v>4.7699999999999996</c:v>
                </c:pt>
                <c:pt idx="291">
                  <c:v>4.76</c:v>
                </c:pt>
                <c:pt idx="292">
                  <c:v>4.76</c:v>
                </c:pt>
                <c:pt idx="293">
                  <c:v>4.75</c:v>
                </c:pt>
                <c:pt idx="294">
                  <c:v>4.75</c:v>
                </c:pt>
                <c:pt idx="295">
                  <c:v>4.74</c:v>
                </c:pt>
                <c:pt idx="296">
                  <c:v>4.74</c:v>
                </c:pt>
                <c:pt idx="297">
                  <c:v>4.7300000000000004</c:v>
                </c:pt>
                <c:pt idx="298">
                  <c:v>4.72</c:v>
                </c:pt>
                <c:pt idx="299">
                  <c:v>4.72</c:v>
                </c:pt>
                <c:pt idx="300">
                  <c:v>4.71</c:v>
                </c:pt>
                <c:pt idx="301">
                  <c:v>4.71</c:v>
                </c:pt>
                <c:pt idx="302">
                  <c:v>4.7</c:v>
                </c:pt>
                <c:pt idx="303">
                  <c:v>4.7</c:v>
                </c:pt>
                <c:pt idx="304">
                  <c:v>4.6900000000000004</c:v>
                </c:pt>
                <c:pt idx="305">
                  <c:v>4.6900000000000004</c:v>
                </c:pt>
                <c:pt idx="306">
                  <c:v>4.68</c:v>
                </c:pt>
                <c:pt idx="307">
                  <c:v>4.68</c:v>
                </c:pt>
                <c:pt idx="308">
                  <c:v>4.67</c:v>
                </c:pt>
                <c:pt idx="309">
                  <c:v>4.67</c:v>
                </c:pt>
                <c:pt idx="310">
                  <c:v>4.66</c:v>
                </c:pt>
                <c:pt idx="311">
                  <c:v>4.66</c:v>
                </c:pt>
                <c:pt idx="312">
                  <c:v>4.6500000000000004</c:v>
                </c:pt>
                <c:pt idx="313">
                  <c:v>4.6500000000000004</c:v>
                </c:pt>
                <c:pt idx="314">
                  <c:v>4.6399999999999997</c:v>
                </c:pt>
                <c:pt idx="315">
                  <c:v>4.6399999999999997</c:v>
                </c:pt>
                <c:pt idx="316">
                  <c:v>4.63</c:v>
                </c:pt>
                <c:pt idx="317">
                  <c:v>4.63</c:v>
                </c:pt>
                <c:pt idx="318">
                  <c:v>4.62</c:v>
                </c:pt>
                <c:pt idx="319">
                  <c:v>4.62</c:v>
                </c:pt>
                <c:pt idx="320">
                  <c:v>4.62</c:v>
                </c:pt>
                <c:pt idx="321">
                  <c:v>4.6100000000000003</c:v>
                </c:pt>
                <c:pt idx="322">
                  <c:v>4.6100000000000003</c:v>
                </c:pt>
                <c:pt idx="323">
                  <c:v>4.5999999999999996</c:v>
                </c:pt>
                <c:pt idx="324">
                  <c:v>4.5999999999999996</c:v>
                </c:pt>
                <c:pt idx="325">
                  <c:v>4.59</c:v>
                </c:pt>
                <c:pt idx="326">
                  <c:v>4.59</c:v>
                </c:pt>
                <c:pt idx="327">
                  <c:v>4.58</c:v>
                </c:pt>
                <c:pt idx="328">
                  <c:v>4.58</c:v>
                </c:pt>
                <c:pt idx="329">
                  <c:v>4.58</c:v>
                </c:pt>
                <c:pt idx="330">
                  <c:v>4.57</c:v>
                </c:pt>
                <c:pt idx="331">
                  <c:v>4.57</c:v>
                </c:pt>
                <c:pt idx="332">
                  <c:v>4.5599999999999996</c:v>
                </c:pt>
                <c:pt idx="333">
                  <c:v>4.5599999999999996</c:v>
                </c:pt>
                <c:pt idx="334">
                  <c:v>4.5599999999999996</c:v>
                </c:pt>
                <c:pt idx="335">
                  <c:v>4.55</c:v>
                </c:pt>
                <c:pt idx="336">
                  <c:v>4.55</c:v>
                </c:pt>
                <c:pt idx="337">
                  <c:v>4.54</c:v>
                </c:pt>
                <c:pt idx="338">
                  <c:v>4.54</c:v>
                </c:pt>
                <c:pt idx="339">
                  <c:v>4.54</c:v>
                </c:pt>
                <c:pt idx="340">
                  <c:v>4.53</c:v>
                </c:pt>
                <c:pt idx="341">
                  <c:v>4.53</c:v>
                </c:pt>
                <c:pt idx="342">
                  <c:v>4.53</c:v>
                </c:pt>
                <c:pt idx="343">
                  <c:v>4.53</c:v>
                </c:pt>
                <c:pt idx="344">
                  <c:v>4.53</c:v>
                </c:pt>
                <c:pt idx="345">
                  <c:v>4.53</c:v>
                </c:pt>
                <c:pt idx="346">
                  <c:v>4.53</c:v>
                </c:pt>
                <c:pt idx="347">
                  <c:v>4.5199999999999996</c:v>
                </c:pt>
                <c:pt idx="348">
                  <c:v>4.5199999999999996</c:v>
                </c:pt>
                <c:pt idx="349">
                  <c:v>4.5199999999999996</c:v>
                </c:pt>
                <c:pt idx="350">
                  <c:v>4.5199999999999996</c:v>
                </c:pt>
                <c:pt idx="351">
                  <c:v>4.5199999999999996</c:v>
                </c:pt>
                <c:pt idx="352">
                  <c:v>4.5199999999999996</c:v>
                </c:pt>
                <c:pt idx="353">
                  <c:v>4.5199999999999996</c:v>
                </c:pt>
                <c:pt idx="354">
                  <c:v>4.5199999999999996</c:v>
                </c:pt>
                <c:pt idx="355">
                  <c:v>4.51</c:v>
                </c:pt>
                <c:pt idx="356">
                  <c:v>4.51</c:v>
                </c:pt>
                <c:pt idx="357">
                  <c:v>4.51</c:v>
                </c:pt>
                <c:pt idx="358">
                  <c:v>4.51</c:v>
                </c:pt>
                <c:pt idx="359">
                  <c:v>4.51</c:v>
                </c:pt>
                <c:pt idx="360">
                  <c:v>4.51</c:v>
                </c:pt>
                <c:pt idx="361">
                  <c:v>4.51</c:v>
                </c:pt>
                <c:pt idx="362">
                  <c:v>4.51</c:v>
                </c:pt>
                <c:pt idx="363">
                  <c:v>4.51</c:v>
                </c:pt>
                <c:pt idx="364">
                  <c:v>4.5</c:v>
                </c:pt>
                <c:pt idx="365">
                  <c:v>4.5</c:v>
                </c:pt>
                <c:pt idx="366">
                  <c:v>4.5</c:v>
                </c:pt>
                <c:pt idx="367">
                  <c:v>4.5</c:v>
                </c:pt>
                <c:pt idx="368">
                  <c:v>4.5</c:v>
                </c:pt>
                <c:pt idx="369">
                  <c:v>4.5</c:v>
                </c:pt>
                <c:pt idx="370">
                  <c:v>4.5</c:v>
                </c:pt>
                <c:pt idx="371">
                  <c:v>4.5</c:v>
                </c:pt>
                <c:pt idx="372">
                  <c:v>4.5</c:v>
                </c:pt>
                <c:pt idx="373">
                  <c:v>4.5</c:v>
                </c:pt>
                <c:pt idx="374">
                  <c:v>4.5</c:v>
                </c:pt>
                <c:pt idx="375">
                  <c:v>4.49</c:v>
                </c:pt>
                <c:pt idx="376">
                  <c:v>4.49</c:v>
                </c:pt>
                <c:pt idx="377">
                  <c:v>4.49</c:v>
                </c:pt>
                <c:pt idx="378">
                  <c:v>4.49</c:v>
                </c:pt>
                <c:pt idx="379">
                  <c:v>4.49</c:v>
                </c:pt>
                <c:pt idx="380">
                  <c:v>4.49</c:v>
                </c:pt>
                <c:pt idx="381">
                  <c:v>4.49</c:v>
                </c:pt>
                <c:pt idx="382">
                  <c:v>4.49</c:v>
                </c:pt>
                <c:pt idx="383">
                  <c:v>4.49</c:v>
                </c:pt>
                <c:pt idx="384">
                  <c:v>4.49</c:v>
                </c:pt>
                <c:pt idx="385">
                  <c:v>4.49</c:v>
                </c:pt>
                <c:pt idx="386">
                  <c:v>4.49</c:v>
                </c:pt>
                <c:pt idx="387">
                  <c:v>4.49</c:v>
                </c:pt>
                <c:pt idx="388">
                  <c:v>4.49</c:v>
                </c:pt>
                <c:pt idx="389">
                  <c:v>4.49</c:v>
                </c:pt>
                <c:pt idx="390">
                  <c:v>4.49</c:v>
                </c:pt>
                <c:pt idx="391">
                  <c:v>4.4800000000000004</c:v>
                </c:pt>
                <c:pt idx="392">
                  <c:v>4.4800000000000004</c:v>
                </c:pt>
                <c:pt idx="393">
                  <c:v>4.4800000000000004</c:v>
                </c:pt>
                <c:pt idx="394">
                  <c:v>4.4800000000000004</c:v>
                </c:pt>
                <c:pt idx="395">
                  <c:v>4.4800000000000004</c:v>
                </c:pt>
                <c:pt idx="396">
                  <c:v>4.4800000000000004</c:v>
                </c:pt>
                <c:pt idx="397">
                  <c:v>4.4800000000000004</c:v>
                </c:pt>
                <c:pt idx="398">
                  <c:v>4.4800000000000004</c:v>
                </c:pt>
                <c:pt idx="399">
                  <c:v>4.4800000000000004</c:v>
                </c:pt>
                <c:pt idx="400">
                  <c:v>4.4800000000000004</c:v>
                </c:pt>
                <c:pt idx="401">
                  <c:v>4.4800000000000004</c:v>
                </c:pt>
                <c:pt idx="402">
                  <c:v>4.4800000000000004</c:v>
                </c:pt>
                <c:pt idx="403">
                  <c:v>4.4800000000000004</c:v>
                </c:pt>
                <c:pt idx="404">
                  <c:v>4.4800000000000004</c:v>
                </c:pt>
                <c:pt idx="405">
                  <c:v>4.4800000000000004</c:v>
                </c:pt>
                <c:pt idx="406">
                  <c:v>4.4800000000000004</c:v>
                </c:pt>
                <c:pt idx="407">
                  <c:v>4.4800000000000004</c:v>
                </c:pt>
                <c:pt idx="408">
                  <c:v>4.4800000000000004</c:v>
                </c:pt>
                <c:pt idx="409">
                  <c:v>4.4800000000000004</c:v>
                </c:pt>
                <c:pt idx="410">
                  <c:v>4.4800000000000004</c:v>
                </c:pt>
                <c:pt idx="411">
                  <c:v>4.4800000000000004</c:v>
                </c:pt>
                <c:pt idx="412">
                  <c:v>4.4800000000000004</c:v>
                </c:pt>
                <c:pt idx="413">
                  <c:v>4.4800000000000004</c:v>
                </c:pt>
                <c:pt idx="414">
                  <c:v>4.4800000000000004</c:v>
                </c:pt>
                <c:pt idx="415">
                  <c:v>4.4800000000000004</c:v>
                </c:pt>
                <c:pt idx="416">
                  <c:v>4.4800000000000004</c:v>
                </c:pt>
                <c:pt idx="417">
                  <c:v>4.4800000000000004</c:v>
                </c:pt>
                <c:pt idx="418">
                  <c:v>4.4800000000000004</c:v>
                </c:pt>
                <c:pt idx="419">
                  <c:v>4.4800000000000004</c:v>
                </c:pt>
                <c:pt idx="420">
                  <c:v>4.4800000000000004</c:v>
                </c:pt>
                <c:pt idx="421">
                  <c:v>4.4800000000000004</c:v>
                </c:pt>
                <c:pt idx="422">
                  <c:v>4.4800000000000004</c:v>
                </c:pt>
                <c:pt idx="423">
                  <c:v>4.4800000000000004</c:v>
                </c:pt>
                <c:pt idx="424">
                  <c:v>4.4800000000000004</c:v>
                </c:pt>
                <c:pt idx="425">
                  <c:v>4.4800000000000004</c:v>
                </c:pt>
                <c:pt idx="426">
                  <c:v>4.4800000000000004</c:v>
                </c:pt>
                <c:pt idx="427">
                  <c:v>4.4800000000000004</c:v>
                </c:pt>
                <c:pt idx="428">
                  <c:v>4.4800000000000004</c:v>
                </c:pt>
                <c:pt idx="429">
                  <c:v>4.4800000000000004</c:v>
                </c:pt>
                <c:pt idx="430">
                  <c:v>4.4800000000000004</c:v>
                </c:pt>
                <c:pt idx="431">
                  <c:v>4.4800000000000004</c:v>
                </c:pt>
                <c:pt idx="432">
                  <c:v>4.4800000000000004</c:v>
                </c:pt>
                <c:pt idx="433">
                  <c:v>4.4800000000000004</c:v>
                </c:pt>
                <c:pt idx="434">
                  <c:v>4.4800000000000004</c:v>
                </c:pt>
                <c:pt idx="435">
                  <c:v>4.4800000000000004</c:v>
                </c:pt>
                <c:pt idx="436">
                  <c:v>4.4800000000000004</c:v>
                </c:pt>
                <c:pt idx="437">
                  <c:v>4.4800000000000004</c:v>
                </c:pt>
                <c:pt idx="438">
                  <c:v>4.4800000000000004</c:v>
                </c:pt>
                <c:pt idx="439">
                  <c:v>4.4800000000000004</c:v>
                </c:pt>
                <c:pt idx="440">
                  <c:v>4.4800000000000004</c:v>
                </c:pt>
                <c:pt idx="441">
                  <c:v>4.4800000000000004</c:v>
                </c:pt>
                <c:pt idx="442">
                  <c:v>4.4800000000000004</c:v>
                </c:pt>
                <c:pt idx="443">
                  <c:v>4.4800000000000004</c:v>
                </c:pt>
                <c:pt idx="444">
                  <c:v>4.4800000000000004</c:v>
                </c:pt>
                <c:pt idx="445">
                  <c:v>4.4800000000000004</c:v>
                </c:pt>
                <c:pt idx="446">
                  <c:v>4.49</c:v>
                </c:pt>
                <c:pt idx="447">
                  <c:v>4.49</c:v>
                </c:pt>
                <c:pt idx="448">
                  <c:v>4.49</c:v>
                </c:pt>
                <c:pt idx="449">
                  <c:v>4.49</c:v>
                </c:pt>
                <c:pt idx="450">
                  <c:v>4.49</c:v>
                </c:pt>
                <c:pt idx="451">
                  <c:v>4.49</c:v>
                </c:pt>
                <c:pt idx="452">
                  <c:v>4.49</c:v>
                </c:pt>
                <c:pt idx="453">
                  <c:v>4.49</c:v>
                </c:pt>
                <c:pt idx="454">
                  <c:v>4.49</c:v>
                </c:pt>
                <c:pt idx="455">
                  <c:v>4.49</c:v>
                </c:pt>
                <c:pt idx="456">
                  <c:v>4.49</c:v>
                </c:pt>
                <c:pt idx="457">
                  <c:v>4.49</c:v>
                </c:pt>
                <c:pt idx="458">
                  <c:v>4.49</c:v>
                </c:pt>
                <c:pt idx="459">
                  <c:v>4.49</c:v>
                </c:pt>
                <c:pt idx="460">
                  <c:v>4.49</c:v>
                </c:pt>
                <c:pt idx="461">
                  <c:v>4.49</c:v>
                </c:pt>
                <c:pt idx="462">
                  <c:v>4.49</c:v>
                </c:pt>
                <c:pt idx="463">
                  <c:v>4.49</c:v>
                </c:pt>
                <c:pt idx="464">
                  <c:v>4.5</c:v>
                </c:pt>
                <c:pt idx="465">
                  <c:v>4.5</c:v>
                </c:pt>
                <c:pt idx="466">
                  <c:v>4.5199999999999996</c:v>
                </c:pt>
                <c:pt idx="467">
                  <c:v>4.5199999999999996</c:v>
                </c:pt>
                <c:pt idx="468">
                  <c:v>4.5199999999999996</c:v>
                </c:pt>
                <c:pt idx="469">
                  <c:v>4.5199999999999996</c:v>
                </c:pt>
                <c:pt idx="470">
                  <c:v>4.5199999999999996</c:v>
                </c:pt>
                <c:pt idx="471">
                  <c:v>4.5199999999999996</c:v>
                </c:pt>
                <c:pt idx="472">
                  <c:v>4.5199999999999996</c:v>
                </c:pt>
                <c:pt idx="473">
                  <c:v>4.5199999999999996</c:v>
                </c:pt>
                <c:pt idx="474">
                  <c:v>4.5199999999999996</c:v>
                </c:pt>
                <c:pt idx="475">
                  <c:v>4.5199999999999996</c:v>
                </c:pt>
                <c:pt idx="476">
                  <c:v>4.5199999999999996</c:v>
                </c:pt>
                <c:pt idx="477">
                  <c:v>4.5199999999999996</c:v>
                </c:pt>
                <c:pt idx="478">
                  <c:v>4.5199999999999996</c:v>
                </c:pt>
                <c:pt idx="479">
                  <c:v>4.5199999999999996</c:v>
                </c:pt>
                <c:pt idx="480">
                  <c:v>4.5199999999999996</c:v>
                </c:pt>
                <c:pt idx="481">
                  <c:v>4.5199999999999996</c:v>
                </c:pt>
                <c:pt idx="482">
                  <c:v>4.5199999999999996</c:v>
                </c:pt>
                <c:pt idx="483">
                  <c:v>4.5199999999999996</c:v>
                </c:pt>
                <c:pt idx="484">
                  <c:v>4.5199999999999996</c:v>
                </c:pt>
                <c:pt idx="485">
                  <c:v>4.5199999999999996</c:v>
                </c:pt>
                <c:pt idx="486">
                  <c:v>4.5199999999999996</c:v>
                </c:pt>
                <c:pt idx="487">
                  <c:v>4.5199999999999996</c:v>
                </c:pt>
                <c:pt idx="488">
                  <c:v>4.5199999999999996</c:v>
                </c:pt>
                <c:pt idx="489">
                  <c:v>4.5199999999999996</c:v>
                </c:pt>
                <c:pt idx="490">
                  <c:v>4.5199999999999996</c:v>
                </c:pt>
                <c:pt idx="491">
                  <c:v>4.5199999999999996</c:v>
                </c:pt>
                <c:pt idx="492">
                  <c:v>4.5199999999999996</c:v>
                </c:pt>
                <c:pt idx="493">
                  <c:v>4.5199999999999996</c:v>
                </c:pt>
                <c:pt idx="494">
                  <c:v>4.5199999999999996</c:v>
                </c:pt>
                <c:pt idx="495">
                  <c:v>4.5199999999999996</c:v>
                </c:pt>
                <c:pt idx="496">
                  <c:v>4.5199999999999996</c:v>
                </c:pt>
                <c:pt idx="497">
                  <c:v>4.5199999999999996</c:v>
                </c:pt>
                <c:pt idx="498">
                  <c:v>4.5199999999999996</c:v>
                </c:pt>
                <c:pt idx="499">
                  <c:v>4.5199999999999996</c:v>
                </c:pt>
                <c:pt idx="500">
                  <c:v>4.5199999999999996</c:v>
                </c:pt>
                <c:pt idx="501">
                  <c:v>4.5199999999999996</c:v>
                </c:pt>
                <c:pt idx="502">
                  <c:v>4.5199999999999996</c:v>
                </c:pt>
                <c:pt idx="503">
                  <c:v>4.5199999999999996</c:v>
                </c:pt>
                <c:pt idx="504">
                  <c:v>4.5199999999999996</c:v>
                </c:pt>
                <c:pt idx="505">
                  <c:v>4.5199999999999996</c:v>
                </c:pt>
                <c:pt idx="506">
                  <c:v>4.5199999999999996</c:v>
                </c:pt>
                <c:pt idx="507">
                  <c:v>4.5199999999999996</c:v>
                </c:pt>
                <c:pt idx="508">
                  <c:v>4.5199999999999996</c:v>
                </c:pt>
                <c:pt idx="509">
                  <c:v>4.5199999999999996</c:v>
                </c:pt>
                <c:pt idx="510">
                  <c:v>4.5199999999999996</c:v>
                </c:pt>
                <c:pt idx="511">
                  <c:v>4.5199999999999996</c:v>
                </c:pt>
                <c:pt idx="512">
                  <c:v>4.5199999999999996</c:v>
                </c:pt>
                <c:pt idx="513">
                  <c:v>4.5199999999999996</c:v>
                </c:pt>
                <c:pt idx="514">
                  <c:v>4.5199999999999996</c:v>
                </c:pt>
                <c:pt idx="515">
                  <c:v>4.5199999999999996</c:v>
                </c:pt>
                <c:pt idx="516">
                  <c:v>4.5199999999999996</c:v>
                </c:pt>
                <c:pt idx="517">
                  <c:v>4.5199999999999996</c:v>
                </c:pt>
                <c:pt idx="518">
                  <c:v>4.5199999999999996</c:v>
                </c:pt>
                <c:pt idx="519">
                  <c:v>4.5199999999999996</c:v>
                </c:pt>
                <c:pt idx="520">
                  <c:v>4.5199999999999996</c:v>
                </c:pt>
                <c:pt idx="521">
                  <c:v>4.5199999999999996</c:v>
                </c:pt>
                <c:pt idx="522">
                  <c:v>4.5199999999999996</c:v>
                </c:pt>
                <c:pt idx="523">
                  <c:v>4.5199999999999996</c:v>
                </c:pt>
                <c:pt idx="524">
                  <c:v>4.5199999999999996</c:v>
                </c:pt>
                <c:pt idx="525">
                  <c:v>4.5199999999999996</c:v>
                </c:pt>
                <c:pt idx="526">
                  <c:v>4.5199999999999996</c:v>
                </c:pt>
                <c:pt idx="527">
                  <c:v>4.53</c:v>
                </c:pt>
                <c:pt idx="528">
                  <c:v>4.53</c:v>
                </c:pt>
                <c:pt idx="529">
                  <c:v>4.53</c:v>
                </c:pt>
                <c:pt idx="530">
                  <c:v>4.53</c:v>
                </c:pt>
                <c:pt idx="531">
                  <c:v>4.53</c:v>
                </c:pt>
                <c:pt idx="532">
                  <c:v>4.53</c:v>
                </c:pt>
                <c:pt idx="533">
                  <c:v>4.53</c:v>
                </c:pt>
                <c:pt idx="534">
                  <c:v>4.53</c:v>
                </c:pt>
                <c:pt idx="535">
                  <c:v>4.53</c:v>
                </c:pt>
                <c:pt idx="536">
                  <c:v>4.53</c:v>
                </c:pt>
                <c:pt idx="537">
                  <c:v>4.53</c:v>
                </c:pt>
                <c:pt idx="538">
                  <c:v>4.53</c:v>
                </c:pt>
                <c:pt idx="539">
                  <c:v>4.53</c:v>
                </c:pt>
                <c:pt idx="540">
                  <c:v>4.53</c:v>
                </c:pt>
                <c:pt idx="541">
                  <c:v>4.53</c:v>
                </c:pt>
                <c:pt idx="542">
                  <c:v>4.53</c:v>
                </c:pt>
                <c:pt idx="543">
                  <c:v>4.53</c:v>
                </c:pt>
                <c:pt idx="544">
                  <c:v>4.53</c:v>
                </c:pt>
                <c:pt idx="545">
                  <c:v>4.53</c:v>
                </c:pt>
                <c:pt idx="546">
                  <c:v>4.53</c:v>
                </c:pt>
                <c:pt idx="547">
                  <c:v>4.53</c:v>
                </c:pt>
                <c:pt idx="548">
                  <c:v>4.54</c:v>
                </c:pt>
                <c:pt idx="549">
                  <c:v>4.54</c:v>
                </c:pt>
                <c:pt idx="550">
                  <c:v>4.54</c:v>
                </c:pt>
                <c:pt idx="551">
                  <c:v>4.54</c:v>
                </c:pt>
                <c:pt idx="552">
                  <c:v>4.54</c:v>
                </c:pt>
                <c:pt idx="553">
                  <c:v>4.54</c:v>
                </c:pt>
                <c:pt idx="554">
                  <c:v>4.54</c:v>
                </c:pt>
                <c:pt idx="555">
                  <c:v>4.54</c:v>
                </c:pt>
                <c:pt idx="556">
                  <c:v>4.54</c:v>
                </c:pt>
                <c:pt idx="557">
                  <c:v>4.54</c:v>
                </c:pt>
                <c:pt idx="558">
                  <c:v>4.54</c:v>
                </c:pt>
                <c:pt idx="559">
                  <c:v>4.54</c:v>
                </c:pt>
                <c:pt idx="560">
                  <c:v>4.54</c:v>
                </c:pt>
                <c:pt idx="561">
                  <c:v>4.54</c:v>
                </c:pt>
                <c:pt idx="562">
                  <c:v>4.54</c:v>
                </c:pt>
                <c:pt idx="563">
                  <c:v>4.55</c:v>
                </c:pt>
                <c:pt idx="564">
                  <c:v>4.55</c:v>
                </c:pt>
                <c:pt idx="565">
                  <c:v>4.55</c:v>
                </c:pt>
                <c:pt idx="566">
                  <c:v>4.55</c:v>
                </c:pt>
                <c:pt idx="567">
                  <c:v>4.55</c:v>
                </c:pt>
                <c:pt idx="568">
                  <c:v>4.55</c:v>
                </c:pt>
                <c:pt idx="569">
                  <c:v>4.55</c:v>
                </c:pt>
                <c:pt idx="570">
                  <c:v>4.55</c:v>
                </c:pt>
                <c:pt idx="571">
                  <c:v>4.55</c:v>
                </c:pt>
                <c:pt idx="572">
                  <c:v>4.55</c:v>
                </c:pt>
                <c:pt idx="573">
                  <c:v>4.55</c:v>
                </c:pt>
                <c:pt idx="574">
                  <c:v>4.55</c:v>
                </c:pt>
                <c:pt idx="575">
                  <c:v>4.5599999999999996</c:v>
                </c:pt>
                <c:pt idx="576">
                  <c:v>4.5599999999999996</c:v>
                </c:pt>
                <c:pt idx="577">
                  <c:v>4.5599999999999996</c:v>
                </c:pt>
                <c:pt idx="578">
                  <c:v>4.5599999999999996</c:v>
                </c:pt>
                <c:pt idx="579">
                  <c:v>4.5599999999999996</c:v>
                </c:pt>
                <c:pt idx="580">
                  <c:v>4.5599999999999996</c:v>
                </c:pt>
                <c:pt idx="581">
                  <c:v>4.5599999999999996</c:v>
                </c:pt>
                <c:pt idx="582">
                  <c:v>4.5599999999999996</c:v>
                </c:pt>
                <c:pt idx="583">
                  <c:v>4.5599999999999996</c:v>
                </c:pt>
                <c:pt idx="584">
                  <c:v>4.5599999999999996</c:v>
                </c:pt>
                <c:pt idx="585">
                  <c:v>4.5599999999999996</c:v>
                </c:pt>
                <c:pt idx="586">
                  <c:v>4.57</c:v>
                </c:pt>
                <c:pt idx="587">
                  <c:v>4.57</c:v>
                </c:pt>
                <c:pt idx="588">
                  <c:v>4.57</c:v>
                </c:pt>
                <c:pt idx="589">
                  <c:v>4.57</c:v>
                </c:pt>
                <c:pt idx="590">
                  <c:v>4.57</c:v>
                </c:pt>
                <c:pt idx="591">
                  <c:v>4.57</c:v>
                </c:pt>
                <c:pt idx="592">
                  <c:v>4.57</c:v>
                </c:pt>
                <c:pt idx="593">
                  <c:v>4.57</c:v>
                </c:pt>
                <c:pt idx="594">
                  <c:v>4.57</c:v>
                </c:pt>
                <c:pt idx="595">
                  <c:v>4.57</c:v>
                </c:pt>
                <c:pt idx="596">
                  <c:v>4.58</c:v>
                </c:pt>
                <c:pt idx="597">
                  <c:v>4.58</c:v>
                </c:pt>
                <c:pt idx="598">
                  <c:v>4.58</c:v>
                </c:pt>
                <c:pt idx="599">
                  <c:v>4.58</c:v>
                </c:pt>
                <c:pt idx="600">
                  <c:v>4.58</c:v>
                </c:pt>
                <c:pt idx="601">
                  <c:v>4.58</c:v>
                </c:pt>
                <c:pt idx="602">
                  <c:v>4.58</c:v>
                </c:pt>
                <c:pt idx="603">
                  <c:v>4.58</c:v>
                </c:pt>
                <c:pt idx="604">
                  <c:v>4.58</c:v>
                </c:pt>
                <c:pt idx="605">
                  <c:v>4.59</c:v>
                </c:pt>
                <c:pt idx="606">
                  <c:v>4.59</c:v>
                </c:pt>
                <c:pt idx="607">
                  <c:v>4.59</c:v>
                </c:pt>
                <c:pt idx="608">
                  <c:v>4.59</c:v>
                </c:pt>
                <c:pt idx="609">
                  <c:v>4.59</c:v>
                </c:pt>
                <c:pt idx="610">
                  <c:v>4.59</c:v>
                </c:pt>
                <c:pt idx="611">
                  <c:v>4.59</c:v>
                </c:pt>
                <c:pt idx="612">
                  <c:v>4.59</c:v>
                </c:pt>
                <c:pt idx="613">
                  <c:v>4.5999999999999996</c:v>
                </c:pt>
                <c:pt idx="614">
                  <c:v>4.5999999999999996</c:v>
                </c:pt>
                <c:pt idx="615">
                  <c:v>4.5999999999999996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4.5999999999999996</c:v>
                </c:pt>
                <c:pt idx="621">
                  <c:v>4.6100000000000003</c:v>
                </c:pt>
                <c:pt idx="622">
                  <c:v>4.6100000000000003</c:v>
                </c:pt>
                <c:pt idx="623">
                  <c:v>4.6100000000000003</c:v>
                </c:pt>
                <c:pt idx="624">
                  <c:v>4.6100000000000003</c:v>
                </c:pt>
                <c:pt idx="625">
                  <c:v>4.6100000000000003</c:v>
                </c:pt>
                <c:pt idx="626">
                  <c:v>4.6100000000000003</c:v>
                </c:pt>
                <c:pt idx="627">
                  <c:v>4.6100000000000003</c:v>
                </c:pt>
                <c:pt idx="628">
                  <c:v>4.62</c:v>
                </c:pt>
                <c:pt idx="629">
                  <c:v>4.62</c:v>
                </c:pt>
                <c:pt idx="630">
                  <c:v>4.62</c:v>
                </c:pt>
                <c:pt idx="631">
                  <c:v>4.62</c:v>
                </c:pt>
                <c:pt idx="632">
                  <c:v>4.62</c:v>
                </c:pt>
                <c:pt idx="633">
                  <c:v>4.62</c:v>
                </c:pt>
                <c:pt idx="634">
                  <c:v>4.62</c:v>
                </c:pt>
                <c:pt idx="635">
                  <c:v>4.63</c:v>
                </c:pt>
                <c:pt idx="636">
                  <c:v>4.63</c:v>
                </c:pt>
                <c:pt idx="637">
                  <c:v>4.63</c:v>
                </c:pt>
                <c:pt idx="638">
                  <c:v>4.63</c:v>
                </c:pt>
                <c:pt idx="639">
                  <c:v>4.63</c:v>
                </c:pt>
                <c:pt idx="640">
                  <c:v>4.63</c:v>
                </c:pt>
                <c:pt idx="641">
                  <c:v>4.63</c:v>
                </c:pt>
                <c:pt idx="642">
                  <c:v>4.6399999999999997</c:v>
                </c:pt>
                <c:pt idx="643">
                  <c:v>4.6399999999999997</c:v>
                </c:pt>
                <c:pt idx="644">
                  <c:v>4.6399999999999997</c:v>
                </c:pt>
                <c:pt idx="645">
                  <c:v>4.6399999999999997</c:v>
                </c:pt>
                <c:pt idx="646">
                  <c:v>4.6399999999999997</c:v>
                </c:pt>
                <c:pt idx="647">
                  <c:v>4.6399999999999997</c:v>
                </c:pt>
                <c:pt idx="648">
                  <c:v>4.6399999999999997</c:v>
                </c:pt>
                <c:pt idx="649">
                  <c:v>4.6500000000000004</c:v>
                </c:pt>
                <c:pt idx="650">
                  <c:v>4.6500000000000004</c:v>
                </c:pt>
                <c:pt idx="651">
                  <c:v>4.6500000000000004</c:v>
                </c:pt>
                <c:pt idx="652">
                  <c:v>4.6500000000000004</c:v>
                </c:pt>
                <c:pt idx="653">
                  <c:v>4.6500000000000004</c:v>
                </c:pt>
                <c:pt idx="654">
                  <c:v>4.6500000000000004</c:v>
                </c:pt>
                <c:pt idx="655">
                  <c:v>4.66</c:v>
                </c:pt>
                <c:pt idx="656">
                  <c:v>4.66</c:v>
                </c:pt>
                <c:pt idx="657">
                  <c:v>4.66</c:v>
                </c:pt>
                <c:pt idx="658">
                  <c:v>4.66</c:v>
                </c:pt>
                <c:pt idx="659">
                  <c:v>4.66</c:v>
                </c:pt>
                <c:pt idx="660">
                  <c:v>4.66</c:v>
                </c:pt>
                <c:pt idx="661">
                  <c:v>4.67</c:v>
                </c:pt>
                <c:pt idx="662">
                  <c:v>4.67</c:v>
                </c:pt>
                <c:pt idx="663">
                  <c:v>4.67</c:v>
                </c:pt>
                <c:pt idx="664">
                  <c:v>4.67</c:v>
                </c:pt>
                <c:pt idx="665">
                  <c:v>4.67</c:v>
                </c:pt>
                <c:pt idx="666">
                  <c:v>4.67</c:v>
                </c:pt>
                <c:pt idx="667">
                  <c:v>4.68</c:v>
                </c:pt>
                <c:pt idx="668">
                  <c:v>4.68</c:v>
                </c:pt>
                <c:pt idx="669">
                  <c:v>4.68</c:v>
                </c:pt>
                <c:pt idx="670">
                  <c:v>4.68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4.6900000000000004</c:v>
                </c:pt>
                <c:pt idx="674">
                  <c:v>4.6900000000000004</c:v>
                </c:pt>
                <c:pt idx="675">
                  <c:v>4.6900000000000004</c:v>
                </c:pt>
                <c:pt idx="676">
                  <c:v>4.6900000000000004</c:v>
                </c:pt>
                <c:pt idx="677">
                  <c:v>4.6900000000000004</c:v>
                </c:pt>
                <c:pt idx="678">
                  <c:v>4.7</c:v>
                </c:pt>
                <c:pt idx="679">
                  <c:v>4.7</c:v>
                </c:pt>
                <c:pt idx="680">
                  <c:v>4.7</c:v>
                </c:pt>
                <c:pt idx="681">
                  <c:v>4.7</c:v>
                </c:pt>
                <c:pt idx="682">
                  <c:v>4.7</c:v>
                </c:pt>
                <c:pt idx="683">
                  <c:v>4.71</c:v>
                </c:pt>
                <c:pt idx="684">
                  <c:v>4.71</c:v>
                </c:pt>
                <c:pt idx="685">
                  <c:v>4.71</c:v>
                </c:pt>
                <c:pt idx="686">
                  <c:v>4.71</c:v>
                </c:pt>
                <c:pt idx="687">
                  <c:v>4.71</c:v>
                </c:pt>
                <c:pt idx="688">
                  <c:v>4.72</c:v>
                </c:pt>
                <c:pt idx="689">
                  <c:v>4.72</c:v>
                </c:pt>
                <c:pt idx="690">
                  <c:v>4.72</c:v>
                </c:pt>
                <c:pt idx="691">
                  <c:v>4.72</c:v>
                </c:pt>
                <c:pt idx="692">
                  <c:v>4.72</c:v>
                </c:pt>
                <c:pt idx="693">
                  <c:v>4.7300000000000004</c:v>
                </c:pt>
                <c:pt idx="694">
                  <c:v>4.7300000000000004</c:v>
                </c:pt>
                <c:pt idx="695">
                  <c:v>4.7300000000000004</c:v>
                </c:pt>
                <c:pt idx="696">
                  <c:v>4.7300000000000004</c:v>
                </c:pt>
                <c:pt idx="697">
                  <c:v>4.7300000000000004</c:v>
                </c:pt>
                <c:pt idx="698">
                  <c:v>4.74</c:v>
                </c:pt>
                <c:pt idx="699">
                  <c:v>4.74</c:v>
                </c:pt>
                <c:pt idx="700">
                  <c:v>4.74</c:v>
                </c:pt>
                <c:pt idx="701">
                  <c:v>4.74</c:v>
                </c:pt>
                <c:pt idx="702">
                  <c:v>4.74</c:v>
                </c:pt>
                <c:pt idx="703">
                  <c:v>4.75</c:v>
                </c:pt>
                <c:pt idx="704">
                  <c:v>4.75</c:v>
                </c:pt>
                <c:pt idx="705">
                  <c:v>4.75</c:v>
                </c:pt>
                <c:pt idx="706">
                  <c:v>4.75</c:v>
                </c:pt>
                <c:pt idx="707">
                  <c:v>4.75</c:v>
                </c:pt>
                <c:pt idx="708">
                  <c:v>4.76</c:v>
                </c:pt>
                <c:pt idx="709">
                  <c:v>4.76</c:v>
                </c:pt>
                <c:pt idx="710">
                  <c:v>4.76</c:v>
                </c:pt>
                <c:pt idx="711">
                  <c:v>4.76</c:v>
                </c:pt>
                <c:pt idx="712">
                  <c:v>4.76</c:v>
                </c:pt>
                <c:pt idx="713">
                  <c:v>4.7699999999999996</c:v>
                </c:pt>
                <c:pt idx="714">
                  <c:v>4.7699999999999996</c:v>
                </c:pt>
                <c:pt idx="715">
                  <c:v>4.7699999999999996</c:v>
                </c:pt>
                <c:pt idx="716">
                  <c:v>4.7699999999999996</c:v>
                </c:pt>
                <c:pt idx="717">
                  <c:v>4.78</c:v>
                </c:pt>
                <c:pt idx="718">
                  <c:v>4.78</c:v>
                </c:pt>
                <c:pt idx="719">
                  <c:v>4.78</c:v>
                </c:pt>
                <c:pt idx="720">
                  <c:v>4.78</c:v>
                </c:pt>
                <c:pt idx="721">
                  <c:v>4.78</c:v>
                </c:pt>
                <c:pt idx="722">
                  <c:v>4.79</c:v>
                </c:pt>
                <c:pt idx="723">
                  <c:v>4.79</c:v>
                </c:pt>
                <c:pt idx="724">
                  <c:v>4.79</c:v>
                </c:pt>
                <c:pt idx="725">
                  <c:v>4.79</c:v>
                </c:pt>
                <c:pt idx="726">
                  <c:v>4.8</c:v>
                </c:pt>
                <c:pt idx="727">
                  <c:v>4.8</c:v>
                </c:pt>
                <c:pt idx="728">
                  <c:v>4.8</c:v>
                </c:pt>
                <c:pt idx="729">
                  <c:v>4.8</c:v>
                </c:pt>
                <c:pt idx="730">
                  <c:v>4.8099999999999996</c:v>
                </c:pt>
                <c:pt idx="731">
                  <c:v>4.8099999999999996</c:v>
                </c:pt>
                <c:pt idx="732">
                  <c:v>4.8099999999999996</c:v>
                </c:pt>
                <c:pt idx="733">
                  <c:v>4.8099999999999996</c:v>
                </c:pt>
                <c:pt idx="734">
                  <c:v>4.8099999999999996</c:v>
                </c:pt>
                <c:pt idx="735">
                  <c:v>4.82</c:v>
                </c:pt>
                <c:pt idx="736">
                  <c:v>4.82</c:v>
                </c:pt>
                <c:pt idx="737">
                  <c:v>4.82</c:v>
                </c:pt>
                <c:pt idx="738">
                  <c:v>4.82</c:v>
                </c:pt>
                <c:pt idx="739">
                  <c:v>4.83</c:v>
                </c:pt>
                <c:pt idx="740">
                  <c:v>4.83</c:v>
                </c:pt>
                <c:pt idx="741">
                  <c:v>4.83</c:v>
                </c:pt>
                <c:pt idx="742">
                  <c:v>4.83</c:v>
                </c:pt>
                <c:pt idx="743">
                  <c:v>4.84</c:v>
                </c:pt>
                <c:pt idx="744">
                  <c:v>4.84</c:v>
                </c:pt>
                <c:pt idx="745">
                  <c:v>4.84</c:v>
                </c:pt>
                <c:pt idx="746">
                  <c:v>4.84</c:v>
                </c:pt>
                <c:pt idx="747">
                  <c:v>4.8499999999999996</c:v>
                </c:pt>
                <c:pt idx="748">
                  <c:v>4.8499999999999996</c:v>
                </c:pt>
                <c:pt idx="749">
                  <c:v>4.8499999999999996</c:v>
                </c:pt>
                <c:pt idx="750">
                  <c:v>4.8499999999999996</c:v>
                </c:pt>
                <c:pt idx="751">
                  <c:v>4.8600000000000003</c:v>
                </c:pt>
                <c:pt idx="752">
                  <c:v>4.8600000000000003</c:v>
                </c:pt>
                <c:pt idx="753">
                  <c:v>4.8600000000000003</c:v>
                </c:pt>
                <c:pt idx="754">
                  <c:v>4.8600000000000003</c:v>
                </c:pt>
                <c:pt idx="755">
                  <c:v>4.87</c:v>
                </c:pt>
                <c:pt idx="756">
                  <c:v>4.87</c:v>
                </c:pt>
                <c:pt idx="757">
                  <c:v>4.87</c:v>
                </c:pt>
                <c:pt idx="758">
                  <c:v>4.87</c:v>
                </c:pt>
                <c:pt idx="759">
                  <c:v>4.88</c:v>
                </c:pt>
                <c:pt idx="760">
                  <c:v>4.88</c:v>
                </c:pt>
                <c:pt idx="761">
                  <c:v>4.88</c:v>
                </c:pt>
                <c:pt idx="762">
                  <c:v>4.8899999999999997</c:v>
                </c:pt>
                <c:pt idx="763">
                  <c:v>4.8899999999999997</c:v>
                </c:pt>
                <c:pt idx="764">
                  <c:v>4.8899999999999997</c:v>
                </c:pt>
                <c:pt idx="765">
                  <c:v>4.8899999999999997</c:v>
                </c:pt>
                <c:pt idx="766">
                  <c:v>4.9000000000000004</c:v>
                </c:pt>
                <c:pt idx="767">
                  <c:v>4.9000000000000004</c:v>
                </c:pt>
                <c:pt idx="768">
                  <c:v>4.9000000000000004</c:v>
                </c:pt>
                <c:pt idx="769">
                  <c:v>4.9000000000000004</c:v>
                </c:pt>
                <c:pt idx="770">
                  <c:v>4.91</c:v>
                </c:pt>
                <c:pt idx="771">
                  <c:v>4.91</c:v>
                </c:pt>
                <c:pt idx="772">
                  <c:v>4.91</c:v>
                </c:pt>
                <c:pt idx="773">
                  <c:v>4.92</c:v>
                </c:pt>
              </c:numCache>
            </c:numRef>
          </c:xVal>
          <c:yVal>
            <c:numRef>
              <c:f>'Comparison with LiquefyPro'!$R$5:$R$778</c:f>
              <c:numCache>
                <c:formatCode>0.000</c:formatCode>
                <c:ptCount val="774"/>
                <c:pt idx="0">
                  <c:v>-0.67</c:v>
                </c:pt>
                <c:pt idx="1">
                  <c:v>-0.69</c:v>
                </c:pt>
                <c:pt idx="2">
                  <c:v>-0.72</c:v>
                </c:pt>
                <c:pt idx="3">
                  <c:v>-0.74</c:v>
                </c:pt>
                <c:pt idx="4">
                  <c:v>-0.77</c:v>
                </c:pt>
                <c:pt idx="5">
                  <c:v>-0.79</c:v>
                </c:pt>
                <c:pt idx="6">
                  <c:v>-0.82</c:v>
                </c:pt>
                <c:pt idx="7">
                  <c:v>-0.84</c:v>
                </c:pt>
                <c:pt idx="8">
                  <c:v>-0.87</c:v>
                </c:pt>
                <c:pt idx="9">
                  <c:v>-0.89</c:v>
                </c:pt>
                <c:pt idx="10">
                  <c:v>-0.92</c:v>
                </c:pt>
                <c:pt idx="11">
                  <c:v>-0.94</c:v>
                </c:pt>
                <c:pt idx="12">
                  <c:v>-0.97</c:v>
                </c:pt>
                <c:pt idx="13">
                  <c:v>-0.99</c:v>
                </c:pt>
                <c:pt idx="14">
                  <c:v>-1.02</c:v>
                </c:pt>
                <c:pt idx="15">
                  <c:v>-1.04</c:v>
                </c:pt>
                <c:pt idx="16">
                  <c:v>-1.07</c:v>
                </c:pt>
                <c:pt idx="17">
                  <c:v>-1.0900000000000001</c:v>
                </c:pt>
                <c:pt idx="18">
                  <c:v>-1.1200000000000001</c:v>
                </c:pt>
                <c:pt idx="19">
                  <c:v>-1.1399999999999999</c:v>
                </c:pt>
                <c:pt idx="20">
                  <c:v>-1.17</c:v>
                </c:pt>
                <c:pt idx="21">
                  <c:v>-1.19</c:v>
                </c:pt>
                <c:pt idx="22">
                  <c:v>-1.22</c:v>
                </c:pt>
                <c:pt idx="23">
                  <c:v>-1.24</c:v>
                </c:pt>
                <c:pt idx="24">
                  <c:v>-1.27</c:v>
                </c:pt>
                <c:pt idx="25">
                  <c:v>-1.29</c:v>
                </c:pt>
                <c:pt idx="26">
                  <c:v>-1.32</c:v>
                </c:pt>
                <c:pt idx="27">
                  <c:v>-1.34</c:v>
                </c:pt>
                <c:pt idx="28">
                  <c:v>-1.37</c:v>
                </c:pt>
                <c:pt idx="29">
                  <c:v>-1.39</c:v>
                </c:pt>
                <c:pt idx="30">
                  <c:v>-1.42</c:v>
                </c:pt>
                <c:pt idx="31">
                  <c:v>-1.44</c:v>
                </c:pt>
                <c:pt idx="32">
                  <c:v>-1.47</c:v>
                </c:pt>
                <c:pt idx="33">
                  <c:v>-1.49</c:v>
                </c:pt>
                <c:pt idx="34">
                  <c:v>-1.52</c:v>
                </c:pt>
                <c:pt idx="35">
                  <c:v>-1.54</c:v>
                </c:pt>
                <c:pt idx="36">
                  <c:v>-1.57</c:v>
                </c:pt>
                <c:pt idx="37">
                  <c:v>-1.59</c:v>
                </c:pt>
                <c:pt idx="38">
                  <c:v>-1.62</c:v>
                </c:pt>
                <c:pt idx="39">
                  <c:v>-1.64</c:v>
                </c:pt>
                <c:pt idx="40">
                  <c:v>-1.67</c:v>
                </c:pt>
                <c:pt idx="41">
                  <c:v>-1.69</c:v>
                </c:pt>
                <c:pt idx="42">
                  <c:v>-1.72</c:v>
                </c:pt>
                <c:pt idx="43">
                  <c:v>-1.74</c:v>
                </c:pt>
                <c:pt idx="44">
                  <c:v>-1.77</c:v>
                </c:pt>
                <c:pt idx="45">
                  <c:v>-1.79</c:v>
                </c:pt>
                <c:pt idx="46">
                  <c:v>-1.82</c:v>
                </c:pt>
                <c:pt idx="47">
                  <c:v>-1.84</c:v>
                </c:pt>
                <c:pt idx="48">
                  <c:v>-1.87</c:v>
                </c:pt>
                <c:pt idx="49">
                  <c:v>-1.89</c:v>
                </c:pt>
                <c:pt idx="50">
                  <c:v>-1.92</c:v>
                </c:pt>
                <c:pt idx="51">
                  <c:v>-1.94</c:v>
                </c:pt>
                <c:pt idx="52">
                  <c:v>-1.97</c:v>
                </c:pt>
                <c:pt idx="53">
                  <c:v>-1.99</c:v>
                </c:pt>
                <c:pt idx="54">
                  <c:v>-2.02</c:v>
                </c:pt>
                <c:pt idx="55">
                  <c:v>-2.04</c:v>
                </c:pt>
                <c:pt idx="56">
                  <c:v>-2.0699999999999998</c:v>
                </c:pt>
                <c:pt idx="57">
                  <c:v>-2.09</c:v>
                </c:pt>
                <c:pt idx="58">
                  <c:v>-2.12</c:v>
                </c:pt>
                <c:pt idx="59">
                  <c:v>-2.14</c:v>
                </c:pt>
                <c:pt idx="60">
                  <c:v>-2.17</c:v>
                </c:pt>
                <c:pt idx="61">
                  <c:v>-2.19</c:v>
                </c:pt>
                <c:pt idx="62">
                  <c:v>-2.2200000000000002</c:v>
                </c:pt>
                <c:pt idx="63">
                  <c:v>-2.2400000000000002</c:v>
                </c:pt>
                <c:pt idx="64">
                  <c:v>-2.27</c:v>
                </c:pt>
                <c:pt idx="65">
                  <c:v>-2.29</c:v>
                </c:pt>
                <c:pt idx="66">
                  <c:v>-2.3199999999999998</c:v>
                </c:pt>
                <c:pt idx="67">
                  <c:v>-2.35</c:v>
                </c:pt>
                <c:pt idx="68">
                  <c:v>-2.37</c:v>
                </c:pt>
                <c:pt idx="69">
                  <c:v>-2.4</c:v>
                </c:pt>
                <c:pt idx="70">
                  <c:v>-2.42</c:v>
                </c:pt>
                <c:pt idx="71">
                  <c:v>-2.4500000000000002</c:v>
                </c:pt>
                <c:pt idx="72">
                  <c:v>-2.4700000000000002</c:v>
                </c:pt>
                <c:pt idx="73">
                  <c:v>-2.5</c:v>
                </c:pt>
                <c:pt idx="74">
                  <c:v>-2.52</c:v>
                </c:pt>
                <c:pt idx="75">
                  <c:v>-2.5499999999999998</c:v>
                </c:pt>
                <c:pt idx="76">
                  <c:v>-2.57</c:v>
                </c:pt>
                <c:pt idx="77">
                  <c:v>-2.6</c:v>
                </c:pt>
                <c:pt idx="78">
                  <c:v>-2.62</c:v>
                </c:pt>
                <c:pt idx="79">
                  <c:v>-2.65</c:v>
                </c:pt>
                <c:pt idx="80">
                  <c:v>-2.67</c:v>
                </c:pt>
                <c:pt idx="81">
                  <c:v>-2.7</c:v>
                </c:pt>
                <c:pt idx="82">
                  <c:v>-2.72</c:v>
                </c:pt>
                <c:pt idx="83">
                  <c:v>-2.75</c:v>
                </c:pt>
                <c:pt idx="84">
                  <c:v>-2.77</c:v>
                </c:pt>
                <c:pt idx="85">
                  <c:v>-2.8</c:v>
                </c:pt>
                <c:pt idx="86">
                  <c:v>-2.82</c:v>
                </c:pt>
                <c:pt idx="87">
                  <c:v>-2.85</c:v>
                </c:pt>
                <c:pt idx="88">
                  <c:v>-2.87</c:v>
                </c:pt>
                <c:pt idx="89">
                  <c:v>-2.9</c:v>
                </c:pt>
                <c:pt idx="90">
                  <c:v>-2.92</c:v>
                </c:pt>
                <c:pt idx="91">
                  <c:v>-2.95</c:v>
                </c:pt>
                <c:pt idx="92">
                  <c:v>-2.97</c:v>
                </c:pt>
                <c:pt idx="93">
                  <c:v>-3</c:v>
                </c:pt>
                <c:pt idx="94">
                  <c:v>-3.02</c:v>
                </c:pt>
                <c:pt idx="95">
                  <c:v>-3.05</c:v>
                </c:pt>
                <c:pt idx="96">
                  <c:v>-3.07</c:v>
                </c:pt>
                <c:pt idx="97">
                  <c:v>-3.1</c:v>
                </c:pt>
                <c:pt idx="98">
                  <c:v>-3.12</c:v>
                </c:pt>
                <c:pt idx="99">
                  <c:v>-3.15</c:v>
                </c:pt>
                <c:pt idx="100">
                  <c:v>-3.17</c:v>
                </c:pt>
                <c:pt idx="101">
                  <c:v>-3.2</c:v>
                </c:pt>
                <c:pt idx="102">
                  <c:v>-3.22</c:v>
                </c:pt>
                <c:pt idx="103">
                  <c:v>-3.25</c:v>
                </c:pt>
                <c:pt idx="104">
                  <c:v>-3.27</c:v>
                </c:pt>
                <c:pt idx="105">
                  <c:v>-3.3</c:v>
                </c:pt>
                <c:pt idx="106">
                  <c:v>-3.32</c:v>
                </c:pt>
                <c:pt idx="107">
                  <c:v>-3.35</c:v>
                </c:pt>
                <c:pt idx="108">
                  <c:v>-3.37</c:v>
                </c:pt>
                <c:pt idx="109">
                  <c:v>-3.4</c:v>
                </c:pt>
                <c:pt idx="110">
                  <c:v>-3.42</c:v>
                </c:pt>
                <c:pt idx="111">
                  <c:v>-3.45</c:v>
                </c:pt>
                <c:pt idx="112">
                  <c:v>-3.47</c:v>
                </c:pt>
                <c:pt idx="113">
                  <c:v>-3.5</c:v>
                </c:pt>
                <c:pt idx="114">
                  <c:v>-3.52</c:v>
                </c:pt>
                <c:pt idx="115">
                  <c:v>-3.55</c:v>
                </c:pt>
                <c:pt idx="116">
                  <c:v>-3.57</c:v>
                </c:pt>
                <c:pt idx="117">
                  <c:v>-3.6</c:v>
                </c:pt>
                <c:pt idx="118">
                  <c:v>-3.62</c:v>
                </c:pt>
                <c:pt idx="119">
                  <c:v>-3.65</c:v>
                </c:pt>
                <c:pt idx="120">
                  <c:v>-3.67</c:v>
                </c:pt>
                <c:pt idx="121">
                  <c:v>-3.7</c:v>
                </c:pt>
                <c:pt idx="122">
                  <c:v>-3.72</c:v>
                </c:pt>
                <c:pt idx="123">
                  <c:v>-3.75</c:v>
                </c:pt>
                <c:pt idx="124">
                  <c:v>-3.77</c:v>
                </c:pt>
                <c:pt idx="125">
                  <c:v>-3.8</c:v>
                </c:pt>
                <c:pt idx="126">
                  <c:v>-3.82</c:v>
                </c:pt>
                <c:pt idx="127">
                  <c:v>-3.85</c:v>
                </c:pt>
                <c:pt idx="128">
                  <c:v>-3.87</c:v>
                </c:pt>
                <c:pt idx="129">
                  <c:v>-3.9</c:v>
                </c:pt>
                <c:pt idx="130">
                  <c:v>-3.92</c:v>
                </c:pt>
                <c:pt idx="131">
                  <c:v>-3.95</c:v>
                </c:pt>
                <c:pt idx="132">
                  <c:v>-3.97</c:v>
                </c:pt>
                <c:pt idx="133">
                  <c:v>-4</c:v>
                </c:pt>
                <c:pt idx="134">
                  <c:v>-4.0199999999999996</c:v>
                </c:pt>
                <c:pt idx="135">
                  <c:v>-4.05</c:v>
                </c:pt>
                <c:pt idx="136">
                  <c:v>-4.07</c:v>
                </c:pt>
                <c:pt idx="137">
                  <c:v>-4.0999999999999996</c:v>
                </c:pt>
                <c:pt idx="138">
                  <c:v>-4.12</c:v>
                </c:pt>
                <c:pt idx="139">
                  <c:v>-4.1500000000000004</c:v>
                </c:pt>
                <c:pt idx="140">
                  <c:v>-4.17</c:v>
                </c:pt>
                <c:pt idx="141">
                  <c:v>-4.2</c:v>
                </c:pt>
                <c:pt idx="142">
                  <c:v>-4.22</c:v>
                </c:pt>
                <c:pt idx="143">
                  <c:v>-4.25</c:v>
                </c:pt>
                <c:pt idx="144">
                  <c:v>-4.2699999999999996</c:v>
                </c:pt>
                <c:pt idx="145">
                  <c:v>-4.3</c:v>
                </c:pt>
                <c:pt idx="146">
                  <c:v>-4.32</c:v>
                </c:pt>
                <c:pt idx="147">
                  <c:v>-4.3499999999999996</c:v>
                </c:pt>
                <c:pt idx="148">
                  <c:v>-4.37</c:v>
                </c:pt>
                <c:pt idx="149">
                  <c:v>-4.4000000000000004</c:v>
                </c:pt>
                <c:pt idx="150">
                  <c:v>-4.42</c:v>
                </c:pt>
                <c:pt idx="151">
                  <c:v>-4.45</c:v>
                </c:pt>
                <c:pt idx="152">
                  <c:v>-4.47</c:v>
                </c:pt>
                <c:pt idx="153">
                  <c:v>-4.5</c:v>
                </c:pt>
                <c:pt idx="154">
                  <c:v>-4.5199999999999996</c:v>
                </c:pt>
                <c:pt idx="155">
                  <c:v>-4.55</c:v>
                </c:pt>
                <c:pt idx="156">
                  <c:v>-4.57</c:v>
                </c:pt>
                <c:pt idx="157">
                  <c:v>-4.5999999999999996</c:v>
                </c:pt>
                <c:pt idx="158">
                  <c:v>-4.62</c:v>
                </c:pt>
                <c:pt idx="159">
                  <c:v>-4.6500000000000004</c:v>
                </c:pt>
                <c:pt idx="160">
                  <c:v>-4.67</c:v>
                </c:pt>
                <c:pt idx="161">
                  <c:v>-4.7</c:v>
                </c:pt>
                <c:pt idx="162">
                  <c:v>-4.72</c:v>
                </c:pt>
                <c:pt idx="163">
                  <c:v>-4.75</c:v>
                </c:pt>
                <c:pt idx="164">
                  <c:v>-4.7699999999999996</c:v>
                </c:pt>
                <c:pt idx="165">
                  <c:v>-4.8</c:v>
                </c:pt>
                <c:pt idx="166">
                  <c:v>-4.82</c:v>
                </c:pt>
                <c:pt idx="167">
                  <c:v>-4.8499999999999996</c:v>
                </c:pt>
                <c:pt idx="168">
                  <c:v>-4.87</c:v>
                </c:pt>
                <c:pt idx="169">
                  <c:v>-4.9000000000000004</c:v>
                </c:pt>
                <c:pt idx="170">
                  <c:v>-4.92</c:v>
                </c:pt>
                <c:pt idx="171">
                  <c:v>-4.95</c:v>
                </c:pt>
                <c:pt idx="172">
                  <c:v>-4.97</c:v>
                </c:pt>
                <c:pt idx="173">
                  <c:v>-5</c:v>
                </c:pt>
                <c:pt idx="174">
                  <c:v>-5.0199999999999996</c:v>
                </c:pt>
                <c:pt idx="175">
                  <c:v>-5.05</c:v>
                </c:pt>
                <c:pt idx="176">
                  <c:v>-5.07</c:v>
                </c:pt>
                <c:pt idx="177">
                  <c:v>-5.0999999999999996</c:v>
                </c:pt>
                <c:pt idx="178">
                  <c:v>-5.12</c:v>
                </c:pt>
                <c:pt idx="179">
                  <c:v>-5.15</c:v>
                </c:pt>
                <c:pt idx="180">
                  <c:v>-5.17</c:v>
                </c:pt>
                <c:pt idx="181">
                  <c:v>-5.2</c:v>
                </c:pt>
                <c:pt idx="182">
                  <c:v>-5.22</c:v>
                </c:pt>
                <c:pt idx="183">
                  <c:v>-5.25</c:v>
                </c:pt>
                <c:pt idx="184">
                  <c:v>-5.27</c:v>
                </c:pt>
                <c:pt idx="185">
                  <c:v>-5.3</c:v>
                </c:pt>
                <c:pt idx="186">
                  <c:v>-5.32</c:v>
                </c:pt>
                <c:pt idx="187">
                  <c:v>-5.35</c:v>
                </c:pt>
                <c:pt idx="188">
                  <c:v>-5.37</c:v>
                </c:pt>
                <c:pt idx="189">
                  <c:v>-5.4</c:v>
                </c:pt>
                <c:pt idx="190">
                  <c:v>-5.42</c:v>
                </c:pt>
                <c:pt idx="191">
                  <c:v>-5.45</c:v>
                </c:pt>
                <c:pt idx="192">
                  <c:v>-5.47</c:v>
                </c:pt>
                <c:pt idx="193">
                  <c:v>-5.5</c:v>
                </c:pt>
                <c:pt idx="194">
                  <c:v>-5.52</c:v>
                </c:pt>
                <c:pt idx="195">
                  <c:v>-5.55</c:v>
                </c:pt>
                <c:pt idx="196">
                  <c:v>-5.57</c:v>
                </c:pt>
                <c:pt idx="197">
                  <c:v>-5.6</c:v>
                </c:pt>
                <c:pt idx="198">
                  <c:v>-5.62</c:v>
                </c:pt>
                <c:pt idx="199">
                  <c:v>-5.65</c:v>
                </c:pt>
                <c:pt idx="200">
                  <c:v>-5.67</c:v>
                </c:pt>
                <c:pt idx="201">
                  <c:v>-5.7</c:v>
                </c:pt>
                <c:pt idx="202">
                  <c:v>-5.72</c:v>
                </c:pt>
                <c:pt idx="203">
                  <c:v>-5.75</c:v>
                </c:pt>
                <c:pt idx="204">
                  <c:v>-5.77</c:v>
                </c:pt>
                <c:pt idx="205">
                  <c:v>-5.8</c:v>
                </c:pt>
                <c:pt idx="206">
                  <c:v>-5.82</c:v>
                </c:pt>
                <c:pt idx="207">
                  <c:v>-5.85</c:v>
                </c:pt>
                <c:pt idx="208">
                  <c:v>-5.87</c:v>
                </c:pt>
                <c:pt idx="209">
                  <c:v>-5.9</c:v>
                </c:pt>
                <c:pt idx="210">
                  <c:v>-5.92</c:v>
                </c:pt>
                <c:pt idx="211">
                  <c:v>-5.95</c:v>
                </c:pt>
                <c:pt idx="212">
                  <c:v>-5.97</c:v>
                </c:pt>
                <c:pt idx="213">
                  <c:v>-6</c:v>
                </c:pt>
                <c:pt idx="214">
                  <c:v>-6.02</c:v>
                </c:pt>
                <c:pt idx="215">
                  <c:v>-6.05</c:v>
                </c:pt>
                <c:pt idx="216">
                  <c:v>-6.07</c:v>
                </c:pt>
                <c:pt idx="217">
                  <c:v>-6.1</c:v>
                </c:pt>
                <c:pt idx="218">
                  <c:v>-6.12</c:v>
                </c:pt>
                <c:pt idx="219">
                  <c:v>-6.15</c:v>
                </c:pt>
                <c:pt idx="220">
                  <c:v>-6.17</c:v>
                </c:pt>
                <c:pt idx="221">
                  <c:v>-6.2</c:v>
                </c:pt>
                <c:pt idx="222">
                  <c:v>-6.22</c:v>
                </c:pt>
                <c:pt idx="223">
                  <c:v>-6.25</c:v>
                </c:pt>
                <c:pt idx="224">
                  <c:v>-6.27</c:v>
                </c:pt>
                <c:pt idx="225">
                  <c:v>-6.3</c:v>
                </c:pt>
                <c:pt idx="226">
                  <c:v>-6.32</c:v>
                </c:pt>
                <c:pt idx="227">
                  <c:v>-6.35</c:v>
                </c:pt>
                <c:pt idx="228">
                  <c:v>-6.37</c:v>
                </c:pt>
                <c:pt idx="229">
                  <c:v>-6.4</c:v>
                </c:pt>
                <c:pt idx="230">
                  <c:v>-6.42</c:v>
                </c:pt>
                <c:pt idx="231">
                  <c:v>-6.45</c:v>
                </c:pt>
                <c:pt idx="232">
                  <c:v>-6.47</c:v>
                </c:pt>
                <c:pt idx="233">
                  <c:v>-6.5</c:v>
                </c:pt>
                <c:pt idx="234">
                  <c:v>-6.52</c:v>
                </c:pt>
                <c:pt idx="235">
                  <c:v>-6.55</c:v>
                </c:pt>
                <c:pt idx="236">
                  <c:v>-6.57</c:v>
                </c:pt>
                <c:pt idx="237">
                  <c:v>-6.6</c:v>
                </c:pt>
                <c:pt idx="238">
                  <c:v>-6.62</c:v>
                </c:pt>
                <c:pt idx="239">
                  <c:v>-6.65</c:v>
                </c:pt>
                <c:pt idx="240">
                  <c:v>-6.67</c:v>
                </c:pt>
                <c:pt idx="241">
                  <c:v>-6.7</c:v>
                </c:pt>
                <c:pt idx="242">
                  <c:v>-6.72</c:v>
                </c:pt>
                <c:pt idx="243">
                  <c:v>-6.75</c:v>
                </c:pt>
                <c:pt idx="244">
                  <c:v>-6.77</c:v>
                </c:pt>
                <c:pt idx="245">
                  <c:v>-6.8</c:v>
                </c:pt>
                <c:pt idx="246">
                  <c:v>-6.82</c:v>
                </c:pt>
                <c:pt idx="247">
                  <c:v>-6.85</c:v>
                </c:pt>
                <c:pt idx="248">
                  <c:v>-6.87</c:v>
                </c:pt>
                <c:pt idx="249">
                  <c:v>-6.9</c:v>
                </c:pt>
                <c:pt idx="250">
                  <c:v>-6.92</c:v>
                </c:pt>
                <c:pt idx="251">
                  <c:v>-6.95</c:v>
                </c:pt>
                <c:pt idx="252">
                  <c:v>-6.97</c:v>
                </c:pt>
                <c:pt idx="253">
                  <c:v>-7</c:v>
                </c:pt>
                <c:pt idx="254">
                  <c:v>-7.02</c:v>
                </c:pt>
                <c:pt idx="255">
                  <c:v>-7.05</c:v>
                </c:pt>
                <c:pt idx="256">
                  <c:v>-7.07</c:v>
                </c:pt>
                <c:pt idx="257">
                  <c:v>-7.1</c:v>
                </c:pt>
                <c:pt idx="258">
                  <c:v>-7.12</c:v>
                </c:pt>
                <c:pt idx="259">
                  <c:v>-7.15</c:v>
                </c:pt>
                <c:pt idx="260">
                  <c:v>-7.17</c:v>
                </c:pt>
                <c:pt idx="261">
                  <c:v>-7.2</c:v>
                </c:pt>
                <c:pt idx="262">
                  <c:v>-7.22</c:v>
                </c:pt>
                <c:pt idx="263">
                  <c:v>-7.25</c:v>
                </c:pt>
                <c:pt idx="264">
                  <c:v>-7.27</c:v>
                </c:pt>
                <c:pt idx="265">
                  <c:v>-7.3</c:v>
                </c:pt>
                <c:pt idx="266">
                  <c:v>-7.32</c:v>
                </c:pt>
                <c:pt idx="267">
                  <c:v>-7.35</c:v>
                </c:pt>
                <c:pt idx="268">
                  <c:v>-7.37</c:v>
                </c:pt>
                <c:pt idx="269">
                  <c:v>-7.4</c:v>
                </c:pt>
                <c:pt idx="270">
                  <c:v>-7.42</c:v>
                </c:pt>
                <c:pt idx="271">
                  <c:v>-7.45</c:v>
                </c:pt>
                <c:pt idx="272">
                  <c:v>-7.47</c:v>
                </c:pt>
                <c:pt idx="273">
                  <c:v>-7.5</c:v>
                </c:pt>
                <c:pt idx="274">
                  <c:v>-7.52</c:v>
                </c:pt>
                <c:pt idx="275">
                  <c:v>-7.55</c:v>
                </c:pt>
                <c:pt idx="276">
                  <c:v>-7.57</c:v>
                </c:pt>
                <c:pt idx="277">
                  <c:v>-7.6</c:v>
                </c:pt>
                <c:pt idx="278">
                  <c:v>-7.62</c:v>
                </c:pt>
                <c:pt idx="279">
                  <c:v>-7.65</c:v>
                </c:pt>
                <c:pt idx="280">
                  <c:v>-7.67</c:v>
                </c:pt>
                <c:pt idx="281">
                  <c:v>-7.7</c:v>
                </c:pt>
                <c:pt idx="282">
                  <c:v>-7.72</c:v>
                </c:pt>
                <c:pt idx="283">
                  <c:v>-7.75</c:v>
                </c:pt>
                <c:pt idx="284">
                  <c:v>-7.77</c:v>
                </c:pt>
                <c:pt idx="285">
                  <c:v>-7.8</c:v>
                </c:pt>
                <c:pt idx="286">
                  <c:v>-7.82</c:v>
                </c:pt>
                <c:pt idx="287">
                  <c:v>-7.85</c:v>
                </c:pt>
                <c:pt idx="288">
                  <c:v>-7.87</c:v>
                </c:pt>
                <c:pt idx="289">
                  <c:v>-7.9</c:v>
                </c:pt>
                <c:pt idx="290">
                  <c:v>-7.92</c:v>
                </c:pt>
                <c:pt idx="291">
                  <c:v>-7.95</c:v>
                </c:pt>
                <c:pt idx="292">
                  <c:v>-7.97</c:v>
                </c:pt>
                <c:pt idx="293">
                  <c:v>-8</c:v>
                </c:pt>
                <c:pt idx="294">
                  <c:v>-8.02</c:v>
                </c:pt>
                <c:pt idx="295">
                  <c:v>-8.0500000000000007</c:v>
                </c:pt>
                <c:pt idx="296">
                  <c:v>-8.07</c:v>
                </c:pt>
                <c:pt idx="297">
                  <c:v>-8.1</c:v>
                </c:pt>
                <c:pt idx="298">
                  <c:v>-8.1199999999999992</c:v>
                </c:pt>
                <c:pt idx="299">
                  <c:v>-8.15</c:v>
                </c:pt>
                <c:pt idx="300">
                  <c:v>-8.17</c:v>
                </c:pt>
                <c:pt idx="301">
                  <c:v>-8.1999999999999993</c:v>
                </c:pt>
                <c:pt idx="302">
                  <c:v>-8.2200000000000006</c:v>
                </c:pt>
                <c:pt idx="303">
                  <c:v>-8.25</c:v>
                </c:pt>
                <c:pt idx="304">
                  <c:v>-8.27</c:v>
                </c:pt>
                <c:pt idx="305">
                  <c:v>-8.3000000000000007</c:v>
                </c:pt>
                <c:pt idx="306">
                  <c:v>-8.32</c:v>
                </c:pt>
                <c:pt idx="307">
                  <c:v>-8.35</c:v>
                </c:pt>
                <c:pt idx="308">
                  <c:v>-8.3699999999999992</c:v>
                </c:pt>
                <c:pt idx="309">
                  <c:v>-8.4</c:v>
                </c:pt>
                <c:pt idx="310">
                  <c:v>-8.42</c:v>
                </c:pt>
                <c:pt idx="311">
                  <c:v>-8.4499999999999993</c:v>
                </c:pt>
                <c:pt idx="312">
                  <c:v>-8.4700000000000006</c:v>
                </c:pt>
                <c:pt idx="313">
                  <c:v>-8.5</c:v>
                </c:pt>
                <c:pt idx="314">
                  <c:v>-8.52</c:v>
                </c:pt>
                <c:pt idx="315">
                  <c:v>-8.5500000000000007</c:v>
                </c:pt>
                <c:pt idx="316">
                  <c:v>-8.57</c:v>
                </c:pt>
                <c:pt idx="317">
                  <c:v>-8.6</c:v>
                </c:pt>
                <c:pt idx="318">
                  <c:v>-8.6199999999999992</c:v>
                </c:pt>
                <c:pt idx="319">
                  <c:v>-8.65</c:v>
                </c:pt>
                <c:pt idx="320">
                  <c:v>-8.67</c:v>
                </c:pt>
                <c:pt idx="321">
                  <c:v>-8.6999999999999993</c:v>
                </c:pt>
                <c:pt idx="322">
                  <c:v>-8.7200000000000006</c:v>
                </c:pt>
                <c:pt idx="323">
                  <c:v>-8.75</c:v>
                </c:pt>
                <c:pt idx="324">
                  <c:v>-8.77</c:v>
                </c:pt>
                <c:pt idx="325">
                  <c:v>-8.8000000000000007</c:v>
                </c:pt>
                <c:pt idx="326">
                  <c:v>-8.82</c:v>
                </c:pt>
                <c:pt idx="327">
                  <c:v>-8.85</c:v>
                </c:pt>
                <c:pt idx="328">
                  <c:v>-8.8699999999999992</c:v>
                </c:pt>
                <c:pt idx="329">
                  <c:v>-8.9</c:v>
                </c:pt>
                <c:pt idx="330">
                  <c:v>-8.92</c:v>
                </c:pt>
                <c:pt idx="331">
                  <c:v>-8.9499999999999993</c:v>
                </c:pt>
                <c:pt idx="332">
                  <c:v>-8.9700000000000006</c:v>
                </c:pt>
                <c:pt idx="333">
                  <c:v>-9</c:v>
                </c:pt>
                <c:pt idx="334">
                  <c:v>-9.02</c:v>
                </c:pt>
                <c:pt idx="335">
                  <c:v>-9.0500000000000007</c:v>
                </c:pt>
                <c:pt idx="336">
                  <c:v>-9.07</c:v>
                </c:pt>
                <c:pt idx="337">
                  <c:v>-9.1</c:v>
                </c:pt>
                <c:pt idx="338">
                  <c:v>-9.1199999999999992</c:v>
                </c:pt>
                <c:pt idx="339">
                  <c:v>-9.15</c:v>
                </c:pt>
                <c:pt idx="340">
                  <c:v>-9.17</c:v>
                </c:pt>
                <c:pt idx="341">
                  <c:v>-9.1999999999999993</c:v>
                </c:pt>
                <c:pt idx="342">
                  <c:v>-9.2200000000000006</c:v>
                </c:pt>
                <c:pt idx="343">
                  <c:v>-9.25</c:v>
                </c:pt>
                <c:pt idx="344">
                  <c:v>-9.27</c:v>
                </c:pt>
                <c:pt idx="345">
                  <c:v>-9.3000000000000007</c:v>
                </c:pt>
                <c:pt idx="346">
                  <c:v>-9.32</c:v>
                </c:pt>
                <c:pt idx="347">
                  <c:v>-9.35</c:v>
                </c:pt>
                <c:pt idx="348">
                  <c:v>-9.3699999999999992</c:v>
                </c:pt>
                <c:pt idx="349">
                  <c:v>-9.4</c:v>
                </c:pt>
                <c:pt idx="350">
                  <c:v>-9.42</c:v>
                </c:pt>
                <c:pt idx="351">
                  <c:v>-9.44</c:v>
                </c:pt>
                <c:pt idx="352">
                  <c:v>-9.4700000000000006</c:v>
                </c:pt>
                <c:pt idx="353">
                  <c:v>-9.49</c:v>
                </c:pt>
                <c:pt idx="354">
                  <c:v>-9.52</c:v>
                </c:pt>
                <c:pt idx="355">
                  <c:v>-9.5399999999999991</c:v>
                </c:pt>
                <c:pt idx="356">
                  <c:v>-9.57</c:v>
                </c:pt>
                <c:pt idx="357">
                  <c:v>-9.59</c:v>
                </c:pt>
                <c:pt idx="358">
                  <c:v>-9.6199999999999992</c:v>
                </c:pt>
                <c:pt idx="359">
                  <c:v>-9.64</c:v>
                </c:pt>
                <c:pt idx="360">
                  <c:v>-9.67</c:v>
                </c:pt>
                <c:pt idx="361">
                  <c:v>-9.69</c:v>
                </c:pt>
                <c:pt idx="362">
                  <c:v>-9.7200000000000006</c:v>
                </c:pt>
                <c:pt idx="363">
                  <c:v>-9.74</c:v>
                </c:pt>
                <c:pt idx="364">
                  <c:v>-9.77</c:v>
                </c:pt>
                <c:pt idx="365">
                  <c:v>-9.7899999999999991</c:v>
                </c:pt>
                <c:pt idx="366">
                  <c:v>-9.82</c:v>
                </c:pt>
                <c:pt idx="367">
                  <c:v>-9.84</c:v>
                </c:pt>
                <c:pt idx="368">
                  <c:v>-9.8699999999999992</c:v>
                </c:pt>
                <c:pt idx="369">
                  <c:v>-9.89</c:v>
                </c:pt>
                <c:pt idx="370">
                  <c:v>-9.92</c:v>
                </c:pt>
                <c:pt idx="371">
                  <c:v>-9.94</c:v>
                </c:pt>
                <c:pt idx="372">
                  <c:v>-9.9700000000000006</c:v>
                </c:pt>
                <c:pt idx="373">
                  <c:v>-9.99</c:v>
                </c:pt>
                <c:pt idx="374">
                  <c:v>-10.02</c:v>
                </c:pt>
                <c:pt idx="375">
                  <c:v>-10.039999999999999</c:v>
                </c:pt>
                <c:pt idx="376">
                  <c:v>-10.07</c:v>
                </c:pt>
                <c:pt idx="377">
                  <c:v>-10.09</c:v>
                </c:pt>
                <c:pt idx="378">
                  <c:v>-10.119999999999999</c:v>
                </c:pt>
                <c:pt idx="379">
                  <c:v>-10.14</c:v>
                </c:pt>
                <c:pt idx="380">
                  <c:v>-10.17</c:v>
                </c:pt>
                <c:pt idx="381">
                  <c:v>-10.19</c:v>
                </c:pt>
                <c:pt idx="382">
                  <c:v>-10.220000000000001</c:v>
                </c:pt>
                <c:pt idx="383">
                  <c:v>-10.24</c:v>
                </c:pt>
                <c:pt idx="384">
                  <c:v>-10.27</c:v>
                </c:pt>
                <c:pt idx="385">
                  <c:v>-10.29</c:v>
                </c:pt>
                <c:pt idx="386">
                  <c:v>-10.32</c:v>
                </c:pt>
                <c:pt idx="387">
                  <c:v>-10.34</c:v>
                </c:pt>
                <c:pt idx="388">
                  <c:v>-10.37</c:v>
                </c:pt>
                <c:pt idx="389">
                  <c:v>-10.39</c:v>
                </c:pt>
                <c:pt idx="390">
                  <c:v>-10.42</c:v>
                </c:pt>
                <c:pt idx="391">
                  <c:v>-10.44</c:v>
                </c:pt>
                <c:pt idx="392">
                  <c:v>-10.47</c:v>
                </c:pt>
                <c:pt idx="393">
                  <c:v>-10.49</c:v>
                </c:pt>
                <c:pt idx="394">
                  <c:v>-10.52</c:v>
                </c:pt>
                <c:pt idx="395">
                  <c:v>-10.54</c:v>
                </c:pt>
                <c:pt idx="396">
                  <c:v>-10.57</c:v>
                </c:pt>
                <c:pt idx="397">
                  <c:v>-10.59</c:v>
                </c:pt>
                <c:pt idx="398">
                  <c:v>-10.62</c:v>
                </c:pt>
                <c:pt idx="399">
                  <c:v>-10.64</c:v>
                </c:pt>
                <c:pt idx="400">
                  <c:v>-10.67</c:v>
                </c:pt>
                <c:pt idx="401">
                  <c:v>-10.69</c:v>
                </c:pt>
                <c:pt idx="402">
                  <c:v>-10.72</c:v>
                </c:pt>
                <c:pt idx="403">
                  <c:v>-10.74</c:v>
                </c:pt>
                <c:pt idx="404">
                  <c:v>-10.77</c:v>
                </c:pt>
                <c:pt idx="405">
                  <c:v>-10.79</c:v>
                </c:pt>
                <c:pt idx="406">
                  <c:v>-10.82</c:v>
                </c:pt>
                <c:pt idx="407">
                  <c:v>-10.84</c:v>
                </c:pt>
                <c:pt idx="408">
                  <c:v>-10.87</c:v>
                </c:pt>
                <c:pt idx="409">
                  <c:v>-10.89</c:v>
                </c:pt>
                <c:pt idx="410">
                  <c:v>-10.92</c:v>
                </c:pt>
                <c:pt idx="411">
                  <c:v>-10.94</c:v>
                </c:pt>
                <c:pt idx="412">
                  <c:v>-10.97</c:v>
                </c:pt>
                <c:pt idx="413">
                  <c:v>-10.99</c:v>
                </c:pt>
                <c:pt idx="414">
                  <c:v>-11.02</c:v>
                </c:pt>
                <c:pt idx="415">
                  <c:v>-11.04</c:v>
                </c:pt>
                <c:pt idx="416">
                  <c:v>-11.07</c:v>
                </c:pt>
                <c:pt idx="417">
                  <c:v>-11.09</c:v>
                </c:pt>
                <c:pt idx="418">
                  <c:v>-11.12</c:v>
                </c:pt>
                <c:pt idx="419">
                  <c:v>-11.14</c:v>
                </c:pt>
                <c:pt idx="420">
                  <c:v>-11.17</c:v>
                </c:pt>
                <c:pt idx="421">
                  <c:v>-11.19</c:v>
                </c:pt>
                <c:pt idx="422">
                  <c:v>-11.22</c:v>
                </c:pt>
                <c:pt idx="423">
                  <c:v>-11.24</c:v>
                </c:pt>
                <c:pt idx="424">
                  <c:v>-11.27</c:v>
                </c:pt>
                <c:pt idx="425">
                  <c:v>-11.29</c:v>
                </c:pt>
                <c:pt idx="426">
                  <c:v>-11.32</c:v>
                </c:pt>
                <c:pt idx="427">
                  <c:v>-11.34</c:v>
                </c:pt>
                <c:pt idx="428">
                  <c:v>-11.37</c:v>
                </c:pt>
                <c:pt idx="429">
                  <c:v>-11.39</c:v>
                </c:pt>
                <c:pt idx="430">
                  <c:v>-11.42</c:v>
                </c:pt>
                <c:pt idx="431">
                  <c:v>-11.44</c:v>
                </c:pt>
                <c:pt idx="432">
                  <c:v>-11.47</c:v>
                </c:pt>
                <c:pt idx="433">
                  <c:v>-11.49</c:v>
                </c:pt>
                <c:pt idx="434">
                  <c:v>-11.52</c:v>
                </c:pt>
                <c:pt idx="435">
                  <c:v>-11.54</c:v>
                </c:pt>
                <c:pt idx="436">
                  <c:v>-11.57</c:v>
                </c:pt>
                <c:pt idx="437">
                  <c:v>-11.59</c:v>
                </c:pt>
                <c:pt idx="438">
                  <c:v>-11.62</c:v>
                </c:pt>
                <c:pt idx="439">
                  <c:v>-11.64</c:v>
                </c:pt>
                <c:pt idx="440">
                  <c:v>-11.67</c:v>
                </c:pt>
                <c:pt idx="441">
                  <c:v>-11.69</c:v>
                </c:pt>
                <c:pt idx="442">
                  <c:v>-11.72</c:v>
                </c:pt>
                <c:pt idx="443">
                  <c:v>-11.74</c:v>
                </c:pt>
                <c:pt idx="444">
                  <c:v>-11.77</c:v>
                </c:pt>
                <c:pt idx="445">
                  <c:v>-11.79</c:v>
                </c:pt>
                <c:pt idx="446">
                  <c:v>-11.82</c:v>
                </c:pt>
                <c:pt idx="447">
                  <c:v>-11.84</c:v>
                </c:pt>
                <c:pt idx="448">
                  <c:v>-11.87</c:v>
                </c:pt>
                <c:pt idx="449">
                  <c:v>-11.89</c:v>
                </c:pt>
                <c:pt idx="450">
                  <c:v>-11.92</c:v>
                </c:pt>
                <c:pt idx="451">
                  <c:v>-11.94</c:v>
                </c:pt>
                <c:pt idx="452">
                  <c:v>-11.97</c:v>
                </c:pt>
                <c:pt idx="453">
                  <c:v>-11.99</c:v>
                </c:pt>
                <c:pt idx="454">
                  <c:v>-12.02</c:v>
                </c:pt>
                <c:pt idx="455">
                  <c:v>-12.04</c:v>
                </c:pt>
                <c:pt idx="456">
                  <c:v>-12.07</c:v>
                </c:pt>
                <c:pt idx="457">
                  <c:v>-12.09</c:v>
                </c:pt>
                <c:pt idx="458">
                  <c:v>-12.12</c:v>
                </c:pt>
                <c:pt idx="459">
                  <c:v>-12.14</c:v>
                </c:pt>
                <c:pt idx="460">
                  <c:v>-12.17</c:v>
                </c:pt>
                <c:pt idx="461">
                  <c:v>-12.19</c:v>
                </c:pt>
                <c:pt idx="462">
                  <c:v>-12.22</c:v>
                </c:pt>
                <c:pt idx="463">
                  <c:v>-12.24</c:v>
                </c:pt>
                <c:pt idx="464">
                  <c:v>-12.27</c:v>
                </c:pt>
                <c:pt idx="465">
                  <c:v>-12.29</c:v>
                </c:pt>
                <c:pt idx="466">
                  <c:v>-12.32</c:v>
                </c:pt>
                <c:pt idx="467">
                  <c:v>-12.34</c:v>
                </c:pt>
                <c:pt idx="468">
                  <c:v>-12.37</c:v>
                </c:pt>
                <c:pt idx="469">
                  <c:v>-12.39</c:v>
                </c:pt>
                <c:pt idx="470">
                  <c:v>-12.42</c:v>
                </c:pt>
                <c:pt idx="471">
                  <c:v>-12.44</c:v>
                </c:pt>
                <c:pt idx="472">
                  <c:v>-12.47</c:v>
                </c:pt>
                <c:pt idx="473">
                  <c:v>-12.49</c:v>
                </c:pt>
                <c:pt idx="474">
                  <c:v>-12.52</c:v>
                </c:pt>
                <c:pt idx="475">
                  <c:v>-12.54</c:v>
                </c:pt>
                <c:pt idx="476">
                  <c:v>-12.57</c:v>
                </c:pt>
                <c:pt idx="477">
                  <c:v>-12.59</c:v>
                </c:pt>
                <c:pt idx="478">
                  <c:v>-12.62</c:v>
                </c:pt>
                <c:pt idx="479">
                  <c:v>-12.64</c:v>
                </c:pt>
                <c:pt idx="480">
                  <c:v>-12.67</c:v>
                </c:pt>
                <c:pt idx="481">
                  <c:v>-12.69</c:v>
                </c:pt>
                <c:pt idx="482">
                  <c:v>-12.72</c:v>
                </c:pt>
                <c:pt idx="483">
                  <c:v>-12.74</c:v>
                </c:pt>
                <c:pt idx="484">
                  <c:v>-12.77</c:v>
                </c:pt>
                <c:pt idx="485">
                  <c:v>-12.79</c:v>
                </c:pt>
                <c:pt idx="486">
                  <c:v>-12.82</c:v>
                </c:pt>
                <c:pt idx="487">
                  <c:v>-12.84</c:v>
                </c:pt>
                <c:pt idx="488">
                  <c:v>-12.87</c:v>
                </c:pt>
                <c:pt idx="489">
                  <c:v>-12.89</c:v>
                </c:pt>
                <c:pt idx="490">
                  <c:v>-12.92</c:v>
                </c:pt>
                <c:pt idx="491">
                  <c:v>-12.94</c:v>
                </c:pt>
                <c:pt idx="492">
                  <c:v>-12.97</c:v>
                </c:pt>
                <c:pt idx="493">
                  <c:v>-12.99</c:v>
                </c:pt>
                <c:pt idx="494">
                  <c:v>-13.02</c:v>
                </c:pt>
                <c:pt idx="495">
                  <c:v>-13.04</c:v>
                </c:pt>
                <c:pt idx="496">
                  <c:v>-13.07</c:v>
                </c:pt>
                <c:pt idx="497">
                  <c:v>-13.09</c:v>
                </c:pt>
                <c:pt idx="498">
                  <c:v>-13.12</c:v>
                </c:pt>
                <c:pt idx="499">
                  <c:v>-13.14</c:v>
                </c:pt>
                <c:pt idx="500">
                  <c:v>-13.17</c:v>
                </c:pt>
                <c:pt idx="501">
                  <c:v>-13.19</c:v>
                </c:pt>
                <c:pt idx="502">
                  <c:v>-13.22</c:v>
                </c:pt>
                <c:pt idx="503">
                  <c:v>-13.24</c:v>
                </c:pt>
                <c:pt idx="504">
                  <c:v>-13.27</c:v>
                </c:pt>
                <c:pt idx="505">
                  <c:v>-13.29</c:v>
                </c:pt>
                <c:pt idx="506">
                  <c:v>-13.32</c:v>
                </c:pt>
                <c:pt idx="507">
                  <c:v>-13.34</c:v>
                </c:pt>
                <c:pt idx="508">
                  <c:v>-13.37</c:v>
                </c:pt>
                <c:pt idx="509">
                  <c:v>-13.39</c:v>
                </c:pt>
                <c:pt idx="510">
                  <c:v>-13.42</c:v>
                </c:pt>
                <c:pt idx="511">
                  <c:v>-13.44</c:v>
                </c:pt>
                <c:pt idx="512">
                  <c:v>-13.47</c:v>
                </c:pt>
                <c:pt idx="513">
                  <c:v>-13.49</c:v>
                </c:pt>
                <c:pt idx="514">
                  <c:v>-13.52</c:v>
                </c:pt>
                <c:pt idx="515">
                  <c:v>-13.54</c:v>
                </c:pt>
                <c:pt idx="516">
                  <c:v>-13.57</c:v>
                </c:pt>
                <c:pt idx="517">
                  <c:v>-13.59</c:v>
                </c:pt>
                <c:pt idx="518">
                  <c:v>-13.62</c:v>
                </c:pt>
                <c:pt idx="519">
                  <c:v>-13.64</c:v>
                </c:pt>
                <c:pt idx="520">
                  <c:v>-13.67</c:v>
                </c:pt>
                <c:pt idx="521">
                  <c:v>-13.69</c:v>
                </c:pt>
                <c:pt idx="522">
                  <c:v>-13.72</c:v>
                </c:pt>
                <c:pt idx="523">
                  <c:v>-13.74</c:v>
                </c:pt>
                <c:pt idx="524">
                  <c:v>-13.77</c:v>
                </c:pt>
                <c:pt idx="525">
                  <c:v>-13.79</c:v>
                </c:pt>
                <c:pt idx="526">
                  <c:v>-13.82</c:v>
                </c:pt>
                <c:pt idx="527">
                  <c:v>-13.84</c:v>
                </c:pt>
                <c:pt idx="528">
                  <c:v>-13.87</c:v>
                </c:pt>
                <c:pt idx="529">
                  <c:v>-13.89</c:v>
                </c:pt>
                <c:pt idx="530">
                  <c:v>-13.92</c:v>
                </c:pt>
                <c:pt idx="531">
                  <c:v>-13.94</c:v>
                </c:pt>
                <c:pt idx="532">
                  <c:v>-13.97</c:v>
                </c:pt>
                <c:pt idx="533">
                  <c:v>-13.99</c:v>
                </c:pt>
                <c:pt idx="534">
                  <c:v>-14.02</c:v>
                </c:pt>
                <c:pt idx="535">
                  <c:v>-14.04</c:v>
                </c:pt>
                <c:pt idx="536">
                  <c:v>-14.07</c:v>
                </c:pt>
                <c:pt idx="537">
                  <c:v>-14.09</c:v>
                </c:pt>
                <c:pt idx="538">
                  <c:v>-14.12</c:v>
                </c:pt>
                <c:pt idx="539">
                  <c:v>-14.14</c:v>
                </c:pt>
                <c:pt idx="540">
                  <c:v>-14.17</c:v>
                </c:pt>
                <c:pt idx="541">
                  <c:v>-14.19</c:v>
                </c:pt>
                <c:pt idx="542">
                  <c:v>-14.22</c:v>
                </c:pt>
                <c:pt idx="543">
                  <c:v>-14.24</c:v>
                </c:pt>
                <c:pt idx="544">
                  <c:v>-14.27</c:v>
                </c:pt>
                <c:pt idx="545">
                  <c:v>-14.29</c:v>
                </c:pt>
                <c:pt idx="546">
                  <c:v>-14.32</c:v>
                </c:pt>
                <c:pt idx="547">
                  <c:v>-14.34</c:v>
                </c:pt>
                <c:pt idx="548">
                  <c:v>-14.37</c:v>
                </c:pt>
                <c:pt idx="549">
                  <c:v>-14.39</c:v>
                </c:pt>
                <c:pt idx="550">
                  <c:v>-14.42</c:v>
                </c:pt>
                <c:pt idx="551">
                  <c:v>-14.44</c:v>
                </c:pt>
                <c:pt idx="552">
                  <c:v>-14.47</c:v>
                </c:pt>
                <c:pt idx="553">
                  <c:v>-14.49</c:v>
                </c:pt>
                <c:pt idx="554">
                  <c:v>-14.52</c:v>
                </c:pt>
                <c:pt idx="555">
                  <c:v>-14.54</c:v>
                </c:pt>
                <c:pt idx="556">
                  <c:v>-14.57</c:v>
                </c:pt>
                <c:pt idx="557">
                  <c:v>-14.59</c:v>
                </c:pt>
                <c:pt idx="558">
                  <c:v>-14.62</c:v>
                </c:pt>
                <c:pt idx="559">
                  <c:v>-14.64</c:v>
                </c:pt>
                <c:pt idx="560">
                  <c:v>-14.67</c:v>
                </c:pt>
                <c:pt idx="561">
                  <c:v>-14.69</c:v>
                </c:pt>
                <c:pt idx="562">
                  <c:v>-14.72</c:v>
                </c:pt>
                <c:pt idx="563">
                  <c:v>-14.74</c:v>
                </c:pt>
                <c:pt idx="564">
                  <c:v>-14.77</c:v>
                </c:pt>
                <c:pt idx="565">
                  <c:v>-14.79</c:v>
                </c:pt>
                <c:pt idx="566">
                  <c:v>-14.82</c:v>
                </c:pt>
                <c:pt idx="567">
                  <c:v>-14.84</c:v>
                </c:pt>
                <c:pt idx="568">
                  <c:v>-14.87</c:v>
                </c:pt>
                <c:pt idx="569">
                  <c:v>-14.89</c:v>
                </c:pt>
                <c:pt idx="570">
                  <c:v>-14.92</c:v>
                </c:pt>
                <c:pt idx="571">
                  <c:v>-14.94</c:v>
                </c:pt>
                <c:pt idx="572">
                  <c:v>-14.97</c:v>
                </c:pt>
                <c:pt idx="573">
                  <c:v>-14.99</c:v>
                </c:pt>
                <c:pt idx="574">
                  <c:v>-15.02</c:v>
                </c:pt>
                <c:pt idx="575">
                  <c:v>-15.04</c:v>
                </c:pt>
                <c:pt idx="576">
                  <c:v>-15.07</c:v>
                </c:pt>
                <c:pt idx="577">
                  <c:v>-15.09</c:v>
                </c:pt>
                <c:pt idx="578">
                  <c:v>-15.12</c:v>
                </c:pt>
                <c:pt idx="579">
                  <c:v>-15.14</c:v>
                </c:pt>
                <c:pt idx="580">
                  <c:v>-15.17</c:v>
                </c:pt>
                <c:pt idx="581">
                  <c:v>-15.19</c:v>
                </c:pt>
                <c:pt idx="582">
                  <c:v>-15.22</c:v>
                </c:pt>
                <c:pt idx="583">
                  <c:v>-15.24</c:v>
                </c:pt>
                <c:pt idx="584">
                  <c:v>-15.27</c:v>
                </c:pt>
                <c:pt idx="585">
                  <c:v>-15.29</c:v>
                </c:pt>
                <c:pt idx="586">
                  <c:v>-15.32</c:v>
                </c:pt>
                <c:pt idx="587">
                  <c:v>-15.34</c:v>
                </c:pt>
                <c:pt idx="588">
                  <c:v>-15.37</c:v>
                </c:pt>
                <c:pt idx="589">
                  <c:v>-15.39</c:v>
                </c:pt>
                <c:pt idx="590">
                  <c:v>-15.42</c:v>
                </c:pt>
                <c:pt idx="591">
                  <c:v>-15.44</c:v>
                </c:pt>
                <c:pt idx="592">
                  <c:v>-15.47</c:v>
                </c:pt>
                <c:pt idx="593">
                  <c:v>-15.49</c:v>
                </c:pt>
                <c:pt idx="594">
                  <c:v>-15.52</c:v>
                </c:pt>
                <c:pt idx="595">
                  <c:v>-15.54</c:v>
                </c:pt>
                <c:pt idx="596">
                  <c:v>-15.57</c:v>
                </c:pt>
                <c:pt idx="597">
                  <c:v>-15.59</c:v>
                </c:pt>
                <c:pt idx="598">
                  <c:v>-15.62</c:v>
                </c:pt>
                <c:pt idx="599">
                  <c:v>-15.64</c:v>
                </c:pt>
                <c:pt idx="600">
                  <c:v>-15.67</c:v>
                </c:pt>
                <c:pt idx="601">
                  <c:v>-15.69</c:v>
                </c:pt>
                <c:pt idx="602">
                  <c:v>-15.72</c:v>
                </c:pt>
                <c:pt idx="603">
                  <c:v>-15.74</c:v>
                </c:pt>
                <c:pt idx="604">
                  <c:v>-15.77</c:v>
                </c:pt>
                <c:pt idx="605">
                  <c:v>-15.79</c:v>
                </c:pt>
                <c:pt idx="606">
                  <c:v>-15.82</c:v>
                </c:pt>
                <c:pt idx="607">
                  <c:v>-15.84</c:v>
                </c:pt>
                <c:pt idx="608">
                  <c:v>-15.87</c:v>
                </c:pt>
                <c:pt idx="609">
                  <c:v>-15.89</c:v>
                </c:pt>
                <c:pt idx="610">
                  <c:v>-15.92</c:v>
                </c:pt>
                <c:pt idx="611">
                  <c:v>-15.94</c:v>
                </c:pt>
                <c:pt idx="612">
                  <c:v>-15.97</c:v>
                </c:pt>
                <c:pt idx="613">
                  <c:v>-15.99</c:v>
                </c:pt>
                <c:pt idx="614">
                  <c:v>-16.02</c:v>
                </c:pt>
                <c:pt idx="615">
                  <c:v>-16.04</c:v>
                </c:pt>
                <c:pt idx="616">
                  <c:v>-16.07</c:v>
                </c:pt>
                <c:pt idx="617">
                  <c:v>-16.09</c:v>
                </c:pt>
                <c:pt idx="618">
                  <c:v>-16.12</c:v>
                </c:pt>
                <c:pt idx="619">
                  <c:v>-16.14</c:v>
                </c:pt>
                <c:pt idx="620">
                  <c:v>-16.170000000000002</c:v>
                </c:pt>
                <c:pt idx="621">
                  <c:v>-16.190000000000001</c:v>
                </c:pt>
                <c:pt idx="622">
                  <c:v>-16.22</c:v>
                </c:pt>
                <c:pt idx="623">
                  <c:v>-16.239999999999998</c:v>
                </c:pt>
                <c:pt idx="624">
                  <c:v>-16.27</c:v>
                </c:pt>
                <c:pt idx="625">
                  <c:v>-16.29</c:v>
                </c:pt>
                <c:pt idx="626">
                  <c:v>-16.32</c:v>
                </c:pt>
                <c:pt idx="627">
                  <c:v>-16.34</c:v>
                </c:pt>
                <c:pt idx="628">
                  <c:v>-16.37</c:v>
                </c:pt>
                <c:pt idx="629">
                  <c:v>-16.39</c:v>
                </c:pt>
                <c:pt idx="630">
                  <c:v>-16.420000000000002</c:v>
                </c:pt>
                <c:pt idx="631">
                  <c:v>-16.440000000000001</c:v>
                </c:pt>
                <c:pt idx="632">
                  <c:v>-16.47</c:v>
                </c:pt>
                <c:pt idx="633">
                  <c:v>-16.489999999999998</c:v>
                </c:pt>
                <c:pt idx="634">
                  <c:v>-16.52</c:v>
                </c:pt>
                <c:pt idx="635">
                  <c:v>-16.54</c:v>
                </c:pt>
                <c:pt idx="636">
                  <c:v>-16.57</c:v>
                </c:pt>
                <c:pt idx="637">
                  <c:v>-16.59</c:v>
                </c:pt>
                <c:pt idx="638">
                  <c:v>-16.62</c:v>
                </c:pt>
                <c:pt idx="639">
                  <c:v>-16.64</c:v>
                </c:pt>
                <c:pt idx="640">
                  <c:v>-16.670000000000002</c:v>
                </c:pt>
                <c:pt idx="641">
                  <c:v>-16.690000000000001</c:v>
                </c:pt>
                <c:pt idx="642">
                  <c:v>-16.72</c:v>
                </c:pt>
                <c:pt idx="643">
                  <c:v>-16.739999999999998</c:v>
                </c:pt>
                <c:pt idx="644">
                  <c:v>-16.77</c:v>
                </c:pt>
                <c:pt idx="645">
                  <c:v>-16.79</c:v>
                </c:pt>
                <c:pt idx="646">
                  <c:v>-16.82</c:v>
                </c:pt>
                <c:pt idx="647">
                  <c:v>-16.84</c:v>
                </c:pt>
                <c:pt idx="648">
                  <c:v>-16.87</c:v>
                </c:pt>
                <c:pt idx="649">
                  <c:v>-16.89</c:v>
                </c:pt>
                <c:pt idx="650">
                  <c:v>-16.920000000000002</c:v>
                </c:pt>
                <c:pt idx="651">
                  <c:v>-16.940000000000001</c:v>
                </c:pt>
                <c:pt idx="652">
                  <c:v>-16.97</c:v>
                </c:pt>
                <c:pt idx="653">
                  <c:v>-16.989999999999998</c:v>
                </c:pt>
                <c:pt idx="654">
                  <c:v>-17.02</c:v>
                </c:pt>
                <c:pt idx="655">
                  <c:v>-17.04</c:v>
                </c:pt>
                <c:pt idx="656">
                  <c:v>-17.07</c:v>
                </c:pt>
                <c:pt idx="657">
                  <c:v>-17.09</c:v>
                </c:pt>
                <c:pt idx="658">
                  <c:v>-17.12</c:v>
                </c:pt>
                <c:pt idx="659">
                  <c:v>-17.14</c:v>
                </c:pt>
                <c:pt idx="660">
                  <c:v>-17.170000000000002</c:v>
                </c:pt>
                <c:pt idx="661">
                  <c:v>-17.190000000000001</c:v>
                </c:pt>
                <c:pt idx="662">
                  <c:v>-17.22</c:v>
                </c:pt>
                <c:pt idx="663">
                  <c:v>-17.239999999999998</c:v>
                </c:pt>
                <c:pt idx="664">
                  <c:v>-17.27</c:v>
                </c:pt>
                <c:pt idx="665">
                  <c:v>-17.29</c:v>
                </c:pt>
                <c:pt idx="666">
                  <c:v>-17.32</c:v>
                </c:pt>
                <c:pt idx="667">
                  <c:v>-17.34</c:v>
                </c:pt>
                <c:pt idx="668">
                  <c:v>-17.37</c:v>
                </c:pt>
                <c:pt idx="669">
                  <c:v>-17.39</c:v>
                </c:pt>
                <c:pt idx="670">
                  <c:v>-17.420000000000002</c:v>
                </c:pt>
                <c:pt idx="671">
                  <c:v>-17.440000000000001</c:v>
                </c:pt>
                <c:pt idx="672">
                  <c:v>-17.47</c:v>
                </c:pt>
                <c:pt idx="673">
                  <c:v>-17.489999999999998</c:v>
                </c:pt>
                <c:pt idx="674">
                  <c:v>-17.52</c:v>
                </c:pt>
                <c:pt idx="675">
                  <c:v>-17.54</c:v>
                </c:pt>
                <c:pt idx="676">
                  <c:v>-17.57</c:v>
                </c:pt>
                <c:pt idx="677">
                  <c:v>-17.59</c:v>
                </c:pt>
                <c:pt idx="678">
                  <c:v>-17.62</c:v>
                </c:pt>
                <c:pt idx="679">
                  <c:v>-17.64</c:v>
                </c:pt>
                <c:pt idx="680">
                  <c:v>-17.670000000000002</c:v>
                </c:pt>
                <c:pt idx="681">
                  <c:v>-17.690000000000001</c:v>
                </c:pt>
                <c:pt idx="682">
                  <c:v>-17.72</c:v>
                </c:pt>
                <c:pt idx="683">
                  <c:v>-17.739999999999998</c:v>
                </c:pt>
                <c:pt idx="684">
                  <c:v>-17.77</c:v>
                </c:pt>
                <c:pt idx="685">
                  <c:v>-17.79</c:v>
                </c:pt>
                <c:pt idx="686">
                  <c:v>-17.82</c:v>
                </c:pt>
                <c:pt idx="687">
                  <c:v>-17.84</c:v>
                </c:pt>
                <c:pt idx="688">
                  <c:v>-17.87</c:v>
                </c:pt>
                <c:pt idx="689">
                  <c:v>-17.89</c:v>
                </c:pt>
                <c:pt idx="690">
                  <c:v>-17.920000000000002</c:v>
                </c:pt>
                <c:pt idx="691">
                  <c:v>-17.940000000000001</c:v>
                </c:pt>
                <c:pt idx="692">
                  <c:v>-17.97</c:v>
                </c:pt>
                <c:pt idx="693">
                  <c:v>-17.989999999999998</c:v>
                </c:pt>
                <c:pt idx="694">
                  <c:v>-18.02</c:v>
                </c:pt>
                <c:pt idx="695">
                  <c:v>-18.04</c:v>
                </c:pt>
                <c:pt idx="696">
                  <c:v>-18.07</c:v>
                </c:pt>
                <c:pt idx="697">
                  <c:v>-18.09</c:v>
                </c:pt>
                <c:pt idx="698">
                  <c:v>-18.12</c:v>
                </c:pt>
                <c:pt idx="699">
                  <c:v>-18.14</c:v>
                </c:pt>
                <c:pt idx="700">
                  <c:v>-18.170000000000002</c:v>
                </c:pt>
                <c:pt idx="701">
                  <c:v>-18.190000000000001</c:v>
                </c:pt>
                <c:pt idx="702">
                  <c:v>-18.22</c:v>
                </c:pt>
                <c:pt idx="703">
                  <c:v>-18.239999999999998</c:v>
                </c:pt>
                <c:pt idx="704">
                  <c:v>-18.27</c:v>
                </c:pt>
                <c:pt idx="705">
                  <c:v>-18.29</c:v>
                </c:pt>
                <c:pt idx="706">
                  <c:v>-18.32</c:v>
                </c:pt>
                <c:pt idx="707">
                  <c:v>-18.34</c:v>
                </c:pt>
                <c:pt idx="708">
                  <c:v>-18.37</c:v>
                </c:pt>
                <c:pt idx="709">
                  <c:v>-18.39</c:v>
                </c:pt>
                <c:pt idx="710">
                  <c:v>-18.420000000000002</c:v>
                </c:pt>
                <c:pt idx="711">
                  <c:v>-18.440000000000001</c:v>
                </c:pt>
                <c:pt idx="712">
                  <c:v>-18.47</c:v>
                </c:pt>
                <c:pt idx="713">
                  <c:v>-18.489999999999998</c:v>
                </c:pt>
                <c:pt idx="714">
                  <c:v>-18.52</c:v>
                </c:pt>
                <c:pt idx="715">
                  <c:v>-18.54</c:v>
                </c:pt>
                <c:pt idx="716">
                  <c:v>-18.57</c:v>
                </c:pt>
                <c:pt idx="717">
                  <c:v>-18.59</c:v>
                </c:pt>
                <c:pt idx="718">
                  <c:v>-18.62</c:v>
                </c:pt>
                <c:pt idx="719">
                  <c:v>-18.64</c:v>
                </c:pt>
                <c:pt idx="720">
                  <c:v>-18.670000000000002</c:v>
                </c:pt>
                <c:pt idx="721">
                  <c:v>-18.690000000000001</c:v>
                </c:pt>
                <c:pt idx="722">
                  <c:v>-18.72</c:v>
                </c:pt>
                <c:pt idx="723">
                  <c:v>-18.739999999999998</c:v>
                </c:pt>
                <c:pt idx="724">
                  <c:v>-18.77</c:v>
                </c:pt>
                <c:pt idx="725">
                  <c:v>-18.79</c:v>
                </c:pt>
                <c:pt idx="726">
                  <c:v>-18.82</c:v>
                </c:pt>
                <c:pt idx="727">
                  <c:v>-18.84</c:v>
                </c:pt>
                <c:pt idx="728">
                  <c:v>-18.87</c:v>
                </c:pt>
                <c:pt idx="729">
                  <c:v>-18.89</c:v>
                </c:pt>
                <c:pt idx="730">
                  <c:v>-18.920000000000002</c:v>
                </c:pt>
                <c:pt idx="731">
                  <c:v>-18.940000000000001</c:v>
                </c:pt>
                <c:pt idx="732">
                  <c:v>-18.97</c:v>
                </c:pt>
                <c:pt idx="733">
                  <c:v>-18.989999999999998</c:v>
                </c:pt>
                <c:pt idx="734">
                  <c:v>-19.02</c:v>
                </c:pt>
                <c:pt idx="735">
                  <c:v>-19.04</c:v>
                </c:pt>
                <c:pt idx="736">
                  <c:v>-19.07</c:v>
                </c:pt>
                <c:pt idx="737">
                  <c:v>-19.09</c:v>
                </c:pt>
                <c:pt idx="738">
                  <c:v>-19.12</c:v>
                </c:pt>
                <c:pt idx="739">
                  <c:v>-19.14</c:v>
                </c:pt>
                <c:pt idx="740">
                  <c:v>-19.170000000000002</c:v>
                </c:pt>
                <c:pt idx="741">
                  <c:v>-19.190000000000001</c:v>
                </c:pt>
                <c:pt idx="742">
                  <c:v>-19.22</c:v>
                </c:pt>
                <c:pt idx="743">
                  <c:v>-19.239999999999998</c:v>
                </c:pt>
                <c:pt idx="744">
                  <c:v>-19.27</c:v>
                </c:pt>
                <c:pt idx="745">
                  <c:v>-19.29</c:v>
                </c:pt>
                <c:pt idx="746">
                  <c:v>-19.32</c:v>
                </c:pt>
                <c:pt idx="747">
                  <c:v>-19.34</c:v>
                </c:pt>
                <c:pt idx="748">
                  <c:v>-19.37</c:v>
                </c:pt>
                <c:pt idx="749">
                  <c:v>-19.39</c:v>
                </c:pt>
                <c:pt idx="750">
                  <c:v>-19.420000000000002</c:v>
                </c:pt>
                <c:pt idx="751">
                  <c:v>-19.440000000000001</c:v>
                </c:pt>
                <c:pt idx="752">
                  <c:v>-19.47</c:v>
                </c:pt>
                <c:pt idx="753">
                  <c:v>-19.489999999999998</c:v>
                </c:pt>
                <c:pt idx="754">
                  <c:v>-19.52</c:v>
                </c:pt>
                <c:pt idx="755">
                  <c:v>-19.54</c:v>
                </c:pt>
                <c:pt idx="756">
                  <c:v>-19.57</c:v>
                </c:pt>
                <c:pt idx="757">
                  <c:v>-19.59</c:v>
                </c:pt>
                <c:pt idx="758">
                  <c:v>-19.62</c:v>
                </c:pt>
                <c:pt idx="759">
                  <c:v>-19.64</c:v>
                </c:pt>
                <c:pt idx="760">
                  <c:v>-19.670000000000002</c:v>
                </c:pt>
                <c:pt idx="761">
                  <c:v>-19.690000000000001</c:v>
                </c:pt>
                <c:pt idx="762">
                  <c:v>-19.72</c:v>
                </c:pt>
                <c:pt idx="763">
                  <c:v>-19.739999999999998</c:v>
                </c:pt>
                <c:pt idx="764">
                  <c:v>-19.77</c:v>
                </c:pt>
                <c:pt idx="765">
                  <c:v>-19.79</c:v>
                </c:pt>
                <c:pt idx="766">
                  <c:v>-19.82</c:v>
                </c:pt>
                <c:pt idx="767">
                  <c:v>-19.84</c:v>
                </c:pt>
                <c:pt idx="768">
                  <c:v>-19.87</c:v>
                </c:pt>
                <c:pt idx="769">
                  <c:v>-19.89</c:v>
                </c:pt>
                <c:pt idx="770">
                  <c:v>-19.920000000000002</c:v>
                </c:pt>
                <c:pt idx="771">
                  <c:v>-19.940000000000001</c:v>
                </c:pt>
                <c:pt idx="772">
                  <c:v>-19.97</c:v>
                </c:pt>
                <c:pt idx="773">
                  <c:v>-19.989999999999998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3-4AF2-AC3E-98EFD5D7946A}"/>
            </c:ext>
          </c:extLst>
        </c:ser>
        <c:ser>
          <c:idx val="0"/>
          <c:order val="1"/>
          <c:tx>
            <c:v>BH-02</c:v>
          </c:tx>
          <c:spPr>
            <a:ln w="19050"/>
          </c:spPr>
          <c:marker>
            <c:symbol val="none"/>
          </c:marker>
          <c:xVal>
            <c:numRef>
              <c:f>'All boreholes'!$AR$33:$AR$53</c:f>
              <c:numCache>
                <c:formatCode>0.00</c:formatCode>
                <c:ptCount val="21"/>
              </c:numCache>
            </c:numRef>
          </c:xVal>
          <c:yVal>
            <c:numRef>
              <c:f>'All boreholes'!$H$33:$H$53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3-4AF2-AC3E-98EFD5D7946A}"/>
            </c:ext>
          </c:extLst>
        </c:ser>
        <c:ser>
          <c:idx val="1"/>
          <c:order val="2"/>
          <c:tx>
            <c:v>Characteristic Line FOS=1.2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'Comparison with LiquefyPro'!$X$23:$X$24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'Comparison with LiquefyPro'!$Y$23:$Y$24</c:f>
              <c:numCache>
                <c:formatCode>General</c:formatCode>
                <c:ptCount val="2"/>
                <c:pt idx="0">
                  <c:v>-5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3-4AF2-AC3E-98EFD5D79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66040"/>
        <c:axId val="1"/>
      </c:scatterChart>
      <c:valAx>
        <c:axId val="978566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Factor of Safety against Liquefaction for Mw = 6.2 (0.19g PGA)</a:t>
                </a:r>
              </a:p>
            </c:rich>
          </c:tx>
          <c:layout>
            <c:manualLayout>
              <c:xMode val="edge"/>
              <c:yMode val="edge"/>
              <c:x val="0.11437270341207348"/>
              <c:y val="6.2203249874664544E-2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2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 algn="ctr" rtl="0">
                  <a:def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Elevation (mDMD)</a:t>
                </a:r>
              </a:p>
            </c:rich>
          </c:tx>
          <c:layout>
            <c:manualLayout>
              <c:xMode val="edge"/>
              <c:yMode val="edge"/>
              <c:x val="3.806955380577428E-2"/>
              <c:y val="0.3588752248665546"/>
            </c:manualLayout>
          </c:layout>
          <c:overlay val="0"/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5660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157838900335342"/>
          <c:y val="0.31203179352564869"/>
          <c:w val="0.44349726343581697"/>
          <c:h val="0.58270997586115114"/>
        </c:manualLayout>
      </c:layout>
      <c:overlay val="0"/>
      <c:txPr>
        <a:bodyPr/>
        <a:lstStyle/>
        <a:p>
          <a:pPr algn="ctr" rtl="0">
            <a:defRPr lang="en-US" sz="9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70603674540683"/>
          <c:y val="0.2218816130889622"/>
          <c:w val="0.54630686789151361"/>
          <c:h val="0.70926748472680223"/>
        </c:manualLayout>
      </c:layout>
      <c:scatterChart>
        <c:scatterStyle val="smoothMarker"/>
        <c:varyColors val="0"/>
        <c:ser>
          <c:idx val="2"/>
          <c:order val="0"/>
          <c:tx>
            <c:v>BH-03 Liquefy Pro</c:v>
          </c:tx>
          <c:spPr>
            <a:ln w="19050"/>
          </c:spPr>
          <c:marker>
            <c:symbol val="none"/>
          </c:marker>
          <c:xVal>
            <c:numRef>
              <c:f>'Comparison with LiquefyPro'!$AJ$5:$AJ$781</c:f>
              <c:numCache>
                <c:formatCode>General</c:formatCode>
                <c:ptCount val="77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1.78</c:v>
                </c:pt>
                <c:pt idx="199">
                  <c:v>1.75</c:v>
                </c:pt>
                <c:pt idx="200">
                  <c:v>1.72</c:v>
                </c:pt>
                <c:pt idx="201">
                  <c:v>1.69</c:v>
                </c:pt>
                <c:pt idx="202">
                  <c:v>1.66</c:v>
                </c:pt>
                <c:pt idx="203">
                  <c:v>1.62</c:v>
                </c:pt>
                <c:pt idx="204">
                  <c:v>1.59</c:v>
                </c:pt>
                <c:pt idx="205">
                  <c:v>1.56</c:v>
                </c:pt>
                <c:pt idx="206">
                  <c:v>1.53</c:v>
                </c:pt>
                <c:pt idx="207">
                  <c:v>1.5</c:v>
                </c:pt>
                <c:pt idx="208">
                  <c:v>1.47</c:v>
                </c:pt>
                <c:pt idx="209">
                  <c:v>1.44</c:v>
                </c:pt>
                <c:pt idx="210">
                  <c:v>1.41</c:v>
                </c:pt>
                <c:pt idx="211">
                  <c:v>1.38</c:v>
                </c:pt>
                <c:pt idx="212">
                  <c:v>1.35</c:v>
                </c:pt>
                <c:pt idx="213">
                  <c:v>1.32</c:v>
                </c:pt>
                <c:pt idx="214">
                  <c:v>1.29</c:v>
                </c:pt>
                <c:pt idx="215">
                  <c:v>1.27</c:v>
                </c:pt>
                <c:pt idx="216">
                  <c:v>1.24</c:v>
                </c:pt>
                <c:pt idx="217">
                  <c:v>1.23</c:v>
                </c:pt>
                <c:pt idx="218">
                  <c:v>1.23</c:v>
                </c:pt>
                <c:pt idx="219">
                  <c:v>1.23</c:v>
                </c:pt>
                <c:pt idx="220">
                  <c:v>1.22</c:v>
                </c:pt>
                <c:pt idx="221">
                  <c:v>1.22</c:v>
                </c:pt>
                <c:pt idx="222">
                  <c:v>1.22</c:v>
                </c:pt>
                <c:pt idx="223">
                  <c:v>1.21</c:v>
                </c:pt>
                <c:pt idx="224">
                  <c:v>1.21</c:v>
                </c:pt>
                <c:pt idx="225">
                  <c:v>1.21</c:v>
                </c:pt>
                <c:pt idx="226">
                  <c:v>1.2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1.19</c:v>
                </c:pt>
                <c:pt idx="231">
                  <c:v>1.19</c:v>
                </c:pt>
                <c:pt idx="232">
                  <c:v>1.18</c:v>
                </c:pt>
                <c:pt idx="233">
                  <c:v>1.18</c:v>
                </c:pt>
                <c:pt idx="234">
                  <c:v>1.18</c:v>
                </c:pt>
                <c:pt idx="235">
                  <c:v>1.17</c:v>
                </c:pt>
                <c:pt idx="236">
                  <c:v>1.17</c:v>
                </c:pt>
                <c:pt idx="237">
                  <c:v>1.17</c:v>
                </c:pt>
                <c:pt idx="238">
                  <c:v>1.1599999999999999</c:v>
                </c:pt>
                <c:pt idx="239">
                  <c:v>1.1599999999999999</c:v>
                </c:pt>
                <c:pt idx="240">
                  <c:v>1.1599999999999999</c:v>
                </c:pt>
                <c:pt idx="241">
                  <c:v>1.1499999999999999</c:v>
                </c:pt>
                <c:pt idx="242">
                  <c:v>1.1499999999999999</c:v>
                </c:pt>
                <c:pt idx="243">
                  <c:v>1.1499999999999999</c:v>
                </c:pt>
                <c:pt idx="244">
                  <c:v>1.1499999999999999</c:v>
                </c:pt>
                <c:pt idx="245">
                  <c:v>1.1399999999999999</c:v>
                </c:pt>
                <c:pt idx="246">
                  <c:v>1.1399999999999999</c:v>
                </c:pt>
                <c:pt idx="247">
                  <c:v>1.1399999999999999</c:v>
                </c:pt>
                <c:pt idx="248">
                  <c:v>1.1299999999999999</c:v>
                </c:pt>
                <c:pt idx="249">
                  <c:v>1.1299999999999999</c:v>
                </c:pt>
                <c:pt idx="250">
                  <c:v>1.1299999999999999</c:v>
                </c:pt>
                <c:pt idx="251">
                  <c:v>1.1299999999999999</c:v>
                </c:pt>
                <c:pt idx="252">
                  <c:v>1.1200000000000001</c:v>
                </c:pt>
                <c:pt idx="253">
                  <c:v>1.1200000000000001</c:v>
                </c:pt>
                <c:pt idx="254">
                  <c:v>1.1200000000000001</c:v>
                </c:pt>
                <c:pt idx="255">
                  <c:v>1.1200000000000001</c:v>
                </c:pt>
                <c:pt idx="256">
                  <c:v>1.1100000000000001</c:v>
                </c:pt>
                <c:pt idx="257">
                  <c:v>1.1299999999999999</c:v>
                </c:pt>
                <c:pt idx="258">
                  <c:v>1.1499999999999999</c:v>
                </c:pt>
                <c:pt idx="259">
                  <c:v>1.17</c:v>
                </c:pt>
                <c:pt idx="260">
                  <c:v>1.19</c:v>
                </c:pt>
                <c:pt idx="261">
                  <c:v>1.21</c:v>
                </c:pt>
                <c:pt idx="262">
                  <c:v>1.23</c:v>
                </c:pt>
                <c:pt idx="263">
                  <c:v>1.25</c:v>
                </c:pt>
                <c:pt idx="264">
                  <c:v>1.27</c:v>
                </c:pt>
                <c:pt idx="265">
                  <c:v>1.29</c:v>
                </c:pt>
                <c:pt idx="266">
                  <c:v>1.3</c:v>
                </c:pt>
                <c:pt idx="267">
                  <c:v>1.32</c:v>
                </c:pt>
                <c:pt idx="268">
                  <c:v>1.34</c:v>
                </c:pt>
                <c:pt idx="269">
                  <c:v>1.36</c:v>
                </c:pt>
                <c:pt idx="270">
                  <c:v>1.38</c:v>
                </c:pt>
                <c:pt idx="271">
                  <c:v>1.4</c:v>
                </c:pt>
                <c:pt idx="272">
                  <c:v>1.42</c:v>
                </c:pt>
                <c:pt idx="273">
                  <c:v>1.44</c:v>
                </c:pt>
                <c:pt idx="274">
                  <c:v>1.45</c:v>
                </c:pt>
                <c:pt idx="275">
                  <c:v>1.47</c:v>
                </c:pt>
                <c:pt idx="276">
                  <c:v>1.49</c:v>
                </c:pt>
                <c:pt idx="277">
                  <c:v>1.51</c:v>
                </c:pt>
                <c:pt idx="278">
                  <c:v>1.53</c:v>
                </c:pt>
                <c:pt idx="279">
                  <c:v>1.54</c:v>
                </c:pt>
                <c:pt idx="280">
                  <c:v>1.56</c:v>
                </c:pt>
                <c:pt idx="281">
                  <c:v>1.58</c:v>
                </c:pt>
                <c:pt idx="282">
                  <c:v>1.6</c:v>
                </c:pt>
                <c:pt idx="283">
                  <c:v>1.62</c:v>
                </c:pt>
                <c:pt idx="284">
                  <c:v>1.63</c:v>
                </c:pt>
                <c:pt idx="285">
                  <c:v>1.65</c:v>
                </c:pt>
                <c:pt idx="286">
                  <c:v>1.67</c:v>
                </c:pt>
                <c:pt idx="287">
                  <c:v>1.68</c:v>
                </c:pt>
                <c:pt idx="288">
                  <c:v>1.7</c:v>
                </c:pt>
                <c:pt idx="289">
                  <c:v>1.72</c:v>
                </c:pt>
                <c:pt idx="290">
                  <c:v>1.74</c:v>
                </c:pt>
                <c:pt idx="291">
                  <c:v>1.75</c:v>
                </c:pt>
                <c:pt idx="292">
                  <c:v>1.77</c:v>
                </c:pt>
                <c:pt idx="293">
                  <c:v>1.79</c:v>
                </c:pt>
                <c:pt idx="294">
                  <c:v>1.8</c:v>
                </c:pt>
                <c:pt idx="295">
                  <c:v>1.82</c:v>
                </c:pt>
                <c:pt idx="296">
                  <c:v>1.84</c:v>
                </c:pt>
                <c:pt idx="297">
                  <c:v>1.85</c:v>
                </c:pt>
                <c:pt idx="298">
                  <c:v>1.87</c:v>
                </c:pt>
                <c:pt idx="299">
                  <c:v>1.89</c:v>
                </c:pt>
                <c:pt idx="300">
                  <c:v>1.9</c:v>
                </c:pt>
                <c:pt idx="301">
                  <c:v>1.92</c:v>
                </c:pt>
                <c:pt idx="302">
                  <c:v>1.94</c:v>
                </c:pt>
                <c:pt idx="303">
                  <c:v>1.95</c:v>
                </c:pt>
                <c:pt idx="304">
                  <c:v>1.97</c:v>
                </c:pt>
                <c:pt idx="305">
                  <c:v>1.99</c:v>
                </c:pt>
                <c:pt idx="306">
                  <c:v>2</c:v>
                </c:pt>
                <c:pt idx="307">
                  <c:v>2.02</c:v>
                </c:pt>
                <c:pt idx="308">
                  <c:v>2.04</c:v>
                </c:pt>
                <c:pt idx="309">
                  <c:v>2.0499999999999998</c:v>
                </c:pt>
                <c:pt idx="310">
                  <c:v>2.0699999999999998</c:v>
                </c:pt>
                <c:pt idx="311">
                  <c:v>2.09</c:v>
                </c:pt>
                <c:pt idx="312">
                  <c:v>2.11</c:v>
                </c:pt>
                <c:pt idx="313">
                  <c:v>2.12</c:v>
                </c:pt>
                <c:pt idx="314">
                  <c:v>2.14</c:v>
                </c:pt>
                <c:pt idx="315">
                  <c:v>2.16</c:v>
                </c:pt>
                <c:pt idx="316">
                  <c:v>2.17</c:v>
                </c:pt>
                <c:pt idx="317">
                  <c:v>2.3199999999999998</c:v>
                </c:pt>
                <c:pt idx="318">
                  <c:v>2.34</c:v>
                </c:pt>
                <c:pt idx="319">
                  <c:v>2.37</c:v>
                </c:pt>
                <c:pt idx="320">
                  <c:v>2.39</c:v>
                </c:pt>
                <c:pt idx="321">
                  <c:v>2.41</c:v>
                </c:pt>
                <c:pt idx="322">
                  <c:v>2.4300000000000002</c:v>
                </c:pt>
                <c:pt idx="323">
                  <c:v>2.4500000000000002</c:v>
                </c:pt>
                <c:pt idx="324">
                  <c:v>2.4700000000000002</c:v>
                </c:pt>
                <c:pt idx="325">
                  <c:v>2.4900000000000002</c:v>
                </c:pt>
                <c:pt idx="326">
                  <c:v>2.52</c:v>
                </c:pt>
                <c:pt idx="327">
                  <c:v>2.54</c:v>
                </c:pt>
                <c:pt idx="328">
                  <c:v>2.56</c:v>
                </c:pt>
                <c:pt idx="329">
                  <c:v>2.59</c:v>
                </c:pt>
                <c:pt idx="330">
                  <c:v>2.61</c:v>
                </c:pt>
                <c:pt idx="331">
                  <c:v>2.63</c:v>
                </c:pt>
                <c:pt idx="332">
                  <c:v>2.66</c:v>
                </c:pt>
                <c:pt idx="333">
                  <c:v>2.68</c:v>
                </c:pt>
                <c:pt idx="334">
                  <c:v>2.71</c:v>
                </c:pt>
                <c:pt idx="335">
                  <c:v>2.74</c:v>
                </c:pt>
                <c:pt idx="336">
                  <c:v>2.76</c:v>
                </c:pt>
                <c:pt idx="337">
                  <c:v>2.79</c:v>
                </c:pt>
                <c:pt idx="338">
                  <c:v>2.83</c:v>
                </c:pt>
                <c:pt idx="339">
                  <c:v>2.86</c:v>
                </c:pt>
                <c:pt idx="340">
                  <c:v>2.89</c:v>
                </c:pt>
                <c:pt idx="341">
                  <c:v>2.93</c:v>
                </c:pt>
                <c:pt idx="342">
                  <c:v>2.96</c:v>
                </c:pt>
                <c:pt idx="343">
                  <c:v>3</c:v>
                </c:pt>
                <c:pt idx="344">
                  <c:v>3.04</c:v>
                </c:pt>
                <c:pt idx="345">
                  <c:v>3.09</c:v>
                </c:pt>
                <c:pt idx="346">
                  <c:v>3.13</c:v>
                </c:pt>
                <c:pt idx="347">
                  <c:v>3.18</c:v>
                </c:pt>
                <c:pt idx="348">
                  <c:v>3.22</c:v>
                </c:pt>
                <c:pt idx="349">
                  <c:v>3.28</c:v>
                </c:pt>
                <c:pt idx="350">
                  <c:v>3.33</c:v>
                </c:pt>
                <c:pt idx="351">
                  <c:v>3.39</c:v>
                </c:pt>
                <c:pt idx="352">
                  <c:v>3.46</c:v>
                </c:pt>
                <c:pt idx="353">
                  <c:v>3.54</c:v>
                </c:pt>
                <c:pt idx="354">
                  <c:v>3.63</c:v>
                </c:pt>
                <c:pt idx="355">
                  <c:v>3.75</c:v>
                </c:pt>
                <c:pt idx="356">
                  <c:v>3.91</c:v>
                </c:pt>
                <c:pt idx="357">
                  <c:v>4.18</c:v>
                </c:pt>
                <c:pt idx="358">
                  <c:v>4.6100000000000003</c:v>
                </c:pt>
                <c:pt idx="359">
                  <c:v>4.6100000000000003</c:v>
                </c:pt>
                <c:pt idx="360">
                  <c:v>4.5999999999999996</c:v>
                </c:pt>
                <c:pt idx="361">
                  <c:v>4.5999999999999996</c:v>
                </c:pt>
                <c:pt idx="362">
                  <c:v>4.5999999999999996</c:v>
                </c:pt>
                <c:pt idx="363">
                  <c:v>4.5999999999999996</c:v>
                </c:pt>
                <c:pt idx="364">
                  <c:v>4.5999999999999996</c:v>
                </c:pt>
                <c:pt idx="365">
                  <c:v>4.5999999999999996</c:v>
                </c:pt>
                <c:pt idx="366">
                  <c:v>4.5999999999999996</c:v>
                </c:pt>
                <c:pt idx="367">
                  <c:v>4.59</c:v>
                </c:pt>
                <c:pt idx="368">
                  <c:v>4.59</c:v>
                </c:pt>
                <c:pt idx="369">
                  <c:v>4.59</c:v>
                </c:pt>
                <c:pt idx="370">
                  <c:v>4.59</c:v>
                </c:pt>
                <c:pt idx="371">
                  <c:v>4.59</c:v>
                </c:pt>
                <c:pt idx="372">
                  <c:v>4.59</c:v>
                </c:pt>
                <c:pt idx="373">
                  <c:v>4.59</c:v>
                </c:pt>
                <c:pt idx="374">
                  <c:v>4.58</c:v>
                </c:pt>
                <c:pt idx="375">
                  <c:v>4.58</c:v>
                </c:pt>
                <c:pt idx="376">
                  <c:v>4.58</c:v>
                </c:pt>
                <c:pt idx="377">
                  <c:v>4.58</c:v>
                </c:pt>
                <c:pt idx="378">
                  <c:v>4.58</c:v>
                </c:pt>
                <c:pt idx="379">
                  <c:v>4.58</c:v>
                </c:pt>
                <c:pt idx="380">
                  <c:v>4.58</c:v>
                </c:pt>
                <c:pt idx="381">
                  <c:v>4.58</c:v>
                </c:pt>
                <c:pt idx="382">
                  <c:v>4.58</c:v>
                </c:pt>
                <c:pt idx="383">
                  <c:v>4.57</c:v>
                </c:pt>
                <c:pt idx="384">
                  <c:v>4.57</c:v>
                </c:pt>
                <c:pt idx="385">
                  <c:v>4.57</c:v>
                </c:pt>
                <c:pt idx="386">
                  <c:v>4.57</c:v>
                </c:pt>
                <c:pt idx="387">
                  <c:v>4.57</c:v>
                </c:pt>
                <c:pt idx="388">
                  <c:v>4.57</c:v>
                </c:pt>
                <c:pt idx="389">
                  <c:v>4.57</c:v>
                </c:pt>
                <c:pt idx="390">
                  <c:v>4.57</c:v>
                </c:pt>
                <c:pt idx="391">
                  <c:v>4.57</c:v>
                </c:pt>
                <c:pt idx="392">
                  <c:v>4.57</c:v>
                </c:pt>
                <c:pt idx="393">
                  <c:v>4.57</c:v>
                </c:pt>
                <c:pt idx="394">
                  <c:v>4.5599999999999996</c:v>
                </c:pt>
                <c:pt idx="395">
                  <c:v>4.5599999999999996</c:v>
                </c:pt>
                <c:pt idx="396">
                  <c:v>4.5599999999999996</c:v>
                </c:pt>
                <c:pt idx="397">
                  <c:v>4.5599999999999996</c:v>
                </c:pt>
                <c:pt idx="398">
                  <c:v>4.5599999999999996</c:v>
                </c:pt>
                <c:pt idx="399">
                  <c:v>4.5599999999999996</c:v>
                </c:pt>
                <c:pt idx="400">
                  <c:v>4.5599999999999996</c:v>
                </c:pt>
                <c:pt idx="401">
                  <c:v>4.5599999999999996</c:v>
                </c:pt>
                <c:pt idx="402">
                  <c:v>4.5599999999999996</c:v>
                </c:pt>
                <c:pt idx="403">
                  <c:v>4.5599999999999996</c:v>
                </c:pt>
                <c:pt idx="404">
                  <c:v>4.5599999999999996</c:v>
                </c:pt>
                <c:pt idx="405">
                  <c:v>4.5599999999999996</c:v>
                </c:pt>
                <c:pt idx="406">
                  <c:v>4.5599999999999996</c:v>
                </c:pt>
                <c:pt idx="407">
                  <c:v>4.5599999999999996</c:v>
                </c:pt>
                <c:pt idx="408">
                  <c:v>4.5599999999999996</c:v>
                </c:pt>
                <c:pt idx="409">
                  <c:v>4.5599999999999996</c:v>
                </c:pt>
                <c:pt idx="410">
                  <c:v>4.5599999999999996</c:v>
                </c:pt>
                <c:pt idx="411">
                  <c:v>4.5599999999999996</c:v>
                </c:pt>
                <c:pt idx="412">
                  <c:v>4.5599999999999996</c:v>
                </c:pt>
                <c:pt idx="413">
                  <c:v>4.55</c:v>
                </c:pt>
                <c:pt idx="414">
                  <c:v>4.55</c:v>
                </c:pt>
                <c:pt idx="415">
                  <c:v>4.55</c:v>
                </c:pt>
                <c:pt idx="416">
                  <c:v>4.55</c:v>
                </c:pt>
                <c:pt idx="417">
                  <c:v>4.55</c:v>
                </c:pt>
                <c:pt idx="418">
                  <c:v>4.55</c:v>
                </c:pt>
                <c:pt idx="419">
                  <c:v>4.55</c:v>
                </c:pt>
                <c:pt idx="420">
                  <c:v>4.55</c:v>
                </c:pt>
                <c:pt idx="421">
                  <c:v>4.55</c:v>
                </c:pt>
                <c:pt idx="422">
                  <c:v>4.55</c:v>
                </c:pt>
                <c:pt idx="423">
                  <c:v>4.55</c:v>
                </c:pt>
                <c:pt idx="424">
                  <c:v>4.55</c:v>
                </c:pt>
                <c:pt idx="425">
                  <c:v>4.55</c:v>
                </c:pt>
                <c:pt idx="426">
                  <c:v>4.55</c:v>
                </c:pt>
                <c:pt idx="427">
                  <c:v>4.55</c:v>
                </c:pt>
                <c:pt idx="428">
                  <c:v>4.55</c:v>
                </c:pt>
                <c:pt idx="429">
                  <c:v>4.55</c:v>
                </c:pt>
                <c:pt idx="430">
                  <c:v>4.55</c:v>
                </c:pt>
                <c:pt idx="431">
                  <c:v>4.55</c:v>
                </c:pt>
                <c:pt idx="432">
                  <c:v>4.55</c:v>
                </c:pt>
                <c:pt idx="433">
                  <c:v>4.55</c:v>
                </c:pt>
                <c:pt idx="434">
                  <c:v>4.55</c:v>
                </c:pt>
                <c:pt idx="435">
                  <c:v>4.55</c:v>
                </c:pt>
                <c:pt idx="436">
                  <c:v>4.55</c:v>
                </c:pt>
                <c:pt idx="437">
                  <c:v>4.55</c:v>
                </c:pt>
                <c:pt idx="438">
                  <c:v>4.55</c:v>
                </c:pt>
                <c:pt idx="439">
                  <c:v>4.55</c:v>
                </c:pt>
                <c:pt idx="440">
                  <c:v>4.55</c:v>
                </c:pt>
                <c:pt idx="441">
                  <c:v>4.55</c:v>
                </c:pt>
                <c:pt idx="442">
                  <c:v>4.55</c:v>
                </c:pt>
                <c:pt idx="443">
                  <c:v>4.55</c:v>
                </c:pt>
                <c:pt idx="444">
                  <c:v>4.55</c:v>
                </c:pt>
                <c:pt idx="445">
                  <c:v>4.55</c:v>
                </c:pt>
                <c:pt idx="446">
                  <c:v>4.55</c:v>
                </c:pt>
                <c:pt idx="447">
                  <c:v>4.55</c:v>
                </c:pt>
                <c:pt idx="448">
                  <c:v>4.5599999999999996</c:v>
                </c:pt>
                <c:pt idx="449">
                  <c:v>4.5599999999999996</c:v>
                </c:pt>
                <c:pt idx="450">
                  <c:v>4.5599999999999996</c:v>
                </c:pt>
                <c:pt idx="451">
                  <c:v>4.5599999999999996</c:v>
                </c:pt>
                <c:pt idx="452">
                  <c:v>4.5599999999999996</c:v>
                </c:pt>
                <c:pt idx="453">
                  <c:v>4.5599999999999996</c:v>
                </c:pt>
                <c:pt idx="454">
                  <c:v>4.5599999999999996</c:v>
                </c:pt>
                <c:pt idx="455">
                  <c:v>4.5599999999999996</c:v>
                </c:pt>
                <c:pt idx="456">
                  <c:v>4.5599999999999996</c:v>
                </c:pt>
                <c:pt idx="457">
                  <c:v>4.5599999999999996</c:v>
                </c:pt>
                <c:pt idx="458">
                  <c:v>4.5599999999999996</c:v>
                </c:pt>
                <c:pt idx="459">
                  <c:v>4.5599999999999996</c:v>
                </c:pt>
                <c:pt idx="460">
                  <c:v>4.5599999999999996</c:v>
                </c:pt>
                <c:pt idx="461">
                  <c:v>4.5599999999999996</c:v>
                </c:pt>
                <c:pt idx="462">
                  <c:v>4.5599999999999996</c:v>
                </c:pt>
                <c:pt idx="463">
                  <c:v>4.5599999999999996</c:v>
                </c:pt>
                <c:pt idx="464">
                  <c:v>4.5599999999999996</c:v>
                </c:pt>
                <c:pt idx="465">
                  <c:v>4.59</c:v>
                </c:pt>
                <c:pt idx="466">
                  <c:v>4.59</c:v>
                </c:pt>
                <c:pt idx="467">
                  <c:v>4.59</c:v>
                </c:pt>
                <c:pt idx="468">
                  <c:v>4.59</c:v>
                </c:pt>
                <c:pt idx="469">
                  <c:v>4.59</c:v>
                </c:pt>
                <c:pt idx="470">
                  <c:v>4.59</c:v>
                </c:pt>
                <c:pt idx="471">
                  <c:v>4.59</c:v>
                </c:pt>
                <c:pt idx="472">
                  <c:v>4.59</c:v>
                </c:pt>
                <c:pt idx="473">
                  <c:v>4.59</c:v>
                </c:pt>
                <c:pt idx="474">
                  <c:v>4.58</c:v>
                </c:pt>
                <c:pt idx="475">
                  <c:v>4.58</c:v>
                </c:pt>
                <c:pt idx="476">
                  <c:v>4.58</c:v>
                </c:pt>
                <c:pt idx="477">
                  <c:v>4.58</c:v>
                </c:pt>
                <c:pt idx="478">
                  <c:v>4.58</c:v>
                </c:pt>
                <c:pt idx="479">
                  <c:v>4.58</c:v>
                </c:pt>
                <c:pt idx="480">
                  <c:v>4.58</c:v>
                </c:pt>
                <c:pt idx="481">
                  <c:v>4.58</c:v>
                </c:pt>
                <c:pt idx="482">
                  <c:v>4.58</c:v>
                </c:pt>
                <c:pt idx="483">
                  <c:v>4.58</c:v>
                </c:pt>
                <c:pt idx="484">
                  <c:v>4.58</c:v>
                </c:pt>
                <c:pt idx="485">
                  <c:v>4.58</c:v>
                </c:pt>
                <c:pt idx="486">
                  <c:v>4.58</c:v>
                </c:pt>
                <c:pt idx="487">
                  <c:v>4.58</c:v>
                </c:pt>
                <c:pt idx="488">
                  <c:v>4.58</c:v>
                </c:pt>
                <c:pt idx="489">
                  <c:v>4.58</c:v>
                </c:pt>
                <c:pt idx="490">
                  <c:v>4.58</c:v>
                </c:pt>
                <c:pt idx="491">
                  <c:v>4.58</c:v>
                </c:pt>
                <c:pt idx="492">
                  <c:v>4.58</c:v>
                </c:pt>
                <c:pt idx="493">
                  <c:v>4.58</c:v>
                </c:pt>
                <c:pt idx="494">
                  <c:v>4.58</c:v>
                </c:pt>
                <c:pt idx="495">
                  <c:v>4.58</c:v>
                </c:pt>
                <c:pt idx="496">
                  <c:v>4.58</c:v>
                </c:pt>
                <c:pt idx="497">
                  <c:v>4.58</c:v>
                </c:pt>
                <c:pt idx="498">
                  <c:v>4.58</c:v>
                </c:pt>
                <c:pt idx="499">
                  <c:v>4.58</c:v>
                </c:pt>
                <c:pt idx="500">
                  <c:v>4.58</c:v>
                </c:pt>
                <c:pt idx="501">
                  <c:v>4.58</c:v>
                </c:pt>
                <c:pt idx="502">
                  <c:v>4.58</c:v>
                </c:pt>
                <c:pt idx="503">
                  <c:v>4.58</c:v>
                </c:pt>
                <c:pt idx="504">
                  <c:v>4.58</c:v>
                </c:pt>
                <c:pt idx="505">
                  <c:v>4.58</c:v>
                </c:pt>
                <c:pt idx="506">
                  <c:v>4.58</c:v>
                </c:pt>
                <c:pt idx="507">
                  <c:v>4.58</c:v>
                </c:pt>
                <c:pt idx="508">
                  <c:v>4.58</c:v>
                </c:pt>
                <c:pt idx="509">
                  <c:v>4.58</c:v>
                </c:pt>
                <c:pt idx="510">
                  <c:v>4.58</c:v>
                </c:pt>
                <c:pt idx="511">
                  <c:v>4.58</c:v>
                </c:pt>
                <c:pt idx="512">
                  <c:v>4.58</c:v>
                </c:pt>
                <c:pt idx="513">
                  <c:v>4.58</c:v>
                </c:pt>
                <c:pt idx="514">
                  <c:v>4.58</c:v>
                </c:pt>
                <c:pt idx="515">
                  <c:v>4.58</c:v>
                </c:pt>
                <c:pt idx="516">
                  <c:v>4.58</c:v>
                </c:pt>
                <c:pt idx="517">
                  <c:v>4.58</c:v>
                </c:pt>
                <c:pt idx="518">
                  <c:v>4.58</c:v>
                </c:pt>
                <c:pt idx="519">
                  <c:v>4.58</c:v>
                </c:pt>
                <c:pt idx="520">
                  <c:v>4.58</c:v>
                </c:pt>
                <c:pt idx="521">
                  <c:v>4.58</c:v>
                </c:pt>
                <c:pt idx="522">
                  <c:v>4.58</c:v>
                </c:pt>
                <c:pt idx="523">
                  <c:v>4.58</c:v>
                </c:pt>
                <c:pt idx="524">
                  <c:v>4.58</c:v>
                </c:pt>
                <c:pt idx="525">
                  <c:v>4.58</c:v>
                </c:pt>
                <c:pt idx="526">
                  <c:v>4.58</c:v>
                </c:pt>
                <c:pt idx="527">
                  <c:v>4.58</c:v>
                </c:pt>
                <c:pt idx="528">
                  <c:v>4.58</c:v>
                </c:pt>
                <c:pt idx="529">
                  <c:v>4.58</c:v>
                </c:pt>
                <c:pt idx="530">
                  <c:v>4.58</c:v>
                </c:pt>
                <c:pt idx="531">
                  <c:v>4.58</c:v>
                </c:pt>
                <c:pt idx="532">
                  <c:v>4.58</c:v>
                </c:pt>
                <c:pt idx="533">
                  <c:v>4.58</c:v>
                </c:pt>
                <c:pt idx="534">
                  <c:v>4.58</c:v>
                </c:pt>
                <c:pt idx="535">
                  <c:v>4.58</c:v>
                </c:pt>
                <c:pt idx="536">
                  <c:v>4.58</c:v>
                </c:pt>
                <c:pt idx="537">
                  <c:v>4.58</c:v>
                </c:pt>
                <c:pt idx="538">
                  <c:v>4.58</c:v>
                </c:pt>
                <c:pt idx="539">
                  <c:v>4.58</c:v>
                </c:pt>
                <c:pt idx="540">
                  <c:v>4.58</c:v>
                </c:pt>
                <c:pt idx="541">
                  <c:v>4.59</c:v>
                </c:pt>
                <c:pt idx="542">
                  <c:v>4.59</c:v>
                </c:pt>
                <c:pt idx="543">
                  <c:v>4.59</c:v>
                </c:pt>
                <c:pt idx="544">
                  <c:v>4.59</c:v>
                </c:pt>
                <c:pt idx="545">
                  <c:v>4.59</c:v>
                </c:pt>
                <c:pt idx="546">
                  <c:v>4.59</c:v>
                </c:pt>
                <c:pt idx="547">
                  <c:v>4.59</c:v>
                </c:pt>
                <c:pt idx="548">
                  <c:v>4.59</c:v>
                </c:pt>
                <c:pt idx="549">
                  <c:v>4.59</c:v>
                </c:pt>
                <c:pt idx="550">
                  <c:v>4.59</c:v>
                </c:pt>
                <c:pt idx="551">
                  <c:v>4.59</c:v>
                </c:pt>
                <c:pt idx="552">
                  <c:v>4.59</c:v>
                </c:pt>
                <c:pt idx="553">
                  <c:v>4.59</c:v>
                </c:pt>
                <c:pt idx="554">
                  <c:v>4.59</c:v>
                </c:pt>
                <c:pt idx="555">
                  <c:v>4.59</c:v>
                </c:pt>
                <c:pt idx="556">
                  <c:v>4.59</c:v>
                </c:pt>
                <c:pt idx="557">
                  <c:v>4.59</c:v>
                </c:pt>
                <c:pt idx="558">
                  <c:v>4.59</c:v>
                </c:pt>
                <c:pt idx="559">
                  <c:v>4.59</c:v>
                </c:pt>
                <c:pt idx="560">
                  <c:v>4.59</c:v>
                </c:pt>
                <c:pt idx="561">
                  <c:v>4.5999999999999996</c:v>
                </c:pt>
                <c:pt idx="562">
                  <c:v>4.5999999999999996</c:v>
                </c:pt>
                <c:pt idx="563">
                  <c:v>4.5999999999999996</c:v>
                </c:pt>
                <c:pt idx="564">
                  <c:v>4.5999999999999996</c:v>
                </c:pt>
                <c:pt idx="565">
                  <c:v>4.5999999999999996</c:v>
                </c:pt>
                <c:pt idx="566">
                  <c:v>4.5999999999999996</c:v>
                </c:pt>
                <c:pt idx="567">
                  <c:v>4.5999999999999996</c:v>
                </c:pt>
                <c:pt idx="568">
                  <c:v>4.5999999999999996</c:v>
                </c:pt>
                <c:pt idx="569">
                  <c:v>4.5999999999999996</c:v>
                </c:pt>
                <c:pt idx="570">
                  <c:v>4.5999999999999996</c:v>
                </c:pt>
                <c:pt idx="571">
                  <c:v>4.5999999999999996</c:v>
                </c:pt>
                <c:pt idx="572">
                  <c:v>4.5999999999999996</c:v>
                </c:pt>
                <c:pt idx="573">
                  <c:v>4.5999999999999996</c:v>
                </c:pt>
                <c:pt idx="574">
                  <c:v>4.5999999999999996</c:v>
                </c:pt>
                <c:pt idx="575">
                  <c:v>4.6100000000000003</c:v>
                </c:pt>
                <c:pt idx="576">
                  <c:v>4.6100000000000003</c:v>
                </c:pt>
                <c:pt idx="577">
                  <c:v>4.6100000000000003</c:v>
                </c:pt>
                <c:pt idx="578">
                  <c:v>4.6100000000000003</c:v>
                </c:pt>
                <c:pt idx="579">
                  <c:v>4.6100000000000003</c:v>
                </c:pt>
                <c:pt idx="580">
                  <c:v>4.6100000000000003</c:v>
                </c:pt>
                <c:pt idx="581">
                  <c:v>4.6100000000000003</c:v>
                </c:pt>
                <c:pt idx="582">
                  <c:v>4.6100000000000003</c:v>
                </c:pt>
                <c:pt idx="583">
                  <c:v>4.6100000000000003</c:v>
                </c:pt>
                <c:pt idx="584">
                  <c:v>4.6100000000000003</c:v>
                </c:pt>
                <c:pt idx="585">
                  <c:v>4.6100000000000003</c:v>
                </c:pt>
                <c:pt idx="586">
                  <c:v>4.6100000000000003</c:v>
                </c:pt>
                <c:pt idx="587">
                  <c:v>4.62</c:v>
                </c:pt>
                <c:pt idx="588">
                  <c:v>4.62</c:v>
                </c:pt>
                <c:pt idx="589">
                  <c:v>4.62</c:v>
                </c:pt>
                <c:pt idx="590">
                  <c:v>4.62</c:v>
                </c:pt>
                <c:pt idx="591">
                  <c:v>4.62</c:v>
                </c:pt>
                <c:pt idx="592">
                  <c:v>4.62</c:v>
                </c:pt>
                <c:pt idx="593">
                  <c:v>4.62</c:v>
                </c:pt>
                <c:pt idx="594">
                  <c:v>4.62</c:v>
                </c:pt>
                <c:pt idx="595">
                  <c:v>4.62</c:v>
                </c:pt>
                <c:pt idx="596">
                  <c:v>4.62</c:v>
                </c:pt>
                <c:pt idx="597">
                  <c:v>4.62</c:v>
                </c:pt>
                <c:pt idx="598">
                  <c:v>4.63</c:v>
                </c:pt>
                <c:pt idx="599">
                  <c:v>4.63</c:v>
                </c:pt>
                <c:pt idx="600">
                  <c:v>4.63</c:v>
                </c:pt>
                <c:pt idx="601">
                  <c:v>4.63</c:v>
                </c:pt>
                <c:pt idx="602">
                  <c:v>4.63</c:v>
                </c:pt>
                <c:pt idx="603">
                  <c:v>4.63</c:v>
                </c:pt>
                <c:pt idx="604">
                  <c:v>4.63</c:v>
                </c:pt>
                <c:pt idx="605">
                  <c:v>4.63</c:v>
                </c:pt>
                <c:pt idx="606">
                  <c:v>4.63</c:v>
                </c:pt>
                <c:pt idx="607">
                  <c:v>4.6399999999999997</c:v>
                </c:pt>
                <c:pt idx="608">
                  <c:v>4.6399999999999997</c:v>
                </c:pt>
                <c:pt idx="609">
                  <c:v>4.6399999999999997</c:v>
                </c:pt>
                <c:pt idx="610">
                  <c:v>4.6399999999999997</c:v>
                </c:pt>
                <c:pt idx="611">
                  <c:v>4.6399999999999997</c:v>
                </c:pt>
                <c:pt idx="612">
                  <c:v>4.6399999999999997</c:v>
                </c:pt>
                <c:pt idx="613">
                  <c:v>4.6399999999999997</c:v>
                </c:pt>
                <c:pt idx="614">
                  <c:v>4.6399999999999997</c:v>
                </c:pt>
                <c:pt idx="615">
                  <c:v>4.6399999999999997</c:v>
                </c:pt>
                <c:pt idx="616">
                  <c:v>4.6500000000000004</c:v>
                </c:pt>
                <c:pt idx="617">
                  <c:v>4.6500000000000004</c:v>
                </c:pt>
                <c:pt idx="618">
                  <c:v>4.6500000000000004</c:v>
                </c:pt>
                <c:pt idx="619">
                  <c:v>4.6500000000000004</c:v>
                </c:pt>
                <c:pt idx="620">
                  <c:v>4.6500000000000004</c:v>
                </c:pt>
                <c:pt idx="621">
                  <c:v>4.6500000000000004</c:v>
                </c:pt>
                <c:pt idx="622">
                  <c:v>4.6500000000000004</c:v>
                </c:pt>
                <c:pt idx="623">
                  <c:v>4.6500000000000004</c:v>
                </c:pt>
                <c:pt idx="624">
                  <c:v>4.66</c:v>
                </c:pt>
                <c:pt idx="625">
                  <c:v>4.66</c:v>
                </c:pt>
                <c:pt idx="626">
                  <c:v>4.66</c:v>
                </c:pt>
                <c:pt idx="627">
                  <c:v>4.66</c:v>
                </c:pt>
                <c:pt idx="628">
                  <c:v>4.66</c:v>
                </c:pt>
                <c:pt idx="629">
                  <c:v>4.66</c:v>
                </c:pt>
                <c:pt idx="630">
                  <c:v>4.66</c:v>
                </c:pt>
                <c:pt idx="631">
                  <c:v>4.66</c:v>
                </c:pt>
                <c:pt idx="632">
                  <c:v>4.67</c:v>
                </c:pt>
                <c:pt idx="633">
                  <c:v>4.67</c:v>
                </c:pt>
                <c:pt idx="634">
                  <c:v>4.67</c:v>
                </c:pt>
                <c:pt idx="635">
                  <c:v>4.67</c:v>
                </c:pt>
                <c:pt idx="636">
                  <c:v>4.67</c:v>
                </c:pt>
                <c:pt idx="637">
                  <c:v>4.67</c:v>
                </c:pt>
                <c:pt idx="638">
                  <c:v>4.67</c:v>
                </c:pt>
                <c:pt idx="639">
                  <c:v>4.67</c:v>
                </c:pt>
                <c:pt idx="640">
                  <c:v>4.68</c:v>
                </c:pt>
                <c:pt idx="641">
                  <c:v>4.68</c:v>
                </c:pt>
                <c:pt idx="642">
                  <c:v>4.68</c:v>
                </c:pt>
                <c:pt idx="643">
                  <c:v>4.68</c:v>
                </c:pt>
                <c:pt idx="644">
                  <c:v>4.68</c:v>
                </c:pt>
                <c:pt idx="645">
                  <c:v>4.68</c:v>
                </c:pt>
                <c:pt idx="646">
                  <c:v>4.68</c:v>
                </c:pt>
                <c:pt idx="647">
                  <c:v>4.6900000000000004</c:v>
                </c:pt>
                <c:pt idx="648">
                  <c:v>4.6900000000000004</c:v>
                </c:pt>
                <c:pt idx="649">
                  <c:v>4.6900000000000004</c:v>
                </c:pt>
                <c:pt idx="650">
                  <c:v>4.6900000000000004</c:v>
                </c:pt>
                <c:pt idx="651">
                  <c:v>4.6900000000000004</c:v>
                </c:pt>
                <c:pt idx="652">
                  <c:v>4.6900000000000004</c:v>
                </c:pt>
                <c:pt idx="653">
                  <c:v>4.7</c:v>
                </c:pt>
                <c:pt idx="654">
                  <c:v>4.7</c:v>
                </c:pt>
                <c:pt idx="655">
                  <c:v>4.7</c:v>
                </c:pt>
                <c:pt idx="656">
                  <c:v>4.7</c:v>
                </c:pt>
                <c:pt idx="657">
                  <c:v>4.7</c:v>
                </c:pt>
                <c:pt idx="658">
                  <c:v>4.7</c:v>
                </c:pt>
                <c:pt idx="659">
                  <c:v>4.7</c:v>
                </c:pt>
                <c:pt idx="660">
                  <c:v>4.71</c:v>
                </c:pt>
                <c:pt idx="661">
                  <c:v>4.71</c:v>
                </c:pt>
                <c:pt idx="662">
                  <c:v>4.71</c:v>
                </c:pt>
                <c:pt idx="663">
                  <c:v>4.71</c:v>
                </c:pt>
                <c:pt idx="664">
                  <c:v>4.71</c:v>
                </c:pt>
                <c:pt idx="665">
                  <c:v>4.71</c:v>
                </c:pt>
                <c:pt idx="666">
                  <c:v>4.72</c:v>
                </c:pt>
                <c:pt idx="667">
                  <c:v>4.72</c:v>
                </c:pt>
                <c:pt idx="668">
                  <c:v>4.72</c:v>
                </c:pt>
                <c:pt idx="669">
                  <c:v>4.72</c:v>
                </c:pt>
                <c:pt idx="670">
                  <c:v>4.72</c:v>
                </c:pt>
                <c:pt idx="671">
                  <c:v>4.72</c:v>
                </c:pt>
                <c:pt idx="672">
                  <c:v>4.7300000000000004</c:v>
                </c:pt>
                <c:pt idx="673">
                  <c:v>4.7300000000000004</c:v>
                </c:pt>
                <c:pt idx="674">
                  <c:v>4.7300000000000004</c:v>
                </c:pt>
                <c:pt idx="675">
                  <c:v>4.7300000000000004</c:v>
                </c:pt>
                <c:pt idx="676">
                  <c:v>4.7300000000000004</c:v>
                </c:pt>
                <c:pt idx="677">
                  <c:v>4.74</c:v>
                </c:pt>
                <c:pt idx="678">
                  <c:v>4.74</c:v>
                </c:pt>
                <c:pt idx="679">
                  <c:v>4.74</c:v>
                </c:pt>
                <c:pt idx="680">
                  <c:v>4.74</c:v>
                </c:pt>
                <c:pt idx="681">
                  <c:v>4.74</c:v>
                </c:pt>
                <c:pt idx="682">
                  <c:v>4.74</c:v>
                </c:pt>
                <c:pt idx="683">
                  <c:v>4.75</c:v>
                </c:pt>
                <c:pt idx="684">
                  <c:v>4.75</c:v>
                </c:pt>
                <c:pt idx="685">
                  <c:v>4.75</c:v>
                </c:pt>
                <c:pt idx="686">
                  <c:v>4.75</c:v>
                </c:pt>
                <c:pt idx="687">
                  <c:v>4.75</c:v>
                </c:pt>
                <c:pt idx="688">
                  <c:v>4.76</c:v>
                </c:pt>
                <c:pt idx="689">
                  <c:v>4.76</c:v>
                </c:pt>
                <c:pt idx="690">
                  <c:v>4.76</c:v>
                </c:pt>
                <c:pt idx="691">
                  <c:v>4.76</c:v>
                </c:pt>
                <c:pt idx="692">
                  <c:v>4.76</c:v>
                </c:pt>
                <c:pt idx="693">
                  <c:v>4.76</c:v>
                </c:pt>
                <c:pt idx="694">
                  <c:v>4.7699999999999996</c:v>
                </c:pt>
                <c:pt idx="695">
                  <c:v>4.7699999999999996</c:v>
                </c:pt>
                <c:pt idx="696">
                  <c:v>4.7699999999999996</c:v>
                </c:pt>
                <c:pt idx="697">
                  <c:v>4.7699999999999996</c:v>
                </c:pt>
                <c:pt idx="698">
                  <c:v>4.7699999999999996</c:v>
                </c:pt>
                <c:pt idx="699">
                  <c:v>4.78</c:v>
                </c:pt>
                <c:pt idx="700">
                  <c:v>4.78</c:v>
                </c:pt>
                <c:pt idx="701">
                  <c:v>4.78</c:v>
                </c:pt>
                <c:pt idx="702">
                  <c:v>4.78</c:v>
                </c:pt>
                <c:pt idx="703">
                  <c:v>4.78</c:v>
                </c:pt>
                <c:pt idx="704">
                  <c:v>4.79</c:v>
                </c:pt>
                <c:pt idx="705">
                  <c:v>4.79</c:v>
                </c:pt>
                <c:pt idx="706">
                  <c:v>4.79</c:v>
                </c:pt>
                <c:pt idx="707">
                  <c:v>4.79</c:v>
                </c:pt>
                <c:pt idx="708">
                  <c:v>4.79</c:v>
                </c:pt>
                <c:pt idx="709">
                  <c:v>4.8</c:v>
                </c:pt>
                <c:pt idx="710">
                  <c:v>4.8</c:v>
                </c:pt>
                <c:pt idx="711">
                  <c:v>4.8</c:v>
                </c:pt>
                <c:pt idx="712">
                  <c:v>4.8</c:v>
                </c:pt>
                <c:pt idx="713">
                  <c:v>4.8</c:v>
                </c:pt>
                <c:pt idx="714">
                  <c:v>4.8099999999999996</c:v>
                </c:pt>
                <c:pt idx="715">
                  <c:v>4.8099999999999996</c:v>
                </c:pt>
                <c:pt idx="716">
                  <c:v>4.8099999999999996</c:v>
                </c:pt>
                <c:pt idx="717">
                  <c:v>4.8099999999999996</c:v>
                </c:pt>
                <c:pt idx="718">
                  <c:v>4.82</c:v>
                </c:pt>
                <c:pt idx="719">
                  <c:v>4.82</c:v>
                </c:pt>
                <c:pt idx="720">
                  <c:v>4.82</c:v>
                </c:pt>
                <c:pt idx="721">
                  <c:v>4.82</c:v>
                </c:pt>
                <c:pt idx="722">
                  <c:v>4.82</c:v>
                </c:pt>
                <c:pt idx="723">
                  <c:v>4.83</c:v>
                </c:pt>
                <c:pt idx="724">
                  <c:v>4.83</c:v>
                </c:pt>
                <c:pt idx="725">
                  <c:v>4.83</c:v>
                </c:pt>
                <c:pt idx="726">
                  <c:v>4.83</c:v>
                </c:pt>
                <c:pt idx="727">
                  <c:v>4.84</c:v>
                </c:pt>
                <c:pt idx="728">
                  <c:v>4.84</c:v>
                </c:pt>
                <c:pt idx="729">
                  <c:v>4.84</c:v>
                </c:pt>
                <c:pt idx="730">
                  <c:v>4.84</c:v>
                </c:pt>
                <c:pt idx="731">
                  <c:v>4.84</c:v>
                </c:pt>
                <c:pt idx="732">
                  <c:v>4.8499999999999996</c:v>
                </c:pt>
                <c:pt idx="733">
                  <c:v>4.8499999999999996</c:v>
                </c:pt>
                <c:pt idx="734">
                  <c:v>4.8499999999999996</c:v>
                </c:pt>
                <c:pt idx="735">
                  <c:v>4.8499999999999996</c:v>
                </c:pt>
                <c:pt idx="736">
                  <c:v>4.8600000000000003</c:v>
                </c:pt>
                <c:pt idx="737">
                  <c:v>4.8600000000000003</c:v>
                </c:pt>
                <c:pt idx="738">
                  <c:v>4.8600000000000003</c:v>
                </c:pt>
                <c:pt idx="739">
                  <c:v>4.8600000000000003</c:v>
                </c:pt>
                <c:pt idx="740">
                  <c:v>4.87</c:v>
                </c:pt>
                <c:pt idx="741">
                  <c:v>4.87</c:v>
                </c:pt>
                <c:pt idx="742">
                  <c:v>4.87</c:v>
                </c:pt>
                <c:pt idx="743">
                  <c:v>4.87</c:v>
                </c:pt>
                <c:pt idx="744">
                  <c:v>4.87</c:v>
                </c:pt>
                <c:pt idx="745">
                  <c:v>4.88</c:v>
                </c:pt>
                <c:pt idx="746">
                  <c:v>4.88</c:v>
                </c:pt>
                <c:pt idx="747">
                  <c:v>4.88</c:v>
                </c:pt>
                <c:pt idx="748">
                  <c:v>4.88</c:v>
                </c:pt>
                <c:pt idx="749">
                  <c:v>4.8899999999999997</c:v>
                </c:pt>
                <c:pt idx="750">
                  <c:v>4.8899999999999997</c:v>
                </c:pt>
                <c:pt idx="751">
                  <c:v>4.8899999999999997</c:v>
                </c:pt>
                <c:pt idx="752">
                  <c:v>4.8899999999999997</c:v>
                </c:pt>
                <c:pt idx="753">
                  <c:v>4.9000000000000004</c:v>
                </c:pt>
                <c:pt idx="754">
                  <c:v>4.9000000000000004</c:v>
                </c:pt>
                <c:pt idx="755">
                  <c:v>4.9000000000000004</c:v>
                </c:pt>
                <c:pt idx="756">
                  <c:v>4.9000000000000004</c:v>
                </c:pt>
                <c:pt idx="757">
                  <c:v>4.91</c:v>
                </c:pt>
                <c:pt idx="758">
                  <c:v>4.91</c:v>
                </c:pt>
                <c:pt idx="759">
                  <c:v>4.91</c:v>
                </c:pt>
                <c:pt idx="760">
                  <c:v>4.91</c:v>
                </c:pt>
                <c:pt idx="761">
                  <c:v>4.92</c:v>
                </c:pt>
                <c:pt idx="762">
                  <c:v>4.92</c:v>
                </c:pt>
                <c:pt idx="763">
                  <c:v>4.92</c:v>
                </c:pt>
                <c:pt idx="764">
                  <c:v>4.93</c:v>
                </c:pt>
                <c:pt idx="765">
                  <c:v>4.93</c:v>
                </c:pt>
                <c:pt idx="766">
                  <c:v>4.93</c:v>
                </c:pt>
                <c:pt idx="767">
                  <c:v>4.93</c:v>
                </c:pt>
                <c:pt idx="768">
                  <c:v>4.9400000000000004</c:v>
                </c:pt>
                <c:pt idx="769">
                  <c:v>4.9400000000000004</c:v>
                </c:pt>
                <c:pt idx="770">
                  <c:v>4.9400000000000004</c:v>
                </c:pt>
                <c:pt idx="771">
                  <c:v>4.9400000000000004</c:v>
                </c:pt>
                <c:pt idx="772">
                  <c:v>4.95</c:v>
                </c:pt>
                <c:pt idx="773">
                  <c:v>4.95</c:v>
                </c:pt>
                <c:pt idx="774">
                  <c:v>4.95</c:v>
                </c:pt>
                <c:pt idx="775">
                  <c:v>4.95</c:v>
                </c:pt>
                <c:pt idx="776">
                  <c:v>4.96</c:v>
                </c:pt>
              </c:numCache>
            </c:numRef>
          </c:xVal>
          <c:yVal>
            <c:numRef>
              <c:f>'Comparison with LiquefyPro'!$AG$5:$AG$781</c:f>
              <c:numCache>
                <c:formatCode>0.000</c:formatCode>
                <c:ptCount val="777"/>
                <c:pt idx="0">
                  <c:v>-0.59</c:v>
                </c:pt>
                <c:pt idx="1">
                  <c:v>-0.61</c:v>
                </c:pt>
                <c:pt idx="2">
                  <c:v>-0.64</c:v>
                </c:pt>
                <c:pt idx="3">
                  <c:v>-0.66</c:v>
                </c:pt>
                <c:pt idx="4">
                  <c:v>-0.69</c:v>
                </c:pt>
                <c:pt idx="5">
                  <c:v>-0.71</c:v>
                </c:pt>
                <c:pt idx="6">
                  <c:v>-0.74</c:v>
                </c:pt>
                <c:pt idx="7">
                  <c:v>-0.76</c:v>
                </c:pt>
                <c:pt idx="8">
                  <c:v>-0.79</c:v>
                </c:pt>
                <c:pt idx="9">
                  <c:v>-0.81</c:v>
                </c:pt>
                <c:pt idx="10">
                  <c:v>-0.84</c:v>
                </c:pt>
                <c:pt idx="11">
                  <c:v>-0.86</c:v>
                </c:pt>
                <c:pt idx="12">
                  <c:v>-0.89</c:v>
                </c:pt>
                <c:pt idx="13">
                  <c:v>-0.91</c:v>
                </c:pt>
                <c:pt idx="14">
                  <c:v>-0.94</c:v>
                </c:pt>
                <c:pt idx="15">
                  <c:v>-0.96</c:v>
                </c:pt>
                <c:pt idx="16">
                  <c:v>-0.99</c:v>
                </c:pt>
                <c:pt idx="17">
                  <c:v>-1.01</c:v>
                </c:pt>
                <c:pt idx="18">
                  <c:v>-1.04</c:v>
                </c:pt>
                <c:pt idx="19">
                  <c:v>-1.06</c:v>
                </c:pt>
                <c:pt idx="20">
                  <c:v>-1.0900000000000001</c:v>
                </c:pt>
                <c:pt idx="21">
                  <c:v>-1.1100000000000001</c:v>
                </c:pt>
                <c:pt idx="22">
                  <c:v>-1.1399999999999999</c:v>
                </c:pt>
                <c:pt idx="23">
                  <c:v>-1.1599999999999999</c:v>
                </c:pt>
                <c:pt idx="24">
                  <c:v>-1.19</c:v>
                </c:pt>
                <c:pt idx="25">
                  <c:v>-1.21</c:v>
                </c:pt>
                <c:pt idx="26">
                  <c:v>-1.24</c:v>
                </c:pt>
                <c:pt idx="27">
                  <c:v>-1.26</c:v>
                </c:pt>
                <c:pt idx="28">
                  <c:v>-1.29</c:v>
                </c:pt>
                <c:pt idx="29">
                  <c:v>-1.31</c:v>
                </c:pt>
                <c:pt idx="30">
                  <c:v>-1.34</c:v>
                </c:pt>
                <c:pt idx="31">
                  <c:v>-1.36</c:v>
                </c:pt>
                <c:pt idx="32">
                  <c:v>-1.39</c:v>
                </c:pt>
                <c:pt idx="33">
                  <c:v>-1.41</c:v>
                </c:pt>
                <c:pt idx="34">
                  <c:v>-1.44</c:v>
                </c:pt>
                <c:pt idx="35">
                  <c:v>-1.46</c:v>
                </c:pt>
                <c:pt idx="36">
                  <c:v>-1.49</c:v>
                </c:pt>
                <c:pt idx="37">
                  <c:v>-1.51</c:v>
                </c:pt>
                <c:pt idx="38">
                  <c:v>-1.54</c:v>
                </c:pt>
                <c:pt idx="39">
                  <c:v>-1.56</c:v>
                </c:pt>
                <c:pt idx="40">
                  <c:v>-1.59</c:v>
                </c:pt>
                <c:pt idx="41">
                  <c:v>-1.61</c:v>
                </c:pt>
                <c:pt idx="42">
                  <c:v>-1.64</c:v>
                </c:pt>
                <c:pt idx="43">
                  <c:v>-1.66</c:v>
                </c:pt>
                <c:pt idx="44">
                  <c:v>-1.69</c:v>
                </c:pt>
                <c:pt idx="45">
                  <c:v>-1.71</c:v>
                </c:pt>
                <c:pt idx="46">
                  <c:v>-1.74</c:v>
                </c:pt>
                <c:pt idx="47">
                  <c:v>-1.76</c:v>
                </c:pt>
                <c:pt idx="48">
                  <c:v>-1.79</c:v>
                </c:pt>
                <c:pt idx="49">
                  <c:v>-1.81</c:v>
                </c:pt>
                <c:pt idx="50">
                  <c:v>-1.84</c:v>
                </c:pt>
                <c:pt idx="51">
                  <c:v>-1.86</c:v>
                </c:pt>
                <c:pt idx="52">
                  <c:v>-1.89</c:v>
                </c:pt>
                <c:pt idx="53">
                  <c:v>-1.91</c:v>
                </c:pt>
                <c:pt idx="54">
                  <c:v>-1.94</c:v>
                </c:pt>
                <c:pt idx="55">
                  <c:v>-1.96</c:v>
                </c:pt>
                <c:pt idx="56">
                  <c:v>-1.99</c:v>
                </c:pt>
                <c:pt idx="57">
                  <c:v>-2.0099999999999998</c:v>
                </c:pt>
                <c:pt idx="58">
                  <c:v>-2.04</c:v>
                </c:pt>
                <c:pt idx="59">
                  <c:v>-2.06</c:v>
                </c:pt>
                <c:pt idx="60">
                  <c:v>-2.09</c:v>
                </c:pt>
                <c:pt idx="61">
                  <c:v>-2.11</c:v>
                </c:pt>
                <c:pt idx="62">
                  <c:v>-2.14</c:v>
                </c:pt>
                <c:pt idx="63">
                  <c:v>-2.16</c:v>
                </c:pt>
                <c:pt idx="64">
                  <c:v>-2.19</c:v>
                </c:pt>
                <c:pt idx="65">
                  <c:v>-2.21</c:v>
                </c:pt>
                <c:pt idx="66">
                  <c:v>-2.2400000000000002</c:v>
                </c:pt>
                <c:pt idx="67">
                  <c:v>-2.2599999999999998</c:v>
                </c:pt>
                <c:pt idx="68">
                  <c:v>-2.29</c:v>
                </c:pt>
                <c:pt idx="69">
                  <c:v>-2.31</c:v>
                </c:pt>
                <c:pt idx="70">
                  <c:v>-2.34</c:v>
                </c:pt>
                <c:pt idx="71">
                  <c:v>-2.37</c:v>
                </c:pt>
                <c:pt idx="72">
                  <c:v>-2.39</c:v>
                </c:pt>
                <c:pt idx="73">
                  <c:v>-2.42</c:v>
                </c:pt>
                <c:pt idx="74">
                  <c:v>-2.44</c:v>
                </c:pt>
                <c:pt idx="75">
                  <c:v>-2.4700000000000002</c:v>
                </c:pt>
                <c:pt idx="76">
                  <c:v>-2.4900000000000002</c:v>
                </c:pt>
                <c:pt idx="77">
                  <c:v>-2.52</c:v>
                </c:pt>
                <c:pt idx="78">
                  <c:v>-2.54</c:v>
                </c:pt>
                <c:pt idx="79">
                  <c:v>-2.57</c:v>
                </c:pt>
                <c:pt idx="80">
                  <c:v>-2.59</c:v>
                </c:pt>
                <c:pt idx="81">
                  <c:v>-2.62</c:v>
                </c:pt>
                <c:pt idx="82">
                  <c:v>-2.64</c:v>
                </c:pt>
                <c:pt idx="83">
                  <c:v>-2.67</c:v>
                </c:pt>
                <c:pt idx="84">
                  <c:v>-2.69</c:v>
                </c:pt>
                <c:pt idx="85">
                  <c:v>-2.72</c:v>
                </c:pt>
                <c:pt idx="86">
                  <c:v>-2.74</c:v>
                </c:pt>
                <c:pt idx="87">
                  <c:v>-2.77</c:v>
                </c:pt>
                <c:pt idx="88">
                  <c:v>-2.79</c:v>
                </c:pt>
                <c:pt idx="89">
                  <c:v>-2.82</c:v>
                </c:pt>
                <c:pt idx="90">
                  <c:v>-2.84</c:v>
                </c:pt>
                <c:pt idx="91">
                  <c:v>-2.87</c:v>
                </c:pt>
                <c:pt idx="92">
                  <c:v>-2.89</c:v>
                </c:pt>
                <c:pt idx="93">
                  <c:v>-2.92</c:v>
                </c:pt>
                <c:pt idx="94">
                  <c:v>-2.94</c:v>
                </c:pt>
                <c:pt idx="95">
                  <c:v>-2.97</c:v>
                </c:pt>
                <c:pt idx="96">
                  <c:v>-2.99</c:v>
                </c:pt>
                <c:pt idx="97">
                  <c:v>-3.02</c:v>
                </c:pt>
                <c:pt idx="98">
                  <c:v>-3.04</c:v>
                </c:pt>
                <c:pt idx="99">
                  <c:v>-3.07</c:v>
                </c:pt>
                <c:pt idx="100">
                  <c:v>-3.09</c:v>
                </c:pt>
                <c:pt idx="101">
                  <c:v>-3.12</c:v>
                </c:pt>
                <c:pt idx="102">
                  <c:v>-3.14</c:v>
                </c:pt>
                <c:pt idx="103">
                  <c:v>-3.17</c:v>
                </c:pt>
                <c:pt idx="104">
                  <c:v>-3.19</c:v>
                </c:pt>
                <c:pt idx="105">
                  <c:v>-3.22</c:v>
                </c:pt>
                <c:pt idx="106">
                  <c:v>-3.24</c:v>
                </c:pt>
                <c:pt idx="107">
                  <c:v>-3.27</c:v>
                </c:pt>
                <c:pt idx="108">
                  <c:v>-3.29</c:v>
                </c:pt>
                <c:pt idx="109">
                  <c:v>-3.32</c:v>
                </c:pt>
                <c:pt idx="110">
                  <c:v>-3.34</c:v>
                </c:pt>
                <c:pt idx="111">
                  <c:v>-3.37</c:v>
                </c:pt>
                <c:pt idx="112">
                  <c:v>-3.39</c:v>
                </c:pt>
                <c:pt idx="113">
                  <c:v>-3.42</c:v>
                </c:pt>
                <c:pt idx="114">
                  <c:v>-3.44</c:v>
                </c:pt>
                <c:pt idx="115">
                  <c:v>-3.47</c:v>
                </c:pt>
                <c:pt idx="116">
                  <c:v>-3.49</c:v>
                </c:pt>
                <c:pt idx="117">
                  <c:v>-3.52</c:v>
                </c:pt>
                <c:pt idx="118">
                  <c:v>-3.54</c:v>
                </c:pt>
                <c:pt idx="119">
                  <c:v>-3.57</c:v>
                </c:pt>
                <c:pt idx="120">
                  <c:v>-3.59</c:v>
                </c:pt>
                <c:pt idx="121">
                  <c:v>-3.62</c:v>
                </c:pt>
                <c:pt idx="122">
                  <c:v>-3.64</c:v>
                </c:pt>
                <c:pt idx="123">
                  <c:v>-3.67</c:v>
                </c:pt>
                <c:pt idx="124">
                  <c:v>-3.69</c:v>
                </c:pt>
                <c:pt idx="125">
                  <c:v>-3.72</c:v>
                </c:pt>
                <c:pt idx="126">
                  <c:v>-3.74</c:v>
                </c:pt>
                <c:pt idx="127">
                  <c:v>-3.77</c:v>
                </c:pt>
                <c:pt idx="128">
                  <c:v>-3.79</c:v>
                </c:pt>
                <c:pt idx="129">
                  <c:v>-3.82</c:v>
                </c:pt>
                <c:pt idx="130">
                  <c:v>-3.84</c:v>
                </c:pt>
                <c:pt idx="131">
                  <c:v>-3.87</c:v>
                </c:pt>
                <c:pt idx="132">
                  <c:v>-3.89</c:v>
                </c:pt>
                <c:pt idx="133">
                  <c:v>-3.92</c:v>
                </c:pt>
                <c:pt idx="134">
                  <c:v>-3.94</c:v>
                </c:pt>
                <c:pt idx="135">
                  <c:v>-3.97</c:v>
                </c:pt>
                <c:pt idx="136">
                  <c:v>-3.99</c:v>
                </c:pt>
                <c:pt idx="137">
                  <c:v>-4.0199999999999996</c:v>
                </c:pt>
                <c:pt idx="138">
                  <c:v>-4.04</c:v>
                </c:pt>
                <c:pt idx="139">
                  <c:v>-4.07</c:v>
                </c:pt>
                <c:pt idx="140">
                  <c:v>-4.09</c:v>
                </c:pt>
                <c:pt idx="141">
                  <c:v>-4.12</c:v>
                </c:pt>
                <c:pt idx="142">
                  <c:v>-4.1399999999999997</c:v>
                </c:pt>
                <c:pt idx="143">
                  <c:v>-4.17</c:v>
                </c:pt>
                <c:pt idx="144">
                  <c:v>-4.1900000000000004</c:v>
                </c:pt>
                <c:pt idx="145">
                  <c:v>-4.22</c:v>
                </c:pt>
                <c:pt idx="146">
                  <c:v>-4.24</c:v>
                </c:pt>
                <c:pt idx="147">
                  <c:v>-4.2699999999999996</c:v>
                </c:pt>
                <c:pt idx="148">
                  <c:v>-4.29</c:v>
                </c:pt>
                <c:pt idx="149">
                  <c:v>-4.32</c:v>
                </c:pt>
                <c:pt idx="150">
                  <c:v>-4.34</c:v>
                </c:pt>
                <c:pt idx="151">
                  <c:v>-4.37</c:v>
                </c:pt>
                <c:pt idx="152">
                  <c:v>-4.3899999999999997</c:v>
                </c:pt>
                <c:pt idx="153">
                  <c:v>-4.42</c:v>
                </c:pt>
                <c:pt idx="154">
                  <c:v>-4.4400000000000004</c:v>
                </c:pt>
                <c:pt idx="155">
                  <c:v>-4.47</c:v>
                </c:pt>
                <c:pt idx="156">
                  <c:v>-4.49</c:v>
                </c:pt>
                <c:pt idx="157">
                  <c:v>-4.5199999999999996</c:v>
                </c:pt>
                <c:pt idx="158">
                  <c:v>-4.54</c:v>
                </c:pt>
                <c:pt idx="159">
                  <c:v>-4.57</c:v>
                </c:pt>
                <c:pt idx="160">
                  <c:v>-4.59</c:v>
                </c:pt>
                <c:pt idx="161">
                  <c:v>-4.62</c:v>
                </c:pt>
                <c:pt idx="162">
                  <c:v>-4.6399999999999997</c:v>
                </c:pt>
                <c:pt idx="163">
                  <c:v>-4.67</c:v>
                </c:pt>
                <c:pt idx="164">
                  <c:v>-4.6900000000000004</c:v>
                </c:pt>
                <c:pt idx="165">
                  <c:v>-4.72</c:v>
                </c:pt>
                <c:pt idx="166">
                  <c:v>-4.74</c:v>
                </c:pt>
                <c:pt idx="167">
                  <c:v>-4.7699999999999996</c:v>
                </c:pt>
                <c:pt idx="168">
                  <c:v>-4.79</c:v>
                </c:pt>
                <c:pt idx="169">
                  <c:v>-4.82</c:v>
                </c:pt>
                <c:pt idx="170">
                  <c:v>-4.84</c:v>
                </c:pt>
                <c:pt idx="171">
                  <c:v>-4.87</c:v>
                </c:pt>
                <c:pt idx="172">
                  <c:v>-4.8899999999999997</c:v>
                </c:pt>
                <c:pt idx="173">
                  <c:v>-4.92</c:v>
                </c:pt>
                <c:pt idx="174">
                  <c:v>-4.9400000000000004</c:v>
                </c:pt>
                <c:pt idx="175">
                  <c:v>-4.97</c:v>
                </c:pt>
                <c:pt idx="176">
                  <c:v>-4.99</c:v>
                </c:pt>
                <c:pt idx="177">
                  <c:v>-5.0199999999999996</c:v>
                </c:pt>
                <c:pt idx="178">
                  <c:v>-5.04</c:v>
                </c:pt>
                <c:pt idx="179">
                  <c:v>-5.07</c:v>
                </c:pt>
                <c:pt idx="180">
                  <c:v>-5.09</c:v>
                </c:pt>
                <c:pt idx="181">
                  <c:v>-5.12</c:v>
                </c:pt>
                <c:pt idx="182">
                  <c:v>-5.14</c:v>
                </c:pt>
                <c:pt idx="183">
                  <c:v>-5.17</c:v>
                </c:pt>
                <c:pt idx="184">
                  <c:v>-5.19</c:v>
                </c:pt>
                <c:pt idx="185">
                  <c:v>-5.22</c:v>
                </c:pt>
                <c:pt idx="186">
                  <c:v>-5.24</c:v>
                </c:pt>
                <c:pt idx="187">
                  <c:v>-5.27</c:v>
                </c:pt>
                <c:pt idx="188">
                  <c:v>-5.29</c:v>
                </c:pt>
                <c:pt idx="189">
                  <c:v>-5.32</c:v>
                </c:pt>
                <c:pt idx="190">
                  <c:v>-5.34</c:v>
                </c:pt>
                <c:pt idx="191">
                  <c:v>-5.37</c:v>
                </c:pt>
                <c:pt idx="192">
                  <c:v>-5.39</c:v>
                </c:pt>
                <c:pt idx="193">
                  <c:v>-5.42</c:v>
                </c:pt>
                <c:pt idx="194">
                  <c:v>-5.44</c:v>
                </c:pt>
                <c:pt idx="195">
                  <c:v>-5.47</c:v>
                </c:pt>
                <c:pt idx="196">
                  <c:v>-5.49</c:v>
                </c:pt>
                <c:pt idx="197">
                  <c:v>-5.52</c:v>
                </c:pt>
                <c:pt idx="198">
                  <c:v>-5.54</c:v>
                </c:pt>
                <c:pt idx="199">
                  <c:v>-5.57</c:v>
                </c:pt>
                <c:pt idx="200">
                  <c:v>-5.59</c:v>
                </c:pt>
                <c:pt idx="201">
                  <c:v>-5.62</c:v>
                </c:pt>
                <c:pt idx="202">
                  <c:v>-5.64</c:v>
                </c:pt>
                <c:pt idx="203">
                  <c:v>-5.67</c:v>
                </c:pt>
                <c:pt idx="204">
                  <c:v>-5.69</c:v>
                </c:pt>
                <c:pt idx="205">
                  <c:v>-5.72</c:v>
                </c:pt>
                <c:pt idx="206">
                  <c:v>-5.74</c:v>
                </c:pt>
                <c:pt idx="207">
                  <c:v>-5.77</c:v>
                </c:pt>
                <c:pt idx="208">
                  <c:v>-5.79</c:v>
                </c:pt>
                <c:pt idx="209">
                  <c:v>-5.82</c:v>
                </c:pt>
                <c:pt idx="210">
                  <c:v>-5.84</c:v>
                </c:pt>
                <c:pt idx="211">
                  <c:v>-5.87</c:v>
                </c:pt>
                <c:pt idx="212">
                  <c:v>-5.89</c:v>
                </c:pt>
                <c:pt idx="213">
                  <c:v>-5.92</c:v>
                </c:pt>
                <c:pt idx="214">
                  <c:v>-5.94</c:v>
                </c:pt>
                <c:pt idx="215">
                  <c:v>-5.97</c:v>
                </c:pt>
                <c:pt idx="216">
                  <c:v>-5.99</c:v>
                </c:pt>
                <c:pt idx="217">
                  <c:v>-6.02</c:v>
                </c:pt>
                <c:pt idx="218">
                  <c:v>-6.04</c:v>
                </c:pt>
                <c:pt idx="219">
                  <c:v>-6.07</c:v>
                </c:pt>
                <c:pt idx="220">
                  <c:v>-6.09</c:v>
                </c:pt>
                <c:pt idx="221">
                  <c:v>-6.12</c:v>
                </c:pt>
                <c:pt idx="222">
                  <c:v>-6.14</c:v>
                </c:pt>
                <c:pt idx="223">
                  <c:v>-6.17</c:v>
                </c:pt>
                <c:pt idx="224">
                  <c:v>-6.19</c:v>
                </c:pt>
                <c:pt idx="225">
                  <c:v>-6.22</c:v>
                </c:pt>
                <c:pt idx="226">
                  <c:v>-6.24</c:v>
                </c:pt>
                <c:pt idx="227">
                  <c:v>-6.27</c:v>
                </c:pt>
                <c:pt idx="228">
                  <c:v>-6.29</c:v>
                </c:pt>
                <c:pt idx="229">
                  <c:v>-6.32</c:v>
                </c:pt>
                <c:pt idx="230">
                  <c:v>-6.34</c:v>
                </c:pt>
                <c:pt idx="231">
                  <c:v>-6.37</c:v>
                </c:pt>
                <c:pt idx="232">
                  <c:v>-6.39</c:v>
                </c:pt>
                <c:pt idx="233">
                  <c:v>-6.42</c:v>
                </c:pt>
                <c:pt idx="234">
                  <c:v>-6.44</c:v>
                </c:pt>
                <c:pt idx="235">
                  <c:v>-6.47</c:v>
                </c:pt>
                <c:pt idx="236">
                  <c:v>-6.49</c:v>
                </c:pt>
                <c:pt idx="237">
                  <c:v>-6.52</c:v>
                </c:pt>
                <c:pt idx="238">
                  <c:v>-6.54</c:v>
                </c:pt>
                <c:pt idx="239">
                  <c:v>-6.57</c:v>
                </c:pt>
                <c:pt idx="240">
                  <c:v>-6.59</c:v>
                </c:pt>
                <c:pt idx="241">
                  <c:v>-6.62</c:v>
                </c:pt>
                <c:pt idx="242">
                  <c:v>-6.64</c:v>
                </c:pt>
                <c:pt idx="243">
                  <c:v>-6.67</c:v>
                </c:pt>
                <c:pt idx="244">
                  <c:v>-6.69</c:v>
                </c:pt>
                <c:pt idx="245">
                  <c:v>-6.72</c:v>
                </c:pt>
                <c:pt idx="246">
                  <c:v>-6.74</c:v>
                </c:pt>
                <c:pt idx="247">
                  <c:v>-6.77</c:v>
                </c:pt>
                <c:pt idx="248">
                  <c:v>-6.79</c:v>
                </c:pt>
                <c:pt idx="249">
                  <c:v>-6.82</c:v>
                </c:pt>
                <c:pt idx="250">
                  <c:v>-6.84</c:v>
                </c:pt>
                <c:pt idx="251">
                  <c:v>-6.87</c:v>
                </c:pt>
                <c:pt idx="252">
                  <c:v>-6.89</c:v>
                </c:pt>
                <c:pt idx="253">
                  <c:v>-6.92</c:v>
                </c:pt>
                <c:pt idx="254">
                  <c:v>-6.94</c:v>
                </c:pt>
                <c:pt idx="255">
                  <c:v>-6.97</c:v>
                </c:pt>
                <c:pt idx="256">
                  <c:v>-6.99</c:v>
                </c:pt>
                <c:pt idx="257">
                  <c:v>-7.02</c:v>
                </c:pt>
                <c:pt idx="258">
                  <c:v>-7.04</c:v>
                </c:pt>
                <c:pt idx="259">
                  <c:v>-7.07</c:v>
                </c:pt>
                <c:pt idx="260">
                  <c:v>-7.09</c:v>
                </c:pt>
                <c:pt idx="261">
                  <c:v>-7.12</c:v>
                </c:pt>
                <c:pt idx="262">
                  <c:v>-7.14</c:v>
                </c:pt>
                <c:pt idx="263">
                  <c:v>-7.17</c:v>
                </c:pt>
                <c:pt idx="264">
                  <c:v>-7.19</c:v>
                </c:pt>
                <c:pt idx="265">
                  <c:v>-7.22</c:v>
                </c:pt>
                <c:pt idx="266">
                  <c:v>-7.24</c:v>
                </c:pt>
                <c:pt idx="267">
                  <c:v>-7.27</c:v>
                </c:pt>
                <c:pt idx="268">
                  <c:v>-7.29</c:v>
                </c:pt>
                <c:pt idx="269">
                  <c:v>-7.32</c:v>
                </c:pt>
                <c:pt idx="270">
                  <c:v>-7.34</c:v>
                </c:pt>
                <c:pt idx="271">
                  <c:v>-7.37</c:v>
                </c:pt>
                <c:pt idx="272">
                  <c:v>-7.39</c:v>
                </c:pt>
                <c:pt idx="273">
                  <c:v>-7.42</c:v>
                </c:pt>
                <c:pt idx="274">
                  <c:v>-7.44</c:v>
                </c:pt>
                <c:pt idx="275">
                  <c:v>-7.47</c:v>
                </c:pt>
                <c:pt idx="276">
                  <c:v>-7.49</c:v>
                </c:pt>
                <c:pt idx="277">
                  <c:v>-7.52</c:v>
                </c:pt>
                <c:pt idx="278">
                  <c:v>-7.54</c:v>
                </c:pt>
                <c:pt idx="279">
                  <c:v>-7.57</c:v>
                </c:pt>
                <c:pt idx="280">
                  <c:v>-7.59</c:v>
                </c:pt>
                <c:pt idx="281">
                  <c:v>-7.62</c:v>
                </c:pt>
                <c:pt idx="282">
                  <c:v>-7.64</c:v>
                </c:pt>
                <c:pt idx="283">
                  <c:v>-7.67</c:v>
                </c:pt>
                <c:pt idx="284">
                  <c:v>-7.69</c:v>
                </c:pt>
                <c:pt idx="285">
                  <c:v>-7.72</c:v>
                </c:pt>
                <c:pt idx="286">
                  <c:v>-7.74</c:v>
                </c:pt>
                <c:pt idx="287">
                  <c:v>-7.77</c:v>
                </c:pt>
                <c:pt idx="288">
                  <c:v>-7.79</c:v>
                </c:pt>
                <c:pt idx="289">
                  <c:v>-7.82</c:v>
                </c:pt>
                <c:pt idx="290">
                  <c:v>-7.84</c:v>
                </c:pt>
                <c:pt idx="291">
                  <c:v>-7.87</c:v>
                </c:pt>
                <c:pt idx="292">
                  <c:v>-7.89</c:v>
                </c:pt>
                <c:pt idx="293">
                  <c:v>-7.92</c:v>
                </c:pt>
                <c:pt idx="294">
                  <c:v>-7.94</c:v>
                </c:pt>
                <c:pt idx="295">
                  <c:v>-7.97</c:v>
                </c:pt>
                <c:pt idx="296">
                  <c:v>-7.99</c:v>
                </c:pt>
                <c:pt idx="297">
                  <c:v>-8.02</c:v>
                </c:pt>
                <c:pt idx="298">
                  <c:v>-8.0399999999999991</c:v>
                </c:pt>
                <c:pt idx="299">
                  <c:v>-8.07</c:v>
                </c:pt>
                <c:pt idx="300">
                  <c:v>-8.09</c:v>
                </c:pt>
                <c:pt idx="301">
                  <c:v>-8.1199999999999992</c:v>
                </c:pt>
                <c:pt idx="302">
                  <c:v>-8.14</c:v>
                </c:pt>
                <c:pt idx="303">
                  <c:v>-8.17</c:v>
                </c:pt>
                <c:pt idx="304">
                  <c:v>-8.19</c:v>
                </c:pt>
                <c:pt idx="305">
                  <c:v>-8.2200000000000006</c:v>
                </c:pt>
                <c:pt idx="306">
                  <c:v>-8.24</c:v>
                </c:pt>
                <c:pt idx="307">
                  <c:v>-8.27</c:v>
                </c:pt>
                <c:pt idx="308">
                  <c:v>-8.2899999999999991</c:v>
                </c:pt>
                <c:pt idx="309">
                  <c:v>-8.32</c:v>
                </c:pt>
                <c:pt idx="310">
                  <c:v>-8.34</c:v>
                </c:pt>
                <c:pt idx="311">
                  <c:v>-8.3699999999999992</c:v>
                </c:pt>
                <c:pt idx="312">
                  <c:v>-8.39</c:v>
                </c:pt>
                <c:pt idx="313">
                  <c:v>-8.42</c:v>
                </c:pt>
                <c:pt idx="314">
                  <c:v>-8.44</c:v>
                </c:pt>
                <c:pt idx="315">
                  <c:v>-8.4700000000000006</c:v>
                </c:pt>
                <c:pt idx="316">
                  <c:v>-8.49</c:v>
                </c:pt>
                <c:pt idx="317">
                  <c:v>-8.52</c:v>
                </c:pt>
                <c:pt idx="318">
                  <c:v>-8.5399999999999991</c:v>
                </c:pt>
                <c:pt idx="319">
                  <c:v>-8.57</c:v>
                </c:pt>
                <c:pt idx="320">
                  <c:v>-8.59</c:v>
                </c:pt>
                <c:pt idx="321">
                  <c:v>-8.6199999999999992</c:v>
                </c:pt>
                <c:pt idx="322">
                  <c:v>-8.64</c:v>
                </c:pt>
                <c:pt idx="323">
                  <c:v>-8.67</c:v>
                </c:pt>
                <c:pt idx="324">
                  <c:v>-8.69</c:v>
                </c:pt>
                <c:pt idx="325">
                  <c:v>-8.7200000000000006</c:v>
                </c:pt>
                <c:pt idx="326">
                  <c:v>-8.74</c:v>
                </c:pt>
                <c:pt idx="327">
                  <c:v>-8.77</c:v>
                </c:pt>
                <c:pt idx="328">
                  <c:v>-8.7899999999999991</c:v>
                </c:pt>
                <c:pt idx="329">
                  <c:v>-8.82</c:v>
                </c:pt>
                <c:pt idx="330">
                  <c:v>-8.84</c:v>
                </c:pt>
                <c:pt idx="331">
                  <c:v>-8.8699999999999992</c:v>
                </c:pt>
                <c:pt idx="332">
                  <c:v>-8.89</c:v>
                </c:pt>
                <c:pt idx="333">
                  <c:v>-8.92</c:v>
                </c:pt>
                <c:pt idx="334">
                  <c:v>-8.94</c:v>
                </c:pt>
                <c:pt idx="335">
                  <c:v>-8.9700000000000006</c:v>
                </c:pt>
                <c:pt idx="336">
                  <c:v>-8.99</c:v>
                </c:pt>
                <c:pt idx="337">
                  <c:v>-9.02</c:v>
                </c:pt>
                <c:pt idx="338">
                  <c:v>-9.0399999999999991</c:v>
                </c:pt>
                <c:pt idx="339">
                  <c:v>-9.07</c:v>
                </c:pt>
                <c:pt idx="340">
                  <c:v>-9.09</c:v>
                </c:pt>
                <c:pt idx="341">
                  <c:v>-9.1199999999999992</c:v>
                </c:pt>
                <c:pt idx="342">
                  <c:v>-9.14</c:v>
                </c:pt>
                <c:pt idx="343">
                  <c:v>-9.17</c:v>
                </c:pt>
                <c:pt idx="344">
                  <c:v>-9.19</c:v>
                </c:pt>
                <c:pt idx="345">
                  <c:v>-9.2200000000000006</c:v>
                </c:pt>
                <c:pt idx="346">
                  <c:v>-9.24</c:v>
                </c:pt>
                <c:pt idx="347">
                  <c:v>-9.27</c:v>
                </c:pt>
                <c:pt idx="348">
                  <c:v>-9.2899999999999991</c:v>
                </c:pt>
                <c:pt idx="349">
                  <c:v>-9.32</c:v>
                </c:pt>
                <c:pt idx="350">
                  <c:v>-9.34</c:v>
                </c:pt>
                <c:pt idx="351">
                  <c:v>-9.3699999999999992</c:v>
                </c:pt>
                <c:pt idx="352">
                  <c:v>-9.39</c:v>
                </c:pt>
                <c:pt idx="353">
                  <c:v>-9.41</c:v>
                </c:pt>
                <c:pt idx="354">
                  <c:v>-9.44</c:v>
                </c:pt>
                <c:pt idx="355">
                  <c:v>-9.4600000000000009</c:v>
                </c:pt>
                <c:pt idx="356">
                  <c:v>-9.49</c:v>
                </c:pt>
                <c:pt idx="357">
                  <c:v>-9.51</c:v>
                </c:pt>
                <c:pt idx="358">
                  <c:v>-9.5399999999999991</c:v>
                </c:pt>
                <c:pt idx="359">
                  <c:v>-9.56</c:v>
                </c:pt>
                <c:pt idx="360">
                  <c:v>-9.59</c:v>
                </c:pt>
                <c:pt idx="361">
                  <c:v>-9.61</c:v>
                </c:pt>
                <c:pt idx="362">
                  <c:v>-9.64</c:v>
                </c:pt>
                <c:pt idx="363">
                  <c:v>-9.66</c:v>
                </c:pt>
                <c:pt idx="364">
                  <c:v>-9.69</c:v>
                </c:pt>
                <c:pt idx="365">
                  <c:v>-9.7100000000000009</c:v>
                </c:pt>
                <c:pt idx="366">
                  <c:v>-9.74</c:v>
                </c:pt>
                <c:pt idx="367">
                  <c:v>-9.76</c:v>
                </c:pt>
                <c:pt idx="368">
                  <c:v>-9.7899999999999991</c:v>
                </c:pt>
                <c:pt idx="369">
                  <c:v>-9.81</c:v>
                </c:pt>
                <c:pt idx="370">
                  <c:v>-9.84</c:v>
                </c:pt>
                <c:pt idx="371">
                  <c:v>-9.86</c:v>
                </c:pt>
                <c:pt idx="372">
                  <c:v>-9.89</c:v>
                </c:pt>
                <c:pt idx="373">
                  <c:v>-9.91</c:v>
                </c:pt>
                <c:pt idx="374">
                  <c:v>-9.94</c:v>
                </c:pt>
                <c:pt idx="375">
                  <c:v>-9.9600000000000009</c:v>
                </c:pt>
                <c:pt idx="376">
                  <c:v>-9.99</c:v>
                </c:pt>
                <c:pt idx="377">
                  <c:v>-10.01</c:v>
                </c:pt>
                <c:pt idx="378">
                  <c:v>-10.039999999999999</c:v>
                </c:pt>
                <c:pt idx="379">
                  <c:v>-10.06</c:v>
                </c:pt>
                <c:pt idx="380">
                  <c:v>-10.09</c:v>
                </c:pt>
                <c:pt idx="381">
                  <c:v>-10.11</c:v>
                </c:pt>
                <c:pt idx="382">
                  <c:v>-10.14</c:v>
                </c:pt>
                <c:pt idx="383">
                  <c:v>-10.16</c:v>
                </c:pt>
                <c:pt idx="384">
                  <c:v>-10.19</c:v>
                </c:pt>
                <c:pt idx="385">
                  <c:v>-10.210000000000001</c:v>
                </c:pt>
                <c:pt idx="386">
                  <c:v>-10.24</c:v>
                </c:pt>
                <c:pt idx="387">
                  <c:v>-10.26</c:v>
                </c:pt>
                <c:pt idx="388">
                  <c:v>-10.29</c:v>
                </c:pt>
                <c:pt idx="389">
                  <c:v>-10.31</c:v>
                </c:pt>
                <c:pt idx="390">
                  <c:v>-10.34</c:v>
                </c:pt>
                <c:pt idx="391">
                  <c:v>-10.36</c:v>
                </c:pt>
                <c:pt idx="392">
                  <c:v>-10.39</c:v>
                </c:pt>
                <c:pt idx="393">
                  <c:v>-10.41</c:v>
                </c:pt>
                <c:pt idx="394">
                  <c:v>-10.44</c:v>
                </c:pt>
                <c:pt idx="395">
                  <c:v>-10.46</c:v>
                </c:pt>
                <c:pt idx="396">
                  <c:v>-10.49</c:v>
                </c:pt>
                <c:pt idx="397">
                  <c:v>-10.51</c:v>
                </c:pt>
                <c:pt idx="398">
                  <c:v>-10.54</c:v>
                </c:pt>
                <c:pt idx="399">
                  <c:v>-10.56</c:v>
                </c:pt>
                <c:pt idx="400">
                  <c:v>-10.59</c:v>
                </c:pt>
                <c:pt idx="401">
                  <c:v>-10.61</c:v>
                </c:pt>
                <c:pt idx="402">
                  <c:v>-10.64</c:v>
                </c:pt>
                <c:pt idx="403">
                  <c:v>-10.66</c:v>
                </c:pt>
                <c:pt idx="404">
                  <c:v>-10.69</c:v>
                </c:pt>
                <c:pt idx="405">
                  <c:v>-10.71</c:v>
                </c:pt>
                <c:pt idx="406">
                  <c:v>-10.74</c:v>
                </c:pt>
                <c:pt idx="407">
                  <c:v>-10.76</c:v>
                </c:pt>
                <c:pt idx="408">
                  <c:v>-10.79</c:v>
                </c:pt>
                <c:pt idx="409">
                  <c:v>-10.81</c:v>
                </c:pt>
                <c:pt idx="410">
                  <c:v>-10.84</c:v>
                </c:pt>
                <c:pt idx="411">
                  <c:v>-10.86</c:v>
                </c:pt>
                <c:pt idx="412">
                  <c:v>-10.89</c:v>
                </c:pt>
                <c:pt idx="413">
                  <c:v>-10.91</c:v>
                </c:pt>
                <c:pt idx="414">
                  <c:v>-10.94</c:v>
                </c:pt>
                <c:pt idx="415">
                  <c:v>-10.96</c:v>
                </c:pt>
                <c:pt idx="416">
                  <c:v>-10.99</c:v>
                </c:pt>
                <c:pt idx="417">
                  <c:v>-11.01</c:v>
                </c:pt>
                <c:pt idx="418">
                  <c:v>-11.04</c:v>
                </c:pt>
                <c:pt idx="419">
                  <c:v>-11.06</c:v>
                </c:pt>
                <c:pt idx="420">
                  <c:v>-11.09</c:v>
                </c:pt>
                <c:pt idx="421">
                  <c:v>-11.11</c:v>
                </c:pt>
                <c:pt idx="422">
                  <c:v>-11.14</c:v>
                </c:pt>
                <c:pt idx="423">
                  <c:v>-11.16</c:v>
                </c:pt>
                <c:pt idx="424">
                  <c:v>-11.19</c:v>
                </c:pt>
                <c:pt idx="425">
                  <c:v>-11.21</c:v>
                </c:pt>
                <c:pt idx="426">
                  <c:v>-11.24</c:v>
                </c:pt>
                <c:pt idx="427">
                  <c:v>-11.26</c:v>
                </c:pt>
                <c:pt idx="428">
                  <c:v>-11.29</c:v>
                </c:pt>
                <c:pt idx="429">
                  <c:v>-11.31</c:v>
                </c:pt>
                <c:pt idx="430">
                  <c:v>-11.34</c:v>
                </c:pt>
                <c:pt idx="431">
                  <c:v>-11.36</c:v>
                </c:pt>
                <c:pt idx="432">
                  <c:v>-11.39</c:v>
                </c:pt>
                <c:pt idx="433">
                  <c:v>-11.41</c:v>
                </c:pt>
                <c:pt idx="434">
                  <c:v>-11.44</c:v>
                </c:pt>
                <c:pt idx="435">
                  <c:v>-11.46</c:v>
                </c:pt>
                <c:pt idx="436">
                  <c:v>-11.49</c:v>
                </c:pt>
                <c:pt idx="437">
                  <c:v>-11.51</c:v>
                </c:pt>
                <c:pt idx="438">
                  <c:v>-11.54</c:v>
                </c:pt>
                <c:pt idx="439">
                  <c:v>-11.56</c:v>
                </c:pt>
                <c:pt idx="440">
                  <c:v>-11.59</c:v>
                </c:pt>
                <c:pt idx="441">
                  <c:v>-11.61</c:v>
                </c:pt>
                <c:pt idx="442">
                  <c:v>-11.64</c:v>
                </c:pt>
                <c:pt idx="443">
                  <c:v>-11.66</c:v>
                </c:pt>
                <c:pt idx="444">
                  <c:v>-11.69</c:v>
                </c:pt>
                <c:pt idx="445">
                  <c:v>-11.71</c:v>
                </c:pt>
                <c:pt idx="446">
                  <c:v>-11.74</c:v>
                </c:pt>
                <c:pt idx="447">
                  <c:v>-11.76</c:v>
                </c:pt>
                <c:pt idx="448">
                  <c:v>-11.79</c:v>
                </c:pt>
                <c:pt idx="449">
                  <c:v>-11.81</c:v>
                </c:pt>
                <c:pt idx="450">
                  <c:v>-11.84</c:v>
                </c:pt>
                <c:pt idx="451">
                  <c:v>-11.86</c:v>
                </c:pt>
                <c:pt idx="452">
                  <c:v>-11.89</c:v>
                </c:pt>
                <c:pt idx="453">
                  <c:v>-11.91</c:v>
                </c:pt>
                <c:pt idx="454">
                  <c:v>-11.94</c:v>
                </c:pt>
                <c:pt idx="455">
                  <c:v>-11.96</c:v>
                </c:pt>
                <c:pt idx="456">
                  <c:v>-11.99</c:v>
                </c:pt>
                <c:pt idx="457">
                  <c:v>-12.01</c:v>
                </c:pt>
                <c:pt idx="458">
                  <c:v>-12.04</c:v>
                </c:pt>
                <c:pt idx="459">
                  <c:v>-12.06</c:v>
                </c:pt>
                <c:pt idx="460">
                  <c:v>-12.09</c:v>
                </c:pt>
                <c:pt idx="461">
                  <c:v>-12.11</c:v>
                </c:pt>
                <c:pt idx="462">
                  <c:v>-12.14</c:v>
                </c:pt>
                <c:pt idx="463">
                  <c:v>-12.16</c:v>
                </c:pt>
                <c:pt idx="464">
                  <c:v>-12.19</c:v>
                </c:pt>
                <c:pt idx="465">
                  <c:v>-12.21</c:v>
                </c:pt>
                <c:pt idx="466">
                  <c:v>-12.24</c:v>
                </c:pt>
                <c:pt idx="467">
                  <c:v>-12.26</c:v>
                </c:pt>
                <c:pt idx="468">
                  <c:v>-12.29</c:v>
                </c:pt>
                <c:pt idx="469">
                  <c:v>-12.31</c:v>
                </c:pt>
                <c:pt idx="470">
                  <c:v>-12.34</c:v>
                </c:pt>
                <c:pt idx="471">
                  <c:v>-12.36</c:v>
                </c:pt>
                <c:pt idx="472">
                  <c:v>-12.39</c:v>
                </c:pt>
                <c:pt idx="473">
                  <c:v>-12.41</c:v>
                </c:pt>
                <c:pt idx="474">
                  <c:v>-12.44</c:v>
                </c:pt>
                <c:pt idx="475">
                  <c:v>-12.46</c:v>
                </c:pt>
                <c:pt idx="476">
                  <c:v>-12.49</c:v>
                </c:pt>
                <c:pt idx="477">
                  <c:v>-12.51</c:v>
                </c:pt>
                <c:pt idx="478">
                  <c:v>-12.54</c:v>
                </c:pt>
                <c:pt idx="479">
                  <c:v>-12.56</c:v>
                </c:pt>
                <c:pt idx="480">
                  <c:v>-12.59</c:v>
                </c:pt>
                <c:pt idx="481">
                  <c:v>-12.61</c:v>
                </c:pt>
                <c:pt idx="482">
                  <c:v>-12.64</c:v>
                </c:pt>
                <c:pt idx="483">
                  <c:v>-12.66</c:v>
                </c:pt>
                <c:pt idx="484">
                  <c:v>-12.69</c:v>
                </c:pt>
                <c:pt idx="485">
                  <c:v>-12.71</c:v>
                </c:pt>
                <c:pt idx="486">
                  <c:v>-12.74</c:v>
                </c:pt>
                <c:pt idx="487">
                  <c:v>-12.76</c:v>
                </c:pt>
                <c:pt idx="488">
                  <c:v>-12.79</c:v>
                </c:pt>
                <c:pt idx="489">
                  <c:v>-12.81</c:v>
                </c:pt>
                <c:pt idx="490">
                  <c:v>-12.84</c:v>
                </c:pt>
                <c:pt idx="491">
                  <c:v>-12.86</c:v>
                </c:pt>
                <c:pt idx="492">
                  <c:v>-12.89</c:v>
                </c:pt>
                <c:pt idx="493">
                  <c:v>-12.91</c:v>
                </c:pt>
                <c:pt idx="494">
                  <c:v>-12.94</c:v>
                </c:pt>
                <c:pt idx="495">
                  <c:v>-12.96</c:v>
                </c:pt>
                <c:pt idx="496">
                  <c:v>-12.99</c:v>
                </c:pt>
                <c:pt idx="497">
                  <c:v>-13.01</c:v>
                </c:pt>
                <c:pt idx="498">
                  <c:v>-13.04</c:v>
                </c:pt>
                <c:pt idx="499">
                  <c:v>-13.06</c:v>
                </c:pt>
                <c:pt idx="500">
                  <c:v>-13.09</c:v>
                </c:pt>
                <c:pt idx="501">
                  <c:v>-13.11</c:v>
                </c:pt>
                <c:pt idx="502">
                  <c:v>-13.14</c:v>
                </c:pt>
                <c:pt idx="503">
                  <c:v>-13.16</c:v>
                </c:pt>
                <c:pt idx="504">
                  <c:v>-13.19</c:v>
                </c:pt>
                <c:pt idx="505">
                  <c:v>-13.21</c:v>
                </c:pt>
                <c:pt idx="506">
                  <c:v>-13.24</c:v>
                </c:pt>
                <c:pt idx="507">
                  <c:v>-13.26</c:v>
                </c:pt>
                <c:pt idx="508">
                  <c:v>-13.29</c:v>
                </c:pt>
                <c:pt idx="509">
                  <c:v>-13.31</c:v>
                </c:pt>
                <c:pt idx="510">
                  <c:v>-13.34</c:v>
                </c:pt>
                <c:pt idx="511">
                  <c:v>-13.36</c:v>
                </c:pt>
                <c:pt idx="512">
                  <c:v>-13.39</c:v>
                </c:pt>
                <c:pt idx="513">
                  <c:v>-13.41</c:v>
                </c:pt>
                <c:pt idx="514">
                  <c:v>-13.44</c:v>
                </c:pt>
                <c:pt idx="515">
                  <c:v>-13.46</c:v>
                </c:pt>
                <c:pt idx="516">
                  <c:v>-13.49</c:v>
                </c:pt>
                <c:pt idx="517">
                  <c:v>-13.51</c:v>
                </c:pt>
                <c:pt idx="518">
                  <c:v>-13.54</c:v>
                </c:pt>
                <c:pt idx="519">
                  <c:v>-13.56</c:v>
                </c:pt>
                <c:pt idx="520">
                  <c:v>-13.59</c:v>
                </c:pt>
                <c:pt idx="521">
                  <c:v>-13.61</c:v>
                </c:pt>
                <c:pt idx="522">
                  <c:v>-13.64</c:v>
                </c:pt>
                <c:pt idx="523">
                  <c:v>-13.66</c:v>
                </c:pt>
                <c:pt idx="524">
                  <c:v>-13.69</c:v>
                </c:pt>
                <c:pt idx="525">
                  <c:v>-13.71</c:v>
                </c:pt>
                <c:pt idx="526">
                  <c:v>-13.74</c:v>
                </c:pt>
                <c:pt idx="527">
                  <c:v>-13.76</c:v>
                </c:pt>
                <c:pt idx="528">
                  <c:v>-13.79</c:v>
                </c:pt>
                <c:pt idx="529">
                  <c:v>-13.81</c:v>
                </c:pt>
                <c:pt idx="530">
                  <c:v>-13.84</c:v>
                </c:pt>
                <c:pt idx="531">
                  <c:v>-13.86</c:v>
                </c:pt>
                <c:pt idx="532">
                  <c:v>-13.89</c:v>
                </c:pt>
                <c:pt idx="533">
                  <c:v>-13.91</c:v>
                </c:pt>
                <c:pt idx="534">
                  <c:v>-13.94</c:v>
                </c:pt>
                <c:pt idx="535">
                  <c:v>-13.96</c:v>
                </c:pt>
                <c:pt idx="536">
                  <c:v>-13.99</c:v>
                </c:pt>
                <c:pt idx="537">
                  <c:v>-14.01</c:v>
                </c:pt>
                <c:pt idx="538">
                  <c:v>-14.04</c:v>
                </c:pt>
                <c:pt idx="539">
                  <c:v>-14.06</c:v>
                </c:pt>
                <c:pt idx="540">
                  <c:v>-14.09</c:v>
                </c:pt>
                <c:pt idx="541">
                  <c:v>-14.11</c:v>
                </c:pt>
                <c:pt idx="542">
                  <c:v>-14.14</c:v>
                </c:pt>
                <c:pt idx="543">
                  <c:v>-14.16</c:v>
                </c:pt>
                <c:pt idx="544">
                  <c:v>-14.19</c:v>
                </c:pt>
                <c:pt idx="545">
                  <c:v>-14.21</c:v>
                </c:pt>
                <c:pt idx="546">
                  <c:v>-14.24</c:v>
                </c:pt>
                <c:pt idx="547">
                  <c:v>-14.26</c:v>
                </c:pt>
                <c:pt idx="548">
                  <c:v>-14.29</c:v>
                </c:pt>
                <c:pt idx="549">
                  <c:v>-14.31</c:v>
                </c:pt>
                <c:pt idx="550">
                  <c:v>-14.34</c:v>
                </c:pt>
                <c:pt idx="551">
                  <c:v>-14.36</c:v>
                </c:pt>
                <c:pt idx="552">
                  <c:v>-14.39</c:v>
                </c:pt>
                <c:pt idx="553">
                  <c:v>-14.41</c:v>
                </c:pt>
                <c:pt idx="554">
                  <c:v>-14.44</c:v>
                </c:pt>
                <c:pt idx="555">
                  <c:v>-14.46</c:v>
                </c:pt>
                <c:pt idx="556">
                  <c:v>-14.49</c:v>
                </c:pt>
                <c:pt idx="557">
                  <c:v>-14.51</c:v>
                </c:pt>
                <c:pt idx="558">
                  <c:v>-14.54</c:v>
                </c:pt>
                <c:pt idx="559">
                  <c:v>-14.56</c:v>
                </c:pt>
                <c:pt idx="560">
                  <c:v>-14.59</c:v>
                </c:pt>
                <c:pt idx="561">
                  <c:v>-14.61</c:v>
                </c:pt>
                <c:pt idx="562">
                  <c:v>-14.64</c:v>
                </c:pt>
                <c:pt idx="563">
                  <c:v>-14.66</c:v>
                </c:pt>
                <c:pt idx="564">
                  <c:v>-14.69</c:v>
                </c:pt>
                <c:pt idx="565">
                  <c:v>-14.71</c:v>
                </c:pt>
                <c:pt idx="566">
                  <c:v>-14.74</c:v>
                </c:pt>
                <c:pt idx="567">
                  <c:v>-14.76</c:v>
                </c:pt>
                <c:pt idx="568">
                  <c:v>-14.79</c:v>
                </c:pt>
                <c:pt idx="569">
                  <c:v>-14.81</c:v>
                </c:pt>
                <c:pt idx="570">
                  <c:v>-14.84</c:v>
                </c:pt>
                <c:pt idx="571">
                  <c:v>-14.86</c:v>
                </c:pt>
                <c:pt idx="572">
                  <c:v>-14.89</c:v>
                </c:pt>
                <c:pt idx="573">
                  <c:v>-14.91</c:v>
                </c:pt>
                <c:pt idx="574">
                  <c:v>-14.94</c:v>
                </c:pt>
                <c:pt idx="575">
                  <c:v>-14.96</c:v>
                </c:pt>
                <c:pt idx="576">
                  <c:v>-14.99</c:v>
                </c:pt>
                <c:pt idx="577">
                  <c:v>-15.01</c:v>
                </c:pt>
                <c:pt idx="578">
                  <c:v>-15.04</c:v>
                </c:pt>
                <c:pt idx="579">
                  <c:v>-15.06</c:v>
                </c:pt>
                <c:pt idx="580">
                  <c:v>-15.09</c:v>
                </c:pt>
                <c:pt idx="581">
                  <c:v>-15.11</c:v>
                </c:pt>
                <c:pt idx="582">
                  <c:v>-15.14</c:v>
                </c:pt>
                <c:pt idx="583">
                  <c:v>-15.16</c:v>
                </c:pt>
                <c:pt idx="584">
                  <c:v>-15.19</c:v>
                </c:pt>
                <c:pt idx="585">
                  <c:v>-15.21</c:v>
                </c:pt>
                <c:pt idx="586">
                  <c:v>-15.24</c:v>
                </c:pt>
                <c:pt idx="587">
                  <c:v>-15.26</c:v>
                </c:pt>
                <c:pt idx="588">
                  <c:v>-15.29</c:v>
                </c:pt>
                <c:pt idx="589">
                  <c:v>-15.31</c:v>
                </c:pt>
                <c:pt idx="590">
                  <c:v>-15.34</c:v>
                </c:pt>
                <c:pt idx="591">
                  <c:v>-15.36</c:v>
                </c:pt>
                <c:pt idx="592">
                  <c:v>-15.39</c:v>
                </c:pt>
                <c:pt idx="593">
                  <c:v>-15.41</c:v>
                </c:pt>
                <c:pt idx="594">
                  <c:v>-15.44</c:v>
                </c:pt>
                <c:pt idx="595">
                  <c:v>-15.46</c:v>
                </c:pt>
                <c:pt idx="596">
                  <c:v>-15.49</c:v>
                </c:pt>
                <c:pt idx="597">
                  <c:v>-15.51</c:v>
                </c:pt>
                <c:pt idx="598">
                  <c:v>-15.54</c:v>
                </c:pt>
                <c:pt idx="599">
                  <c:v>-15.56</c:v>
                </c:pt>
                <c:pt idx="600">
                  <c:v>-15.59</c:v>
                </c:pt>
                <c:pt idx="601">
                  <c:v>-15.61</c:v>
                </c:pt>
                <c:pt idx="602">
                  <c:v>-15.64</c:v>
                </c:pt>
                <c:pt idx="603">
                  <c:v>-15.66</c:v>
                </c:pt>
                <c:pt idx="604">
                  <c:v>-15.69</c:v>
                </c:pt>
                <c:pt idx="605">
                  <c:v>-15.71</c:v>
                </c:pt>
                <c:pt idx="606">
                  <c:v>-15.74</c:v>
                </c:pt>
                <c:pt idx="607">
                  <c:v>-15.76</c:v>
                </c:pt>
                <c:pt idx="608">
                  <c:v>-15.79</c:v>
                </c:pt>
                <c:pt idx="609">
                  <c:v>-15.81</c:v>
                </c:pt>
                <c:pt idx="610">
                  <c:v>-15.84</c:v>
                </c:pt>
                <c:pt idx="611">
                  <c:v>-15.86</c:v>
                </c:pt>
                <c:pt idx="612">
                  <c:v>-15.89</c:v>
                </c:pt>
                <c:pt idx="613">
                  <c:v>-15.91</c:v>
                </c:pt>
                <c:pt idx="614">
                  <c:v>-15.94</c:v>
                </c:pt>
                <c:pt idx="615">
                  <c:v>-15.96</c:v>
                </c:pt>
                <c:pt idx="616">
                  <c:v>-15.99</c:v>
                </c:pt>
                <c:pt idx="617">
                  <c:v>-16.010000000000002</c:v>
                </c:pt>
                <c:pt idx="618">
                  <c:v>-16.04</c:v>
                </c:pt>
                <c:pt idx="619">
                  <c:v>-16.059999999999999</c:v>
                </c:pt>
                <c:pt idx="620">
                  <c:v>-16.09</c:v>
                </c:pt>
                <c:pt idx="621">
                  <c:v>-16.11</c:v>
                </c:pt>
                <c:pt idx="622">
                  <c:v>-16.14</c:v>
                </c:pt>
                <c:pt idx="623">
                  <c:v>-16.16</c:v>
                </c:pt>
                <c:pt idx="624">
                  <c:v>-16.190000000000001</c:v>
                </c:pt>
                <c:pt idx="625">
                  <c:v>-16.21</c:v>
                </c:pt>
                <c:pt idx="626">
                  <c:v>-16.239999999999998</c:v>
                </c:pt>
                <c:pt idx="627">
                  <c:v>-16.260000000000002</c:v>
                </c:pt>
                <c:pt idx="628">
                  <c:v>-16.29</c:v>
                </c:pt>
                <c:pt idx="629">
                  <c:v>-16.309999999999999</c:v>
                </c:pt>
                <c:pt idx="630">
                  <c:v>-16.34</c:v>
                </c:pt>
                <c:pt idx="631">
                  <c:v>-16.36</c:v>
                </c:pt>
                <c:pt idx="632">
                  <c:v>-16.39</c:v>
                </c:pt>
                <c:pt idx="633">
                  <c:v>-16.41</c:v>
                </c:pt>
                <c:pt idx="634">
                  <c:v>-16.440000000000001</c:v>
                </c:pt>
                <c:pt idx="635">
                  <c:v>-16.46</c:v>
                </c:pt>
                <c:pt idx="636">
                  <c:v>-16.489999999999998</c:v>
                </c:pt>
                <c:pt idx="637">
                  <c:v>-16.510000000000002</c:v>
                </c:pt>
                <c:pt idx="638">
                  <c:v>-16.54</c:v>
                </c:pt>
                <c:pt idx="639">
                  <c:v>-16.559999999999999</c:v>
                </c:pt>
                <c:pt idx="640">
                  <c:v>-16.59</c:v>
                </c:pt>
                <c:pt idx="641">
                  <c:v>-16.61</c:v>
                </c:pt>
                <c:pt idx="642">
                  <c:v>-16.64</c:v>
                </c:pt>
                <c:pt idx="643">
                  <c:v>-16.66</c:v>
                </c:pt>
                <c:pt idx="644">
                  <c:v>-16.690000000000001</c:v>
                </c:pt>
                <c:pt idx="645">
                  <c:v>-16.71</c:v>
                </c:pt>
                <c:pt idx="646">
                  <c:v>-16.739999999999998</c:v>
                </c:pt>
                <c:pt idx="647">
                  <c:v>-16.760000000000002</c:v>
                </c:pt>
                <c:pt idx="648">
                  <c:v>-16.79</c:v>
                </c:pt>
                <c:pt idx="649">
                  <c:v>-16.809999999999999</c:v>
                </c:pt>
                <c:pt idx="650">
                  <c:v>-16.84</c:v>
                </c:pt>
                <c:pt idx="651">
                  <c:v>-16.86</c:v>
                </c:pt>
                <c:pt idx="652">
                  <c:v>-16.89</c:v>
                </c:pt>
                <c:pt idx="653">
                  <c:v>-16.91</c:v>
                </c:pt>
                <c:pt idx="654">
                  <c:v>-16.940000000000001</c:v>
                </c:pt>
                <c:pt idx="655">
                  <c:v>-16.96</c:v>
                </c:pt>
                <c:pt idx="656">
                  <c:v>-16.989999999999998</c:v>
                </c:pt>
                <c:pt idx="657">
                  <c:v>-17.010000000000002</c:v>
                </c:pt>
                <c:pt idx="658">
                  <c:v>-17.04</c:v>
                </c:pt>
                <c:pt idx="659">
                  <c:v>-17.059999999999999</c:v>
                </c:pt>
                <c:pt idx="660">
                  <c:v>-17.09</c:v>
                </c:pt>
                <c:pt idx="661">
                  <c:v>-17.11</c:v>
                </c:pt>
                <c:pt idx="662">
                  <c:v>-17.14</c:v>
                </c:pt>
                <c:pt idx="663">
                  <c:v>-17.16</c:v>
                </c:pt>
                <c:pt idx="664">
                  <c:v>-17.190000000000001</c:v>
                </c:pt>
                <c:pt idx="665">
                  <c:v>-17.21</c:v>
                </c:pt>
                <c:pt idx="666">
                  <c:v>-17.239999999999998</c:v>
                </c:pt>
                <c:pt idx="667">
                  <c:v>-17.260000000000002</c:v>
                </c:pt>
                <c:pt idx="668">
                  <c:v>-17.29</c:v>
                </c:pt>
                <c:pt idx="669">
                  <c:v>-17.309999999999999</c:v>
                </c:pt>
                <c:pt idx="670">
                  <c:v>-17.34</c:v>
                </c:pt>
                <c:pt idx="671">
                  <c:v>-17.36</c:v>
                </c:pt>
                <c:pt idx="672">
                  <c:v>-17.39</c:v>
                </c:pt>
                <c:pt idx="673">
                  <c:v>-17.41</c:v>
                </c:pt>
                <c:pt idx="674">
                  <c:v>-17.440000000000001</c:v>
                </c:pt>
                <c:pt idx="675">
                  <c:v>-17.46</c:v>
                </c:pt>
                <c:pt idx="676">
                  <c:v>-17.489999999999998</c:v>
                </c:pt>
                <c:pt idx="677">
                  <c:v>-17.510000000000002</c:v>
                </c:pt>
                <c:pt idx="678">
                  <c:v>-17.54</c:v>
                </c:pt>
                <c:pt idx="679">
                  <c:v>-17.559999999999999</c:v>
                </c:pt>
                <c:pt idx="680">
                  <c:v>-17.59</c:v>
                </c:pt>
                <c:pt idx="681">
                  <c:v>-17.61</c:v>
                </c:pt>
                <c:pt idx="682">
                  <c:v>-17.64</c:v>
                </c:pt>
                <c:pt idx="683">
                  <c:v>-17.66</c:v>
                </c:pt>
                <c:pt idx="684">
                  <c:v>-17.690000000000001</c:v>
                </c:pt>
                <c:pt idx="685">
                  <c:v>-17.71</c:v>
                </c:pt>
                <c:pt idx="686">
                  <c:v>-17.739999999999998</c:v>
                </c:pt>
                <c:pt idx="687">
                  <c:v>-17.760000000000002</c:v>
                </c:pt>
                <c:pt idx="688">
                  <c:v>-17.79</c:v>
                </c:pt>
                <c:pt idx="689">
                  <c:v>-17.809999999999999</c:v>
                </c:pt>
                <c:pt idx="690">
                  <c:v>-17.84</c:v>
                </c:pt>
                <c:pt idx="691">
                  <c:v>-17.86</c:v>
                </c:pt>
                <c:pt idx="692">
                  <c:v>-17.89</c:v>
                </c:pt>
                <c:pt idx="693">
                  <c:v>-17.91</c:v>
                </c:pt>
                <c:pt idx="694">
                  <c:v>-17.940000000000001</c:v>
                </c:pt>
                <c:pt idx="695">
                  <c:v>-17.96</c:v>
                </c:pt>
                <c:pt idx="696">
                  <c:v>-17.989999999999998</c:v>
                </c:pt>
                <c:pt idx="697">
                  <c:v>-18.010000000000002</c:v>
                </c:pt>
                <c:pt idx="698">
                  <c:v>-18.04</c:v>
                </c:pt>
                <c:pt idx="699">
                  <c:v>-18.059999999999999</c:v>
                </c:pt>
                <c:pt idx="700">
                  <c:v>-18.09</c:v>
                </c:pt>
                <c:pt idx="701">
                  <c:v>-18.11</c:v>
                </c:pt>
                <c:pt idx="702">
                  <c:v>-18.14</c:v>
                </c:pt>
                <c:pt idx="703">
                  <c:v>-18.16</c:v>
                </c:pt>
                <c:pt idx="704">
                  <c:v>-18.190000000000001</c:v>
                </c:pt>
                <c:pt idx="705">
                  <c:v>-18.21</c:v>
                </c:pt>
                <c:pt idx="706">
                  <c:v>-18.239999999999998</c:v>
                </c:pt>
                <c:pt idx="707">
                  <c:v>-18.260000000000002</c:v>
                </c:pt>
                <c:pt idx="708">
                  <c:v>-18.29</c:v>
                </c:pt>
                <c:pt idx="709">
                  <c:v>-18.309999999999999</c:v>
                </c:pt>
                <c:pt idx="710">
                  <c:v>-18.34</c:v>
                </c:pt>
                <c:pt idx="711">
                  <c:v>-18.36</c:v>
                </c:pt>
                <c:pt idx="712">
                  <c:v>-18.39</c:v>
                </c:pt>
                <c:pt idx="713">
                  <c:v>-18.41</c:v>
                </c:pt>
                <c:pt idx="714">
                  <c:v>-18.440000000000001</c:v>
                </c:pt>
                <c:pt idx="715">
                  <c:v>-18.46</c:v>
                </c:pt>
                <c:pt idx="716">
                  <c:v>-18.489999999999998</c:v>
                </c:pt>
                <c:pt idx="717">
                  <c:v>-18.510000000000002</c:v>
                </c:pt>
                <c:pt idx="718">
                  <c:v>-18.54</c:v>
                </c:pt>
                <c:pt idx="719">
                  <c:v>-18.559999999999999</c:v>
                </c:pt>
                <c:pt idx="720">
                  <c:v>-18.59</c:v>
                </c:pt>
                <c:pt idx="721">
                  <c:v>-18.61</c:v>
                </c:pt>
                <c:pt idx="722">
                  <c:v>-18.64</c:v>
                </c:pt>
                <c:pt idx="723">
                  <c:v>-18.66</c:v>
                </c:pt>
                <c:pt idx="724">
                  <c:v>-18.690000000000001</c:v>
                </c:pt>
                <c:pt idx="725">
                  <c:v>-18.71</c:v>
                </c:pt>
                <c:pt idx="726">
                  <c:v>-18.739999999999998</c:v>
                </c:pt>
                <c:pt idx="727">
                  <c:v>-18.760000000000002</c:v>
                </c:pt>
                <c:pt idx="728">
                  <c:v>-18.79</c:v>
                </c:pt>
                <c:pt idx="729">
                  <c:v>-18.809999999999999</c:v>
                </c:pt>
                <c:pt idx="730">
                  <c:v>-18.84</c:v>
                </c:pt>
                <c:pt idx="731">
                  <c:v>-18.86</c:v>
                </c:pt>
                <c:pt idx="732">
                  <c:v>-18.89</c:v>
                </c:pt>
                <c:pt idx="733">
                  <c:v>-18.91</c:v>
                </c:pt>
                <c:pt idx="734">
                  <c:v>-18.940000000000001</c:v>
                </c:pt>
                <c:pt idx="735">
                  <c:v>-18.96</c:v>
                </c:pt>
                <c:pt idx="736">
                  <c:v>-18.989999999999998</c:v>
                </c:pt>
                <c:pt idx="737">
                  <c:v>-19.010000000000002</c:v>
                </c:pt>
                <c:pt idx="738">
                  <c:v>-19.04</c:v>
                </c:pt>
                <c:pt idx="739">
                  <c:v>-19.059999999999999</c:v>
                </c:pt>
                <c:pt idx="740">
                  <c:v>-19.09</c:v>
                </c:pt>
                <c:pt idx="741">
                  <c:v>-19.11</c:v>
                </c:pt>
                <c:pt idx="742">
                  <c:v>-19.14</c:v>
                </c:pt>
                <c:pt idx="743">
                  <c:v>-19.16</c:v>
                </c:pt>
                <c:pt idx="744">
                  <c:v>-19.190000000000001</c:v>
                </c:pt>
                <c:pt idx="745">
                  <c:v>-19.21</c:v>
                </c:pt>
                <c:pt idx="746">
                  <c:v>-19.239999999999998</c:v>
                </c:pt>
                <c:pt idx="747">
                  <c:v>-19.260000000000002</c:v>
                </c:pt>
                <c:pt idx="748">
                  <c:v>-19.29</c:v>
                </c:pt>
                <c:pt idx="749">
                  <c:v>-19.309999999999999</c:v>
                </c:pt>
                <c:pt idx="750">
                  <c:v>-19.34</c:v>
                </c:pt>
                <c:pt idx="751">
                  <c:v>-19.36</c:v>
                </c:pt>
                <c:pt idx="752">
                  <c:v>-19.39</c:v>
                </c:pt>
                <c:pt idx="753">
                  <c:v>-19.41</c:v>
                </c:pt>
                <c:pt idx="754">
                  <c:v>-19.440000000000001</c:v>
                </c:pt>
                <c:pt idx="755">
                  <c:v>-19.46</c:v>
                </c:pt>
                <c:pt idx="756">
                  <c:v>-19.489999999999998</c:v>
                </c:pt>
                <c:pt idx="757">
                  <c:v>-19.510000000000002</c:v>
                </c:pt>
                <c:pt idx="758">
                  <c:v>-19.54</c:v>
                </c:pt>
                <c:pt idx="759">
                  <c:v>-19.559999999999999</c:v>
                </c:pt>
                <c:pt idx="760">
                  <c:v>-19.59</c:v>
                </c:pt>
                <c:pt idx="761">
                  <c:v>-19.61</c:v>
                </c:pt>
                <c:pt idx="762">
                  <c:v>-19.64</c:v>
                </c:pt>
                <c:pt idx="763">
                  <c:v>-19.66</c:v>
                </c:pt>
                <c:pt idx="764">
                  <c:v>-19.690000000000001</c:v>
                </c:pt>
                <c:pt idx="765">
                  <c:v>-19.71</c:v>
                </c:pt>
                <c:pt idx="766">
                  <c:v>-19.739999999999998</c:v>
                </c:pt>
                <c:pt idx="767">
                  <c:v>-19.760000000000002</c:v>
                </c:pt>
                <c:pt idx="768">
                  <c:v>-19.79</c:v>
                </c:pt>
                <c:pt idx="769">
                  <c:v>-19.809999999999999</c:v>
                </c:pt>
                <c:pt idx="770">
                  <c:v>-19.84</c:v>
                </c:pt>
                <c:pt idx="771">
                  <c:v>-19.86</c:v>
                </c:pt>
                <c:pt idx="772">
                  <c:v>-19.89</c:v>
                </c:pt>
                <c:pt idx="773">
                  <c:v>-19.91</c:v>
                </c:pt>
                <c:pt idx="774">
                  <c:v>-19.940000000000001</c:v>
                </c:pt>
                <c:pt idx="775">
                  <c:v>-19.96</c:v>
                </c:pt>
                <c:pt idx="776">
                  <c:v>-19.989999999999998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54-4C28-9AC1-50B8FC787E4A}"/>
            </c:ext>
          </c:extLst>
        </c:ser>
        <c:ser>
          <c:idx val="0"/>
          <c:order val="1"/>
          <c:tx>
            <c:v>BH-03</c:v>
          </c:tx>
          <c:spPr>
            <a:ln w="19050"/>
          </c:spPr>
          <c:marker>
            <c:symbol val="none"/>
          </c:marker>
          <c:xVal>
            <c:numRef>
              <c:f>'All boreholes'!$AR$54:$AR$73</c:f>
              <c:numCache>
                <c:formatCode>0.00</c:formatCode>
                <c:ptCount val="20"/>
              </c:numCache>
            </c:numRef>
          </c:xVal>
          <c:yVal>
            <c:numRef>
              <c:f>'All boreholes'!$H$54:$H$73</c:f>
              <c:numCache>
                <c:formatCode>0.000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54-4C28-9AC1-50B8FC787E4A}"/>
            </c:ext>
          </c:extLst>
        </c:ser>
        <c:ser>
          <c:idx val="1"/>
          <c:order val="2"/>
          <c:tx>
            <c:v>Characteristic Line FOS=1.2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'Comparison with LiquefyPro'!$AM$22:$AM$23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'Comparison with LiquefyPro'!$AN$22:$AN$23</c:f>
              <c:numCache>
                <c:formatCode>General</c:formatCode>
                <c:ptCount val="2"/>
                <c:pt idx="0">
                  <c:v>-5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54-4C28-9AC1-50B8FC787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68200"/>
        <c:axId val="1"/>
      </c:scatterChart>
      <c:valAx>
        <c:axId val="97856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Factor of Safety against Liquefaction for Mw = 6.2 (0.19g PGA)</a:t>
                </a:r>
              </a:p>
            </c:rich>
          </c:tx>
          <c:layout>
            <c:manualLayout>
              <c:xMode val="edge"/>
              <c:yMode val="edge"/>
              <c:x val="0.11437270341207348"/>
              <c:y val="6.2203249874664544E-2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2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 algn="ctr" rtl="0">
                  <a:def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Elevation (mDMD)</a:t>
                </a:r>
              </a:p>
            </c:rich>
          </c:tx>
          <c:layout>
            <c:manualLayout>
              <c:xMode val="edge"/>
              <c:yMode val="edge"/>
              <c:x val="3.806955380577428E-2"/>
              <c:y val="0.3588752248665546"/>
            </c:manualLayout>
          </c:layout>
          <c:overlay val="0"/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5682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157838900335342"/>
          <c:y val="0.30451295512744025"/>
          <c:w val="0.44349726343581697"/>
          <c:h val="0.60526649105577635"/>
        </c:manualLayout>
      </c:layout>
      <c:overlay val="0"/>
      <c:txPr>
        <a:bodyPr/>
        <a:lstStyle/>
        <a:p>
          <a:pPr algn="ctr" rtl="0">
            <a:defRPr lang="en-US" sz="9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70603674540683"/>
          <c:y val="0.2218816130889622"/>
          <c:w val="0.54630686789151361"/>
          <c:h val="0.70926748472680223"/>
        </c:manualLayout>
      </c:layout>
      <c:scatterChart>
        <c:scatterStyle val="smoothMarker"/>
        <c:varyColors val="0"/>
        <c:ser>
          <c:idx val="2"/>
          <c:order val="0"/>
          <c:tx>
            <c:v>BH-04 Liquefy Pro</c:v>
          </c:tx>
          <c:spPr>
            <a:ln w="19050"/>
          </c:spPr>
          <c:marker>
            <c:symbol val="none"/>
          </c:marker>
          <c:xVal>
            <c:numRef>
              <c:f>'Comparison with LiquefyPro'!$AZ$5:$AZ$782</c:f>
              <c:numCache>
                <c:formatCode>General</c:formatCode>
                <c:ptCount val="77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1.59</c:v>
                </c:pt>
                <c:pt idx="191">
                  <c:v>1.6</c:v>
                </c:pt>
                <c:pt idx="192">
                  <c:v>1.6</c:v>
                </c:pt>
                <c:pt idx="193">
                  <c:v>1.6</c:v>
                </c:pt>
                <c:pt idx="194">
                  <c:v>1.61</c:v>
                </c:pt>
                <c:pt idx="195">
                  <c:v>1.61</c:v>
                </c:pt>
                <c:pt idx="196">
                  <c:v>1.61</c:v>
                </c:pt>
                <c:pt idx="197">
                  <c:v>1.62</c:v>
                </c:pt>
                <c:pt idx="198">
                  <c:v>1.62</c:v>
                </c:pt>
                <c:pt idx="199">
                  <c:v>1.63</c:v>
                </c:pt>
                <c:pt idx="200">
                  <c:v>1.63</c:v>
                </c:pt>
                <c:pt idx="201">
                  <c:v>1.63</c:v>
                </c:pt>
                <c:pt idx="202">
                  <c:v>1.64</c:v>
                </c:pt>
                <c:pt idx="203">
                  <c:v>1.64</c:v>
                </c:pt>
                <c:pt idx="204">
                  <c:v>1.64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1.66</c:v>
                </c:pt>
                <c:pt idx="209">
                  <c:v>1.66</c:v>
                </c:pt>
                <c:pt idx="210">
                  <c:v>1.66</c:v>
                </c:pt>
                <c:pt idx="211">
                  <c:v>1.67</c:v>
                </c:pt>
                <c:pt idx="212">
                  <c:v>1.67</c:v>
                </c:pt>
                <c:pt idx="213">
                  <c:v>1.67</c:v>
                </c:pt>
                <c:pt idx="214">
                  <c:v>1.68</c:v>
                </c:pt>
                <c:pt idx="215">
                  <c:v>1.68</c:v>
                </c:pt>
                <c:pt idx="216">
                  <c:v>1.68</c:v>
                </c:pt>
                <c:pt idx="217">
                  <c:v>1.69</c:v>
                </c:pt>
                <c:pt idx="218">
                  <c:v>1.69</c:v>
                </c:pt>
                <c:pt idx="219">
                  <c:v>1.7</c:v>
                </c:pt>
                <c:pt idx="220">
                  <c:v>1.7</c:v>
                </c:pt>
                <c:pt idx="221">
                  <c:v>1.71</c:v>
                </c:pt>
                <c:pt idx="222">
                  <c:v>1.74</c:v>
                </c:pt>
                <c:pt idx="223">
                  <c:v>1.77</c:v>
                </c:pt>
                <c:pt idx="224">
                  <c:v>1.81</c:v>
                </c:pt>
                <c:pt idx="225">
                  <c:v>1.84</c:v>
                </c:pt>
                <c:pt idx="226">
                  <c:v>1.87</c:v>
                </c:pt>
                <c:pt idx="227">
                  <c:v>1.9</c:v>
                </c:pt>
                <c:pt idx="228">
                  <c:v>1.94</c:v>
                </c:pt>
                <c:pt idx="229">
                  <c:v>1.97</c:v>
                </c:pt>
                <c:pt idx="230">
                  <c:v>2</c:v>
                </c:pt>
                <c:pt idx="231">
                  <c:v>2.0299999999999998</c:v>
                </c:pt>
                <c:pt idx="232">
                  <c:v>2.0699999999999998</c:v>
                </c:pt>
                <c:pt idx="233">
                  <c:v>2.1</c:v>
                </c:pt>
                <c:pt idx="234">
                  <c:v>2.13</c:v>
                </c:pt>
                <c:pt idx="235">
                  <c:v>2.16</c:v>
                </c:pt>
                <c:pt idx="236">
                  <c:v>2.19</c:v>
                </c:pt>
                <c:pt idx="237">
                  <c:v>2.23</c:v>
                </c:pt>
                <c:pt idx="238">
                  <c:v>2.2599999999999998</c:v>
                </c:pt>
                <c:pt idx="239">
                  <c:v>2.29</c:v>
                </c:pt>
                <c:pt idx="240">
                  <c:v>2.33</c:v>
                </c:pt>
                <c:pt idx="241">
                  <c:v>2.36</c:v>
                </c:pt>
                <c:pt idx="242">
                  <c:v>2.39</c:v>
                </c:pt>
                <c:pt idx="243">
                  <c:v>2.4300000000000002</c:v>
                </c:pt>
                <c:pt idx="244">
                  <c:v>2.46</c:v>
                </c:pt>
                <c:pt idx="245">
                  <c:v>2.5</c:v>
                </c:pt>
                <c:pt idx="246">
                  <c:v>2.54</c:v>
                </c:pt>
                <c:pt idx="247">
                  <c:v>2.57</c:v>
                </c:pt>
                <c:pt idx="248">
                  <c:v>2.61</c:v>
                </c:pt>
                <c:pt idx="249">
                  <c:v>2.65</c:v>
                </c:pt>
                <c:pt idx="250">
                  <c:v>2.69</c:v>
                </c:pt>
                <c:pt idx="251">
                  <c:v>2.73</c:v>
                </c:pt>
                <c:pt idx="252">
                  <c:v>2.77</c:v>
                </c:pt>
                <c:pt idx="253">
                  <c:v>2.82</c:v>
                </c:pt>
                <c:pt idx="254">
                  <c:v>2.86</c:v>
                </c:pt>
                <c:pt idx="255">
                  <c:v>2.91</c:v>
                </c:pt>
                <c:pt idx="256">
                  <c:v>2.96</c:v>
                </c:pt>
                <c:pt idx="257">
                  <c:v>3</c:v>
                </c:pt>
                <c:pt idx="258">
                  <c:v>3.06</c:v>
                </c:pt>
                <c:pt idx="259">
                  <c:v>3.11</c:v>
                </c:pt>
                <c:pt idx="260">
                  <c:v>3.16</c:v>
                </c:pt>
                <c:pt idx="261">
                  <c:v>3.21</c:v>
                </c:pt>
                <c:pt idx="262">
                  <c:v>3.22</c:v>
                </c:pt>
                <c:pt idx="263">
                  <c:v>3.23</c:v>
                </c:pt>
                <c:pt idx="264">
                  <c:v>3.24</c:v>
                </c:pt>
                <c:pt idx="265">
                  <c:v>3.25</c:v>
                </c:pt>
                <c:pt idx="266">
                  <c:v>3.26</c:v>
                </c:pt>
                <c:pt idx="267">
                  <c:v>3.27</c:v>
                </c:pt>
                <c:pt idx="268">
                  <c:v>3.28</c:v>
                </c:pt>
                <c:pt idx="269">
                  <c:v>3.29</c:v>
                </c:pt>
                <c:pt idx="270">
                  <c:v>3.31</c:v>
                </c:pt>
                <c:pt idx="271">
                  <c:v>3.32</c:v>
                </c:pt>
                <c:pt idx="272">
                  <c:v>3.33</c:v>
                </c:pt>
                <c:pt idx="273">
                  <c:v>3.34</c:v>
                </c:pt>
                <c:pt idx="274">
                  <c:v>3.35</c:v>
                </c:pt>
                <c:pt idx="275">
                  <c:v>3.37</c:v>
                </c:pt>
                <c:pt idx="276">
                  <c:v>3.38</c:v>
                </c:pt>
                <c:pt idx="277">
                  <c:v>3.39</c:v>
                </c:pt>
                <c:pt idx="278">
                  <c:v>3.4</c:v>
                </c:pt>
                <c:pt idx="279">
                  <c:v>3.42</c:v>
                </c:pt>
                <c:pt idx="280">
                  <c:v>3.43</c:v>
                </c:pt>
                <c:pt idx="281">
                  <c:v>3.45</c:v>
                </c:pt>
                <c:pt idx="282">
                  <c:v>3.46</c:v>
                </c:pt>
                <c:pt idx="283">
                  <c:v>3.47</c:v>
                </c:pt>
                <c:pt idx="284">
                  <c:v>3.49</c:v>
                </c:pt>
                <c:pt idx="285">
                  <c:v>3.51</c:v>
                </c:pt>
                <c:pt idx="286">
                  <c:v>3.52</c:v>
                </c:pt>
                <c:pt idx="287">
                  <c:v>3.54</c:v>
                </c:pt>
                <c:pt idx="288">
                  <c:v>3.56</c:v>
                </c:pt>
                <c:pt idx="289">
                  <c:v>3.58</c:v>
                </c:pt>
                <c:pt idx="290">
                  <c:v>3.6</c:v>
                </c:pt>
                <c:pt idx="291">
                  <c:v>3.62</c:v>
                </c:pt>
                <c:pt idx="292">
                  <c:v>3.64</c:v>
                </c:pt>
                <c:pt idx="293">
                  <c:v>3.66</c:v>
                </c:pt>
                <c:pt idx="294">
                  <c:v>3.68</c:v>
                </c:pt>
                <c:pt idx="295">
                  <c:v>3.71</c:v>
                </c:pt>
                <c:pt idx="296">
                  <c:v>3.74</c:v>
                </c:pt>
                <c:pt idx="297">
                  <c:v>3.77</c:v>
                </c:pt>
                <c:pt idx="298">
                  <c:v>3.8</c:v>
                </c:pt>
                <c:pt idx="299">
                  <c:v>3.84</c:v>
                </c:pt>
                <c:pt idx="300">
                  <c:v>3.87</c:v>
                </c:pt>
                <c:pt idx="301">
                  <c:v>3.91</c:v>
                </c:pt>
                <c:pt idx="302">
                  <c:v>3.94</c:v>
                </c:pt>
                <c:pt idx="303">
                  <c:v>3.98</c:v>
                </c:pt>
                <c:pt idx="304">
                  <c:v>4.01</c:v>
                </c:pt>
                <c:pt idx="305">
                  <c:v>4.05</c:v>
                </c:pt>
                <c:pt idx="306">
                  <c:v>4.0999999999999996</c:v>
                </c:pt>
                <c:pt idx="307">
                  <c:v>4.1500000000000004</c:v>
                </c:pt>
                <c:pt idx="308">
                  <c:v>4.21</c:v>
                </c:pt>
                <c:pt idx="309">
                  <c:v>4.2699999999999996</c:v>
                </c:pt>
                <c:pt idx="310">
                  <c:v>4.3499999999999996</c:v>
                </c:pt>
                <c:pt idx="311">
                  <c:v>4.45</c:v>
                </c:pt>
                <c:pt idx="312">
                  <c:v>4.57</c:v>
                </c:pt>
                <c:pt idx="313">
                  <c:v>4.7</c:v>
                </c:pt>
                <c:pt idx="314">
                  <c:v>4.6900000000000004</c:v>
                </c:pt>
                <c:pt idx="315">
                  <c:v>4.6900000000000004</c:v>
                </c:pt>
                <c:pt idx="316">
                  <c:v>4.68</c:v>
                </c:pt>
                <c:pt idx="317">
                  <c:v>4.68</c:v>
                </c:pt>
                <c:pt idx="318">
                  <c:v>4.67</c:v>
                </c:pt>
                <c:pt idx="319">
                  <c:v>4.67</c:v>
                </c:pt>
                <c:pt idx="320">
                  <c:v>4.66</c:v>
                </c:pt>
                <c:pt idx="321">
                  <c:v>4.66</c:v>
                </c:pt>
                <c:pt idx="322">
                  <c:v>4.6500000000000004</c:v>
                </c:pt>
                <c:pt idx="323">
                  <c:v>4.6500000000000004</c:v>
                </c:pt>
                <c:pt idx="324">
                  <c:v>4.6500000000000004</c:v>
                </c:pt>
                <c:pt idx="325">
                  <c:v>4.6399999999999997</c:v>
                </c:pt>
                <c:pt idx="326">
                  <c:v>4.6399999999999997</c:v>
                </c:pt>
                <c:pt idx="327">
                  <c:v>4.63</c:v>
                </c:pt>
                <c:pt idx="328">
                  <c:v>4.63</c:v>
                </c:pt>
                <c:pt idx="329">
                  <c:v>4.62</c:v>
                </c:pt>
                <c:pt idx="330">
                  <c:v>4.62</c:v>
                </c:pt>
                <c:pt idx="331">
                  <c:v>4.6100000000000003</c:v>
                </c:pt>
                <c:pt idx="332">
                  <c:v>4.6100000000000003</c:v>
                </c:pt>
                <c:pt idx="333">
                  <c:v>4.6100000000000003</c:v>
                </c:pt>
                <c:pt idx="334">
                  <c:v>4.5999999999999996</c:v>
                </c:pt>
                <c:pt idx="335">
                  <c:v>4.5999999999999996</c:v>
                </c:pt>
                <c:pt idx="336">
                  <c:v>4.59</c:v>
                </c:pt>
                <c:pt idx="337">
                  <c:v>4.59</c:v>
                </c:pt>
                <c:pt idx="338">
                  <c:v>4.58</c:v>
                </c:pt>
                <c:pt idx="339">
                  <c:v>4.58</c:v>
                </c:pt>
                <c:pt idx="340">
                  <c:v>4.58</c:v>
                </c:pt>
                <c:pt idx="341">
                  <c:v>4.57</c:v>
                </c:pt>
                <c:pt idx="342">
                  <c:v>4.57</c:v>
                </c:pt>
                <c:pt idx="343">
                  <c:v>4.57</c:v>
                </c:pt>
                <c:pt idx="344">
                  <c:v>4.5599999999999996</c:v>
                </c:pt>
                <c:pt idx="345">
                  <c:v>4.5599999999999996</c:v>
                </c:pt>
                <c:pt idx="346">
                  <c:v>4.5599999999999996</c:v>
                </c:pt>
                <c:pt idx="347">
                  <c:v>4.5599999999999996</c:v>
                </c:pt>
                <c:pt idx="348">
                  <c:v>4.5599999999999996</c:v>
                </c:pt>
                <c:pt idx="349">
                  <c:v>4.5599999999999996</c:v>
                </c:pt>
                <c:pt idx="350">
                  <c:v>4.5599999999999996</c:v>
                </c:pt>
                <c:pt idx="351">
                  <c:v>4.55</c:v>
                </c:pt>
                <c:pt idx="352">
                  <c:v>4.55</c:v>
                </c:pt>
                <c:pt idx="353">
                  <c:v>4.55</c:v>
                </c:pt>
                <c:pt idx="354">
                  <c:v>4.55</c:v>
                </c:pt>
                <c:pt idx="355">
                  <c:v>4.55</c:v>
                </c:pt>
                <c:pt idx="356">
                  <c:v>4.55</c:v>
                </c:pt>
                <c:pt idx="357">
                  <c:v>4.55</c:v>
                </c:pt>
                <c:pt idx="358">
                  <c:v>4.54</c:v>
                </c:pt>
                <c:pt idx="359">
                  <c:v>4.54</c:v>
                </c:pt>
                <c:pt idx="360">
                  <c:v>4.54</c:v>
                </c:pt>
                <c:pt idx="361">
                  <c:v>4.54</c:v>
                </c:pt>
                <c:pt idx="362">
                  <c:v>4.54</c:v>
                </c:pt>
                <c:pt idx="363">
                  <c:v>4.54</c:v>
                </c:pt>
                <c:pt idx="364">
                  <c:v>4.54</c:v>
                </c:pt>
                <c:pt idx="365">
                  <c:v>4.54</c:v>
                </c:pt>
                <c:pt idx="366">
                  <c:v>4.53</c:v>
                </c:pt>
                <c:pt idx="367">
                  <c:v>4.53</c:v>
                </c:pt>
                <c:pt idx="368">
                  <c:v>4.53</c:v>
                </c:pt>
                <c:pt idx="369">
                  <c:v>4.53</c:v>
                </c:pt>
                <c:pt idx="370">
                  <c:v>4.53</c:v>
                </c:pt>
                <c:pt idx="371">
                  <c:v>4.53</c:v>
                </c:pt>
                <c:pt idx="372">
                  <c:v>4.53</c:v>
                </c:pt>
                <c:pt idx="373">
                  <c:v>4.53</c:v>
                </c:pt>
                <c:pt idx="374">
                  <c:v>4.53</c:v>
                </c:pt>
                <c:pt idx="375">
                  <c:v>4.53</c:v>
                </c:pt>
                <c:pt idx="376">
                  <c:v>4.53</c:v>
                </c:pt>
                <c:pt idx="377">
                  <c:v>4.5199999999999996</c:v>
                </c:pt>
                <c:pt idx="378">
                  <c:v>4.5199999999999996</c:v>
                </c:pt>
                <c:pt idx="379">
                  <c:v>4.5199999999999996</c:v>
                </c:pt>
                <c:pt idx="380">
                  <c:v>4.5199999999999996</c:v>
                </c:pt>
                <c:pt idx="381">
                  <c:v>4.5199999999999996</c:v>
                </c:pt>
                <c:pt idx="382">
                  <c:v>4.5199999999999996</c:v>
                </c:pt>
                <c:pt idx="383">
                  <c:v>4.5199999999999996</c:v>
                </c:pt>
                <c:pt idx="384">
                  <c:v>4.5199999999999996</c:v>
                </c:pt>
                <c:pt idx="385">
                  <c:v>4.5199999999999996</c:v>
                </c:pt>
                <c:pt idx="386">
                  <c:v>4.5199999999999996</c:v>
                </c:pt>
                <c:pt idx="387">
                  <c:v>4.5199999999999996</c:v>
                </c:pt>
                <c:pt idx="388">
                  <c:v>4.5199999999999996</c:v>
                </c:pt>
                <c:pt idx="389">
                  <c:v>4.5199999999999996</c:v>
                </c:pt>
                <c:pt idx="390">
                  <c:v>4.51</c:v>
                </c:pt>
                <c:pt idx="391">
                  <c:v>4.51</c:v>
                </c:pt>
                <c:pt idx="392">
                  <c:v>4.51</c:v>
                </c:pt>
                <c:pt idx="393">
                  <c:v>4.51</c:v>
                </c:pt>
                <c:pt idx="394">
                  <c:v>4.51</c:v>
                </c:pt>
                <c:pt idx="395">
                  <c:v>4.51</c:v>
                </c:pt>
                <c:pt idx="396">
                  <c:v>4.51</c:v>
                </c:pt>
                <c:pt idx="397">
                  <c:v>4.51</c:v>
                </c:pt>
                <c:pt idx="398">
                  <c:v>4.51</c:v>
                </c:pt>
                <c:pt idx="399">
                  <c:v>4.51</c:v>
                </c:pt>
                <c:pt idx="400">
                  <c:v>4.51</c:v>
                </c:pt>
                <c:pt idx="401">
                  <c:v>4.51</c:v>
                </c:pt>
                <c:pt idx="402">
                  <c:v>4.51</c:v>
                </c:pt>
                <c:pt idx="403">
                  <c:v>4.51</c:v>
                </c:pt>
                <c:pt idx="404">
                  <c:v>4.51</c:v>
                </c:pt>
                <c:pt idx="405">
                  <c:v>4.51</c:v>
                </c:pt>
                <c:pt idx="406">
                  <c:v>4.51</c:v>
                </c:pt>
                <c:pt idx="407">
                  <c:v>4.51</c:v>
                </c:pt>
                <c:pt idx="408">
                  <c:v>4.51</c:v>
                </c:pt>
                <c:pt idx="409">
                  <c:v>4.51</c:v>
                </c:pt>
                <c:pt idx="410">
                  <c:v>4.51</c:v>
                </c:pt>
                <c:pt idx="411">
                  <c:v>4.51</c:v>
                </c:pt>
                <c:pt idx="412">
                  <c:v>4.51</c:v>
                </c:pt>
                <c:pt idx="413">
                  <c:v>4.51</c:v>
                </c:pt>
                <c:pt idx="414">
                  <c:v>4.51</c:v>
                </c:pt>
                <c:pt idx="415">
                  <c:v>4.51</c:v>
                </c:pt>
                <c:pt idx="416">
                  <c:v>4.51</c:v>
                </c:pt>
                <c:pt idx="417">
                  <c:v>4.51</c:v>
                </c:pt>
                <c:pt idx="418">
                  <c:v>4.51</c:v>
                </c:pt>
                <c:pt idx="419">
                  <c:v>4.51</c:v>
                </c:pt>
                <c:pt idx="420">
                  <c:v>4.51</c:v>
                </c:pt>
                <c:pt idx="421">
                  <c:v>4.51</c:v>
                </c:pt>
                <c:pt idx="422">
                  <c:v>4.51</c:v>
                </c:pt>
                <c:pt idx="423">
                  <c:v>4.51</c:v>
                </c:pt>
                <c:pt idx="424">
                  <c:v>4.51</c:v>
                </c:pt>
                <c:pt idx="425">
                  <c:v>4.51</c:v>
                </c:pt>
                <c:pt idx="426">
                  <c:v>4.51</c:v>
                </c:pt>
                <c:pt idx="427">
                  <c:v>4.51</c:v>
                </c:pt>
                <c:pt idx="428">
                  <c:v>4.51</c:v>
                </c:pt>
                <c:pt idx="429">
                  <c:v>4.51</c:v>
                </c:pt>
                <c:pt idx="430">
                  <c:v>4.51</c:v>
                </c:pt>
                <c:pt idx="431">
                  <c:v>4.51</c:v>
                </c:pt>
                <c:pt idx="432">
                  <c:v>4.51</c:v>
                </c:pt>
                <c:pt idx="433">
                  <c:v>4.51</c:v>
                </c:pt>
                <c:pt idx="434">
                  <c:v>4.51</c:v>
                </c:pt>
                <c:pt idx="435">
                  <c:v>4.51</c:v>
                </c:pt>
                <c:pt idx="436">
                  <c:v>4.51</c:v>
                </c:pt>
                <c:pt idx="437">
                  <c:v>4.51</c:v>
                </c:pt>
                <c:pt idx="438">
                  <c:v>4.51</c:v>
                </c:pt>
                <c:pt idx="439">
                  <c:v>4.51</c:v>
                </c:pt>
                <c:pt idx="440">
                  <c:v>4.51</c:v>
                </c:pt>
                <c:pt idx="441">
                  <c:v>4.51</c:v>
                </c:pt>
                <c:pt idx="442">
                  <c:v>4.51</c:v>
                </c:pt>
                <c:pt idx="443">
                  <c:v>4.51</c:v>
                </c:pt>
                <c:pt idx="444">
                  <c:v>4.51</c:v>
                </c:pt>
                <c:pt idx="445">
                  <c:v>4.51</c:v>
                </c:pt>
                <c:pt idx="446">
                  <c:v>4.51</c:v>
                </c:pt>
                <c:pt idx="447">
                  <c:v>4.51</c:v>
                </c:pt>
                <c:pt idx="448">
                  <c:v>4.51</c:v>
                </c:pt>
                <c:pt idx="449">
                  <c:v>4.51</c:v>
                </c:pt>
                <c:pt idx="450">
                  <c:v>4.51</c:v>
                </c:pt>
                <c:pt idx="451">
                  <c:v>4.51</c:v>
                </c:pt>
                <c:pt idx="452">
                  <c:v>4.51</c:v>
                </c:pt>
                <c:pt idx="453">
                  <c:v>4.51</c:v>
                </c:pt>
                <c:pt idx="454">
                  <c:v>4.51</c:v>
                </c:pt>
                <c:pt idx="455">
                  <c:v>4.51</c:v>
                </c:pt>
                <c:pt idx="456">
                  <c:v>4.51</c:v>
                </c:pt>
                <c:pt idx="457">
                  <c:v>4.51</c:v>
                </c:pt>
                <c:pt idx="458">
                  <c:v>4.51</c:v>
                </c:pt>
                <c:pt idx="459">
                  <c:v>4.51</c:v>
                </c:pt>
                <c:pt idx="460">
                  <c:v>4.5199999999999996</c:v>
                </c:pt>
                <c:pt idx="461">
                  <c:v>4.5199999999999996</c:v>
                </c:pt>
                <c:pt idx="462">
                  <c:v>4.5199999999999996</c:v>
                </c:pt>
                <c:pt idx="463">
                  <c:v>4.5199999999999996</c:v>
                </c:pt>
                <c:pt idx="464">
                  <c:v>4.5199999999999996</c:v>
                </c:pt>
                <c:pt idx="465">
                  <c:v>4.5199999999999996</c:v>
                </c:pt>
                <c:pt idx="466">
                  <c:v>4.55</c:v>
                </c:pt>
                <c:pt idx="467">
                  <c:v>4.55</c:v>
                </c:pt>
                <c:pt idx="468">
                  <c:v>4.55</c:v>
                </c:pt>
                <c:pt idx="469">
                  <c:v>4.54</c:v>
                </c:pt>
                <c:pt idx="470">
                  <c:v>4.54</c:v>
                </c:pt>
                <c:pt idx="471">
                  <c:v>4.54</c:v>
                </c:pt>
                <c:pt idx="472">
                  <c:v>4.54</c:v>
                </c:pt>
                <c:pt idx="473">
                  <c:v>4.54</c:v>
                </c:pt>
                <c:pt idx="474">
                  <c:v>4.54</c:v>
                </c:pt>
                <c:pt idx="475">
                  <c:v>4.54</c:v>
                </c:pt>
                <c:pt idx="476">
                  <c:v>4.54</c:v>
                </c:pt>
                <c:pt idx="477">
                  <c:v>4.54</c:v>
                </c:pt>
                <c:pt idx="478">
                  <c:v>4.54</c:v>
                </c:pt>
                <c:pt idx="479">
                  <c:v>4.54</c:v>
                </c:pt>
                <c:pt idx="480">
                  <c:v>4.54</c:v>
                </c:pt>
                <c:pt idx="481">
                  <c:v>4.54</c:v>
                </c:pt>
                <c:pt idx="482">
                  <c:v>4.54</c:v>
                </c:pt>
                <c:pt idx="483">
                  <c:v>4.54</c:v>
                </c:pt>
                <c:pt idx="484">
                  <c:v>4.54</c:v>
                </c:pt>
                <c:pt idx="485">
                  <c:v>4.54</c:v>
                </c:pt>
                <c:pt idx="486">
                  <c:v>4.54</c:v>
                </c:pt>
                <c:pt idx="487">
                  <c:v>4.54</c:v>
                </c:pt>
                <c:pt idx="488">
                  <c:v>4.54</c:v>
                </c:pt>
                <c:pt idx="489">
                  <c:v>4.54</c:v>
                </c:pt>
                <c:pt idx="490">
                  <c:v>4.54</c:v>
                </c:pt>
                <c:pt idx="491">
                  <c:v>4.54</c:v>
                </c:pt>
                <c:pt idx="492">
                  <c:v>4.54</c:v>
                </c:pt>
                <c:pt idx="493">
                  <c:v>4.54</c:v>
                </c:pt>
                <c:pt idx="494">
                  <c:v>4.54</c:v>
                </c:pt>
                <c:pt idx="495">
                  <c:v>4.54</c:v>
                </c:pt>
                <c:pt idx="496">
                  <c:v>4.54</c:v>
                </c:pt>
                <c:pt idx="497">
                  <c:v>4.54</c:v>
                </c:pt>
                <c:pt idx="498">
                  <c:v>4.54</c:v>
                </c:pt>
                <c:pt idx="499">
                  <c:v>4.54</c:v>
                </c:pt>
                <c:pt idx="500">
                  <c:v>4.54</c:v>
                </c:pt>
                <c:pt idx="501">
                  <c:v>4.54</c:v>
                </c:pt>
                <c:pt idx="502">
                  <c:v>4.54</c:v>
                </c:pt>
                <c:pt idx="503">
                  <c:v>4.54</c:v>
                </c:pt>
                <c:pt idx="504">
                  <c:v>4.54</c:v>
                </c:pt>
                <c:pt idx="505">
                  <c:v>4.54</c:v>
                </c:pt>
                <c:pt idx="506">
                  <c:v>4.54</c:v>
                </c:pt>
                <c:pt idx="507">
                  <c:v>4.54</c:v>
                </c:pt>
                <c:pt idx="508">
                  <c:v>4.54</c:v>
                </c:pt>
                <c:pt idx="509">
                  <c:v>4.54</c:v>
                </c:pt>
                <c:pt idx="510">
                  <c:v>4.54</c:v>
                </c:pt>
                <c:pt idx="511">
                  <c:v>4.54</c:v>
                </c:pt>
                <c:pt idx="512">
                  <c:v>4.54</c:v>
                </c:pt>
                <c:pt idx="513">
                  <c:v>4.54</c:v>
                </c:pt>
                <c:pt idx="514">
                  <c:v>4.54</c:v>
                </c:pt>
                <c:pt idx="515">
                  <c:v>4.54</c:v>
                </c:pt>
                <c:pt idx="516">
                  <c:v>4.54</c:v>
                </c:pt>
                <c:pt idx="517">
                  <c:v>4.54</c:v>
                </c:pt>
                <c:pt idx="518">
                  <c:v>4.54</c:v>
                </c:pt>
                <c:pt idx="519">
                  <c:v>4.54</c:v>
                </c:pt>
                <c:pt idx="520">
                  <c:v>4.54</c:v>
                </c:pt>
                <c:pt idx="521">
                  <c:v>4.54</c:v>
                </c:pt>
                <c:pt idx="522">
                  <c:v>4.54</c:v>
                </c:pt>
                <c:pt idx="523">
                  <c:v>4.54</c:v>
                </c:pt>
                <c:pt idx="524">
                  <c:v>4.54</c:v>
                </c:pt>
                <c:pt idx="525">
                  <c:v>4.54</c:v>
                </c:pt>
                <c:pt idx="526">
                  <c:v>4.54</c:v>
                </c:pt>
                <c:pt idx="527">
                  <c:v>4.54</c:v>
                </c:pt>
                <c:pt idx="528">
                  <c:v>4.54</c:v>
                </c:pt>
                <c:pt idx="529">
                  <c:v>4.54</c:v>
                </c:pt>
                <c:pt idx="530">
                  <c:v>4.54</c:v>
                </c:pt>
                <c:pt idx="531">
                  <c:v>4.54</c:v>
                </c:pt>
                <c:pt idx="532">
                  <c:v>4.54</c:v>
                </c:pt>
                <c:pt idx="533">
                  <c:v>4.54</c:v>
                </c:pt>
                <c:pt idx="534">
                  <c:v>4.55</c:v>
                </c:pt>
                <c:pt idx="535">
                  <c:v>4.55</c:v>
                </c:pt>
                <c:pt idx="536">
                  <c:v>4.55</c:v>
                </c:pt>
                <c:pt idx="537">
                  <c:v>4.55</c:v>
                </c:pt>
                <c:pt idx="538">
                  <c:v>4.55</c:v>
                </c:pt>
                <c:pt idx="539">
                  <c:v>4.55</c:v>
                </c:pt>
                <c:pt idx="540">
                  <c:v>4.55</c:v>
                </c:pt>
                <c:pt idx="541">
                  <c:v>4.55</c:v>
                </c:pt>
                <c:pt idx="542">
                  <c:v>4.55</c:v>
                </c:pt>
                <c:pt idx="543">
                  <c:v>4.55</c:v>
                </c:pt>
                <c:pt idx="544">
                  <c:v>4.55</c:v>
                </c:pt>
                <c:pt idx="545">
                  <c:v>4.55</c:v>
                </c:pt>
                <c:pt idx="546">
                  <c:v>4.55</c:v>
                </c:pt>
                <c:pt idx="547">
                  <c:v>4.55</c:v>
                </c:pt>
                <c:pt idx="548">
                  <c:v>4.55</c:v>
                </c:pt>
                <c:pt idx="549">
                  <c:v>4.55</c:v>
                </c:pt>
                <c:pt idx="550">
                  <c:v>4.55</c:v>
                </c:pt>
                <c:pt idx="551">
                  <c:v>4.55</c:v>
                </c:pt>
                <c:pt idx="552">
                  <c:v>4.55</c:v>
                </c:pt>
                <c:pt idx="553">
                  <c:v>4.55</c:v>
                </c:pt>
                <c:pt idx="554">
                  <c:v>4.55</c:v>
                </c:pt>
                <c:pt idx="555">
                  <c:v>4.5599999999999996</c:v>
                </c:pt>
                <c:pt idx="556">
                  <c:v>4.5599999999999996</c:v>
                </c:pt>
                <c:pt idx="557">
                  <c:v>4.5599999999999996</c:v>
                </c:pt>
                <c:pt idx="558">
                  <c:v>4.5599999999999996</c:v>
                </c:pt>
                <c:pt idx="559">
                  <c:v>4.5599999999999996</c:v>
                </c:pt>
                <c:pt idx="560">
                  <c:v>4.5599999999999996</c:v>
                </c:pt>
                <c:pt idx="561">
                  <c:v>4.5599999999999996</c:v>
                </c:pt>
                <c:pt idx="562">
                  <c:v>4.5599999999999996</c:v>
                </c:pt>
                <c:pt idx="563">
                  <c:v>4.5599999999999996</c:v>
                </c:pt>
                <c:pt idx="564">
                  <c:v>4.5599999999999996</c:v>
                </c:pt>
                <c:pt idx="565">
                  <c:v>4.5599999999999996</c:v>
                </c:pt>
                <c:pt idx="566">
                  <c:v>4.5599999999999996</c:v>
                </c:pt>
                <c:pt idx="567">
                  <c:v>4.5599999999999996</c:v>
                </c:pt>
                <c:pt idx="568">
                  <c:v>4.5599999999999996</c:v>
                </c:pt>
                <c:pt idx="569">
                  <c:v>4.57</c:v>
                </c:pt>
                <c:pt idx="570">
                  <c:v>4.57</c:v>
                </c:pt>
                <c:pt idx="571">
                  <c:v>4.57</c:v>
                </c:pt>
                <c:pt idx="572">
                  <c:v>4.57</c:v>
                </c:pt>
                <c:pt idx="573">
                  <c:v>4.57</c:v>
                </c:pt>
                <c:pt idx="574">
                  <c:v>4.57</c:v>
                </c:pt>
                <c:pt idx="575">
                  <c:v>4.57</c:v>
                </c:pt>
                <c:pt idx="576">
                  <c:v>4.57</c:v>
                </c:pt>
                <c:pt idx="577">
                  <c:v>4.57</c:v>
                </c:pt>
                <c:pt idx="578">
                  <c:v>4.57</c:v>
                </c:pt>
                <c:pt idx="579">
                  <c:v>4.57</c:v>
                </c:pt>
                <c:pt idx="580">
                  <c:v>4.57</c:v>
                </c:pt>
                <c:pt idx="581">
                  <c:v>4.57</c:v>
                </c:pt>
                <c:pt idx="582">
                  <c:v>4.58</c:v>
                </c:pt>
                <c:pt idx="583">
                  <c:v>4.58</c:v>
                </c:pt>
                <c:pt idx="584">
                  <c:v>4.58</c:v>
                </c:pt>
                <c:pt idx="585">
                  <c:v>4.58</c:v>
                </c:pt>
                <c:pt idx="586">
                  <c:v>4.58</c:v>
                </c:pt>
                <c:pt idx="587">
                  <c:v>4.58</c:v>
                </c:pt>
                <c:pt idx="588">
                  <c:v>4.58</c:v>
                </c:pt>
                <c:pt idx="589">
                  <c:v>4.58</c:v>
                </c:pt>
                <c:pt idx="590">
                  <c:v>4.58</c:v>
                </c:pt>
                <c:pt idx="591">
                  <c:v>4.58</c:v>
                </c:pt>
                <c:pt idx="592">
                  <c:v>4.59</c:v>
                </c:pt>
                <c:pt idx="593">
                  <c:v>4.59</c:v>
                </c:pt>
                <c:pt idx="594">
                  <c:v>4.59</c:v>
                </c:pt>
                <c:pt idx="595">
                  <c:v>4.59</c:v>
                </c:pt>
                <c:pt idx="596">
                  <c:v>4.59</c:v>
                </c:pt>
                <c:pt idx="597">
                  <c:v>4.59</c:v>
                </c:pt>
                <c:pt idx="598">
                  <c:v>4.59</c:v>
                </c:pt>
                <c:pt idx="599">
                  <c:v>4.59</c:v>
                </c:pt>
                <c:pt idx="600">
                  <c:v>4.59</c:v>
                </c:pt>
                <c:pt idx="601">
                  <c:v>4.59</c:v>
                </c:pt>
                <c:pt idx="602">
                  <c:v>4.5999999999999996</c:v>
                </c:pt>
                <c:pt idx="603">
                  <c:v>4.5999999999999996</c:v>
                </c:pt>
                <c:pt idx="604">
                  <c:v>4.5999999999999996</c:v>
                </c:pt>
                <c:pt idx="605">
                  <c:v>4.5999999999999996</c:v>
                </c:pt>
                <c:pt idx="606">
                  <c:v>4.5999999999999996</c:v>
                </c:pt>
                <c:pt idx="607">
                  <c:v>4.5999999999999996</c:v>
                </c:pt>
                <c:pt idx="608">
                  <c:v>4.5999999999999996</c:v>
                </c:pt>
                <c:pt idx="609">
                  <c:v>4.5999999999999996</c:v>
                </c:pt>
                <c:pt idx="610">
                  <c:v>4.5999999999999996</c:v>
                </c:pt>
                <c:pt idx="611">
                  <c:v>4.6100000000000003</c:v>
                </c:pt>
                <c:pt idx="612">
                  <c:v>4.6100000000000003</c:v>
                </c:pt>
                <c:pt idx="613">
                  <c:v>4.6100000000000003</c:v>
                </c:pt>
                <c:pt idx="614">
                  <c:v>4.6100000000000003</c:v>
                </c:pt>
                <c:pt idx="615">
                  <c:v>4.6100000000000003</c:v>
                </c:pt>
                <c:pt idx="616">
                  <c:v>4.6100000000000003</c:v>
                </c:pt>
                <c:pt idx="617">
                  <c:v>4.6100000000000003</c:v>
                </c:pt>
                <c:pt idx="618">
                  <c:v>4.6100000000000003</c:v>
                </c:pt>
                <c:pt idx="619">
                  <c:v>4.62</c:v>
                </c:pt>
                <c:pt idx="620">
                  <c:v>4.62</c:v>
                </c:pt>
                <c:pt idx="621">
                  <c:v>4.62</c:v>
                </c:pt>
                <c:pt idx="622">
                  <c:v>4.62</c:v>
                </c:pt>
                <c:pt idx="623">
                  <c:v>4.62</c:v>
                </c:pt>
                <c:pt idx="624">
                  <c:v>4.62</c:v>
                </c:pt>
                <c:pt idx="625">
                  <c:v>4.62</c:v>
                </c:pt>
                <c:pt idx="626">
                  <c:v>4.62</c:v>
                </c:pt>
                <c:pt idx="627">
                  <c:v>4.63</c:v>
                </c:pt>
                <c:pt idx="628">
                  <c:v>4.63</c:v>
                </c:pt>
                <c:pt idx="629">
                  <c:v>4.63</c:v>
                </c:pt>
                <c:pt idx="630">
                  <c:v>4.63</c:v>
                </c:pt>
                <c:pt idx="631">
                  <c:v>4.63</c:v>
                </c:pt>
                <c:pt idx="632">
                  <c:v>4.63</c:v>
                </c:pt>
                <c:pt idx="633">
                  <c:v>4.63</c:v>
                </c:pt>
                <c:pt idx="634">
                  <c:v>4.6399999999999997</c:v>
                </c:pt>
                <c:pt idx="635">
                  <c:v>4.6399999999999997</c:v>
                </c:pt>
                <c:pt idx="636">
                  <c:v>4.6399999999999997</c:v>
                </c:pt>
                <c:pt idx="637">
                  <c:v>4.6399999999999997</c:v>
                </c:pt>
                <c:pt idx="638">
                  <c:v>4.6399999999999997</c:v>
                </c:pt>
                <c:pt idx="639">
                  <c:v>4.6399999999999997</c:v>
                </c:pt>
                <c:pt idx="640">
                  <c:v>4.6399999999999997</c:v>
                </c:pt>
                <c:pt idx="641">
                  <c:v>4.6500000000000004</c:v>
                </c:pt>
                <c:pt idx="642">
                  <c:v>4.6500000000000004</c:v>
                </c:pt>
                <c:pt idx="643">
                  <c:v>4.6500000000000004</c:v>
                </c:pt>
                <c:pt idx="644">
                  <c:v>4.6500000000000004</c:v>
                </c:pt>
                <c:pt idx="645">
                  <c:v>4.6500000000000004</c:v>
                </c:pt>
                <c:pt idx="646">
                  <c:v>4.6500000000000004</c:v>
                </c:pt>
                <c:pt idx="647">
                  <c:v>4.6500000000000004</c:v>
                </c:pt>
                <c:pt idx="648">
                  <c:v>4.66</c:v>
                </c:pt>
                <c:pt idx="649">
                  <c:v>4.66</c:v>
                </c:pt>
                <c:pt idx="650">
                  <c:v>4.66</c:v>
                </c:pt>
                <c:pt idx="651">
                  <c:v>4.66</c:v>
                </c:pt>
                <c:pt idx="652">
                  <c:v>4.66</c:v>
                </c:pt>
                <c:pt idx="653">
                  <c:v>4.66</c:v>
                </c:pt>
                <c:pt idx="654">
                  <c:v>4.66</c:v>
                </c:pt>
                <c:pt idx="655">
                  <c:v>4.67</c:v>
                </c:pt>
                <c:pt idx="656">
                  <c:v>4.67</c:v>
                </c:pt>
                <c:pt idx="657">
                  <c:v>4.67</c:v>
                </c:pt>
                <c:pt idx="658">
                  <c:v>4.67</c:v>
                </c:pt>
                <c:pt idx="659">
                  <c:v>4.67</c:v>
                </c:pt>
                <c:pt idx="660">
                  <c:v>4.67</c:v>
                </c:pt>
                <c:pt idx="661">
                  <c:v>4.68</c:v>
                </c:pt>
                <c:pt idx="662">
                  <c:v>4.68</c:v>
                </c:pt>
                <c:pt idx="663">
                  <c:v>4.68</c:v>
                </c:pt>
                <c:pt idx="664">
                  <c:v>4.68</c:v>
                </c:pt>
                <c:pt idx="665">
                  <c:v>4.68</c:v>
                </c:pt>
                <c:pt idx="666">
                  <c:v>4.68</c:v>
                </c:pt>
                <c:pt idx="667">
                  <c:v>4.6900000000000004</c:v>
                </c:pt>
                <c:pt idx="668">
                  <c:v>4.6900000000000004</c:v>
                </c:pt>
                <c:pt idx="669">
                  <c:v>4.6900000000000004</c:v>
                </c:pt>
                <c:pt idx="670">
                  <c:v>4.6900000000000004</c:v>
                </c:pt>
                <c:pt idx="671">
                  <c:v>4.6900000000000004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</c:v>
                </c:pt>
                <c:pt idx="675">
                  <c:v>4.7</c:v>
                </c:pt>
                <c:pt idx="676">
                  <c:v>4.7</c:v>
                </c:pt>
                <c:pt idx="677">
                  <c:v>4.7</c:v>
                </c:pt>
                <c:pt idx="678">
                  <c:v>4.71</c:v>
                </c:pt>
                <c:pt idx="679">
                  <c:v>4.71</c:v>
                </c:pt>
                <c:pt idx="680">
                  <c:v>4.71</c:v>
                </c:pt>
                <c:pt idx="681">
                  <c:v>4.71</c:v>
                </c:pt>
                <c:pt idx="682">
                  <c:v>4.71</c:v>
                </c:pt>
                <c:pt idx="683">
                  <c:v>4.71</c:v>
                </c:pt>
                <c:pt idx="684">
                  <c:v>4.72</c:v>
                </c:pt>
                <c:pt idx="685">
                  <c:v>4.72</c:v>
                </c:pt>
                <c:pt idx="686">
                  <c:v>4.72</c:v>
                </c:pt>
                <c:pt idx="687">
                  <c:v>4.72</c:v>
                </c:pt>
                <c:pt idx="688">
                  <c:v>4.72</c:v>
                </c:pt>
                <c:pt idx="689">
                  <c:v>4.7300000000000004</c:v>
                </c:pt>
                <c:pt idx="690">
                  <c:v>4.7300000000000004</c:v>
                </c:pt>
                <c:pt idx="691">
                  <c:v>4.7300000000000004</c:v>
                </c:pt>
                <c:pt idx="692">
                  <c:v>4.7300000000000004</c:v>
                </c:pt>
                <c:pt idx="693">
                  <c:v>4.7300000000000004</c:v>
                </c:pt>
                <c:pt idx="694">
                  <c:v>4.74</c:v>
                </c:pt>
                <c:pt idx="695">
                  <c:v>4.74</c:v>
                </c:pt>
                <c:pt idx="696">
                  <c:v>4.74</c:v>
                </c:pt>
                <c:pt idx="697">
                  <c:v>4.74</c:v>
                </c:pt>
                <c:pt idx="698">
                  <c:v>4.74</c:v>
                </c:pt>
                <c:pt idx="699">
                  <c:v>4.75</c:v>
                </c:pt>
                <c:pt idx="700">
                  <c:v>4.75</c:v>
                </c:pt>
                <c:pt idx="701">
                  <c:v>4.75</c:v>
                </c:pt>
                <c:pt idx="702">
                  <c:v>4.75</c:v>
                </c:pt>
                <c:pt idx="703">
                  <c:v>4.75</c:v>
                </c:pt>
                <c:pt idx="704">
                  <c:v>4.76</c:v>
                </c:pt>
                <c:pt idx="705">
                  <c:v>4.76</c:v>
                </c:pt>
                <c:pt idx="706">
                  <c:v>4.76</c:v>
                </c:pt>
                <c:pt idx="707">
                  <c:v>4.76</c:v>
                </c:pt>
                <c:pt idx="708">
                  <c:v>4.76</c:v>
                </c:pt>
                <c:pt idx="709">
                  <c:v>4.7699999999999996</c:v>
                </c:pt>
                <c:pt idx="710">
                  <c:v>4.7699999999999996</c:v>
                </c:pt>
                <c:pt idx="711">
                  <c:v>4.7699999999999996</c:v>
                </c:pt>
                <c:pt idx="712">
                  <c:v>4.7699999999999996</c:v>
                </c:pt>
                <c:pt idx="713">
                  <c:v>4.7699999999999996</c:v>
                </c:pt>
                <c:pt idx="714">
                  <c:v>4.78</c:v>
                </c:pt>
                <c:pt idx="715">
                  <c:v>4.78</c:v>
                </c:pt>
                <c:pt idx="716">
                  <c:v>4.78</c:v>
                </c:pt>
                <c:pt idx="717">
                  <c:v>4.78</c:v>
                </c:pt>
                <c:pt idx="718">
                  <c:v>4.79</c:v>
                </c:pt>
                <c:pt idx="719">
                  <c:v>4.79</c:v>
                </c:pt>
                <c:pt idx="720">
                  <c:v>4.79</c:v>
                </c:pt>
                <c:pt idx="721">
                  <c:v>4.79</c:v>
                </c:pt>
                <c:pt idx="722">
                  <c:v>4.79</c:v>
                </c:pt>
                <c:pt idx="723">
                  <c:v>4.8</c:v>
                </c:pt>
                <c:pt idx="724">
                  <c:v>4.8</c:v>
                </c:pt>
                <c:pt idx="725">
                  <c:v>4.8</c:v>
                </c:pt>
                <c:pt idx="726">
                  <c:v>4.8</c:v>
                </c:pt>
                <c:pt idx="727">
                  <c:v>4.8099999999999996</c:v>
                </c:pt>
                <c:pt idx="728">
                  <c:v>4.8099999999999996</c:v>
                </c:pt>
                <c:pt idx="729">
                  <c:v>4.8099999999999996</c:v>
                </c:pt>
                <c:pt idx="730">
                  <c:v>4.8099999999999996</c:v>
                </c:pt>
                <c:pt idx="731">
                  <c:v>4.8099999999999996</c:v>
                </c:pt>
                <c:pt idx="732">
                  <c:v>4.82</c:v>
                </c:pt>
                <c:pt idx="733">
                  <c:v>4.82</c:v>
                </c:pt>
                <c:pt idx="734">
                  <c:v>4.82</c:v>
                </c:pt>
                <c:pt idx="735">
                  <c:v>4.82</c:v>
                </c:pt>
                <c:pt idx="736">
                  <c:v>4.83</c:v>
                </c:pt>
                <c:pt idx="737">
                  <c:v>4.83</c:v>
                </c:pt>
                <c:pt idx="738">
                  <c:v>4.83</c:v>
                </c:pt>
                <c:pt idx="739">
                  <c:v>4.83</c:v>
                </c:pt>
                <c:pt idx="740">
                  <c:v>4.84</c:v>
                </c:pt>
                <c:pt idx="741">
                  <c:v>4.84</c:v>
                </c:pt>
                <c:pt idx="742">
                  <c:v>4.84</c:v>
                </c:pt>
                <c:pt idx="743">
                  <c:v>4.84</c:v>
                </c:pt>
                <c:pt idx="744">
                  <c:v>4.8499999999999996</c:v>
                </c:pt>
                <c:pt idx="745">
                  <c:v>4.8499999999999996</c:v>
                </c:pt>
                <c:pt idx="746">
                  <c:v>4.8499999999999996</c:v>
                </c:pt>
                <c:pt idx="747">
                  <c:v>4.8499999999999996</c:v>
                </c:pt>
                <c:pt idx="748">
                  <c:v>4.8499999999999996</c:v>
                </c:pt>
                <c:pt idx="749">
                  <c:v>4.8600000000000003</c:v>
                </c:pt>
                <c:pt idx="750">
                  <c:v>4.8600000000000003</c:v>
                </c:pt>
                <c:pt idx="751">
                  <c:v>4.8600000000000003</c:v>
                </c:pt>
                <c:pt idx="752">
                  <c:v>4.8600000000000003</c:v>
                </c:pt>
                <c:pt idx="753">
                  <c:v>4.87</c:v>
                </c:pt>
                <c:pt idx="754">
                  <c:v>4.87</c:v>
                </c:pt>
                <c:pt idx="755">
                  <c:v>4.87</c:v>
                </c:pt>
                <c:pt idx="756">
                  <c:v>4.87</c:v>
                </c:pt>
                <c:pt idx="757">
                  <c:v>4.88</c:v>
                </c:pt>
                <c:pt idx="758">
                  <c:v>4.88</c:v>
                </c:pt>
                <c:pt idx="759">
                  <c:v>4.88</c:v>
                </c:pt>
                <c:pt idx="760">
                  <c:v>4.8899999999999997</c:v>
                </c:pt>
                <c:pt idx="761">
                  <c:v>4.8899999999999997</c:v>
                </c:pt>
                <c:pt idx="762">
                  <c:v>4.8899999999999997</c:v>
                </c:pt>
                <c:pt idx="763">
                  <c:v>4.8899999999999997</c:v>
                </c:pt>
                <c:pt idx="764">
                  <c:v>4.9000000000000004</c:v>
                </c:pt>
                <c:pt idx="765">
                  <c:v>4.9000000000000004</c:v>
                </c:pt>
                <c:pt idx="766">
                  <c:v>4.9000000000000004</c:v>
                </c:pt>
                <c:pt idx="767">
                  <c:v>4.9000000000000004</c:v>
                </c:pt>
                <c:pt idx="768">
                  <c:v>4.91</c:v>
                </c:pt>
                <c:pt idx="769">
                  <c:v>4.91</c:v>
                </c:pt>
                <c:pt idx="770">
                  <c:v>4.91</c:v>
                </c:pt>
                <c:pt idx="771">
                  <c:v>4.91</c:v>
                </c:pt>
                <c:pt idx="772">
                  <c:v>4.92</c:v>
                </c:pt>
                <c:pt idx="773">
                  <c:v>4.92</c:v>
                </c:pt>
                <c:pt idx="774">
                  <c:v>4.92</c:v>
                </c:pt>
                <c:pt idx="775">
                  <c:v>4.93</c:v>
                </c:pt>
                <c:pt idx="776">
                  <c:v>4.93</c:v>
                </c:pt>
                <c:pt idx="777">
                  <c:v>4.93</c:v>
                </c:pt>
              </c:numCache>
            </c:numRef>
          </c:xVal>
          <c:yVal>
            <c:numRef>
              <c:f>'Comparison with LiquefyPro'!$AW$5:$AW$782</c:f>
              <c:numCache>
                <c:formatCode>0.000</c:formatCode>
                <c:ptCount val="778"/>
                <c:pt idx="0">
                  <c:v>-0.57999999999999996</c:v>
                </c:pt>
                <c:pt idx="1">
                  <c:v>-0.6</c:v>
                </c:pt>
                <c:pt idx="2">
                  <c:v>-0.63</c:v>
                </c:pt>
                <c:pt idx="3">
                  <c:v>-0.65</c:v>
                </c:pt>
                <c:pt idx="4">
                  <c:v>-0.68</c:v>
                </c:pt>
                <c:pt idx="5">
                  <c:v>-0.7</c:v>
                </c:pt>
                <c:pt idx="6">
                  <c:v>-0.73</c:v>
                </c:pt>
                <c:pt idx="7">
                  <c:v>-0.75</c:v>
                </c:pt>
                <c:pt idx="8">
                  <c:v>-0.78</c:v>
                </c:pt>
                <c:pt idx="9">
                  <c:v>-0.8</c:v>
                </c:pt>
                <c:pt idx="10">
                  <c:v>-0.83</c:v>
                </c:pt>
                <c:pt idx="11">
                  <c:v>-0.85</c:v>
                </c:pt>
                <c:pt idx="12">
                  <c:v>-0.88</c:v>
                </c:pt>
                <c:pt idx="13">
                  <c:v>-0.9</c:v>
                </c:pt>
                <c:pt idx="14">
                  <c:v>-0.93</c:v>
                </c:pt>
                <c:pt idx="15">
                  <c:v>-0.95</c:v>
                </c:pt>
                <c:pt idx="16">
                  <c:v>-0.98</c:v>
                </c:pt>
                <c:pt idx="17">
                  <c:v>-1</c:v>
                </c:pt>
                <c:pt idx="18">
                  <c:v>-1.03</c:v>
                </c:pt>
                <c:pt idx="19">
                  <c:v>-1.05</c:v>
                </c:pt>
                <c:pt idx="20">
                  <c:v>-1.08</c:v>
                </c:pt>
                <c:pt idx="21">
                  <c:v>-1.1000000000000001</c:v>
                </c:pt>
                <c:pt idx="22">
                  <c:v>-1.1299999999999999</c:v>
                </c:pt>
                <c:pt idx="23">
                  <c:v>-1.1499999999999999</c:v>
                </c:pt>
                <c:pt idx="24">
                  <c:v>-1.18</c:v>
                </c:pt>
                <c:pt idx="25">
                  <c:v>-1.2</c:v>
                </c:pt>
                <c:pt idx="26">
                  <c:v>-1.23</c:v>
                </c:pt>
                <c:pt idx="27">
                  <c:v>-1.25</c:v>
                </c:pt>
                <c:pt idx="28">
                  <c:v>-1.28</c:v>
                </c:pt>
                <c:pt idx="29">
                  <c:v>-1.3</c:v>
                </c:pt>
                <c:pt idx="30">
                  <c:v>-1.33</c:v>
                </c:pt>
                <c:pt idx="31">
                  <c:v>-1.35</c:v>
                </c:pt>
                <c:pt idx="32">
                  <c:v>-1.38</c:v>
                </c:pt>
                <c:pt idx="33">
                  <c:v>-1.4</c:v>
                </c:pt>
                <c:pt idx="34">
                  <c:v>-1.43</c:v>
                </c:pt>
                <c:pt idx="35">
                  <c:v>-1.45</c:v>
                </c:pt>
                <c:pt idx="36">
                  <c:v>-1.48</c:v>
                </c:pt>
                <c:pt idx="37">
                  <c:v>-1.5</c:v>
                </c:pt>
                <c:pt idx="38">
                  <c:v>-1.53</c:v>
                </c:pt>
                <c:pt idx="39">
                  <c:v>-1.55</c:v>
                </c:pt>
                <c:pt idx="40">
                  <c:v>-1.58</c:v>
                </c:pt>
                <c:pt idx="41">
                  <c:v>-1.6</c:v>
                </c:pt>
                <c:pt idx="42">
                  <c:v>-1.63</c:v>
                </c:pt>
                <c:pt idx="43">
                  <c:v>-1.65</c:v>
                </c:pt>
                <c:pt idx="44">
                  <c:v>-1.68</c:v>
                </c:pt>
                <c:pt idx="45">
                  <c:v>-1.7</c:v>
                </c:pt>
                <c:pt idx="46">
                  <c:v>-1.73</c:v>
                </c:pt>
                <c:pt idx="47">
                  <c:v>-1.75</c:v>
                </c:pt>
                <c:pt idx="48">
                  <c:v>-1.78</c:v>
                </c:pt>
                <c:pt idx="49">
                  <c:v>-1.8</c:v>
                </c:pt>
                <c:pt idx="50">
                  <c:v>-1.83</c:v>
                </c:pt>
                <c:pt idx="51">
                  <c:v>-1.85</c:v>
                </c:pt>
                <c:pt idx="52">
                  <c:v>-1.88</c:v>
                </c:pt>
                <c:pt idx="53">
                  <c:v>-1.9</c:v>
                </c:pt>
                <c:pt idx="54">
                  <c:v>-1.93</c:v>
                </c:pt>
                <c:pt idx="55">
                  <c:v>-1.95</c:v>
                </c:pt>
                <c:pt idx="56">
                  <c:v>-1.98</c:v>
                </c:pt>
                <c:pt idx="57">
                  <c:v>-2</c:v>
                </c:pt>
                <c:pt idx="58">
                  <c:v>-2.0299999999999998</c:v>
                </c:pt>
                <c:pt idx="59">
                  <c:v>-2.0499999999999998</c:v>
                </c:pt>
                <c:pt idx="60">
                  <c:v>-2.08</c:v>
                </c:pt>
                <c:pt idx="61">
                  <c:v>-2.1</c:v>
                </c:pt>
                <c:pt idx="62">
                  <c:v>-2.13</c:v>
                </c:pt>
                <c:pt idx="63">
                  <c:v>-2.15</c:v>
                </c:pt>
                <c:pt idx="64">
                  <c:v>-2.1800000000000002</c:v>
                </c:pt>
                <c:pt idx="65">
                  <c:v>-2.2000000000000002</c:v>
                </c:pt>
                <c:pt idx="66">
                  <c:v>-2.23</c:v>
                </c:pt>
                <c:pt idx="67">
                  <c:v>-2.25</c:v>
                </c:pt>
                <c:pt idx="68">
                  <c:v>-2.2799999999999998</c:v>
                </c:pt>
                <c:pt idx="69">
                  <c:v>-2.2999999999999998</c:v>
                </c:pt>
                <c:pt idx="70">
                  <c:v>-2.33</c:v>
                </c:pt>
                <c:pt idx="71">
                  <c:v>-2.36</c:v>
                </c:pt>
                <c:pt idx="72">
                  <c:v>-2.38</c:v>
                </c:pt>
                <c:pt idx="73">
                  <c:v>-2.41</c:v>
                </c:pt>
                <c:pt idx="74">
                  <c:v>-2.4300000000000002</c:v>
                </c:pt>
                <c:pt idx="75">
                  <c:v>-2.46</c:v>
                </c:pt>
                <c:pt idx="76">
                  <c:v>-2.48</c:v>
                </c:pt>
                <c:pt idx="77">
                  <c:v>-2.5099999999999998</c:v>
                </c:pt>
                <c:pt idx="78">
                  <c:v>-2.5299999999999998</c:v>
                </c:pt>
                <c:pt idx="79">
                  <c:v>-2.56</c:v>
                </c:pt>
                <c:pt idx="80">
                  <c:v>-2.58</c:v>
                </c:pt>
                <c:pt idx="81">
                  <c:v>-2.61</c:v>
                </c:pt>
                <c:pt idx="82">
                  <c:v>-2.63</c:v>
                </c:pt>
                <c:pt idx="83">
                  <c:v>-2.66</c:v>
                </c:pt>
                <c:pt idx="84">
                  <c:v>-2.68</c:v>
                </c:pt>
                <c:pt idx="85">
                  <c:v>-2.71</c:v>
                </c:pt>
                <c:pt idx="86">
                  <c:v>-2.73</c:v>
                </c:pt>
                <c:pt idx="87">
                  <c:v>-2.76</c:v>
                </c:pt>
                <c:pt idx="88">
                  <c:v>-2.78</c:v>
                </c:pt>
                <c:pt idx="89">
                  <c:v>-2.81</c:v>
                </c:pt>
                <c:pt idx="90">
                  <c:v>-2.83</c:v>
                </c:pt>
                <c:pt idx="91">
                  <c:v>-2.86</c:v>
                </c:pt>
                <c:pt idx="92">
                  <c:v>-2.88</c:v>
                </c:pt>
                <c:pt idx="93">
                  <c:v>-2.91</c:v>
                </c:pt>
                <c:pt idx="94">
                  <c:v>-2.93</c:v>
                </c:pt>
                <c:pt idx="95">
                  <c:v>-2.96</c:v>
                </c:pt>
                <c:pt idx="96">
                  <c:v>-2.98</c:v>
                </c:pt>
                <c:pt idx="97">
                  <c:v>-3.01</c:v>
                </c:pt>
                <c:pt idx="98">
                  <c:v>-3.03</c:v>
                </c:pt>
                <c:pt idx="99">
                  <c:v>-3.06</c:v>
                </c:pt>
                <c:pt idx="100">
                  <c:v>-3.08</c:v>
                </c:pt>
                <c:pt idx="101">
                  <c:v>-3.11</c:v>
                </c:pt>
                <c:pt idx="102">
                  <c:v>-3.13</c:v>
                </c:pt>
                <c:pt idx="103">
                  <c:v>-3.16</c:v>
                </c:pt>
                <c:pt idx="104">
                  <c:v>-3.18</c:v>
                </c:pt>
                <c:pt idx="105">
                  <c:v>-3.21</c:v>
                </c:pt>
                <c:pt idx="106">
                  <c:v>-3.23</c:v>
                </c:pt>
                <c:pt idx="107">
                  <c:v>-3.26</c:v>
                </c:pt>
                <c:pt idx="108">
                  <c:v>-3.28</c:v>
                </c:pt>
                <c:pt idx="109">
                  <c:v>-3.31</c:v>
                </c:pt>
                <c:pt idx="110">
                  <c:v>-3.33</c:v>
                </c:pt>
                <c:pt idx="111">
                  <c:v>-3.36</c:v>
                </c:pt>
                <c:pt idx="112">
                  <c:v>-3.38</c:v>
                </c:pt>
                <c:pt idx="113">
                  <c:v>-3.41</c:v>
                </c:pt>
                <c:pt idx="114">
                  <c:v>-3.43</c:v>
                </c:pt>
                <c:pt idx="115">
                  <c:v>-3.46</c:v>
                </c:pt>
                <c:pt idx="116">
                  <c:v>-3.48</c:v>
                </c:pt>
                <c:pt idx="117">
                  <c:v>-3.51</c:v>
                </c:pt>
                <c:pt idx="118">
                  <c:v>-3.53</c:v>
                </c:pt>
                <c:pt idx="119">
                  <c:v>-3.56</c:v>
                </c:pt>
                <c:pt idx="120">
                  <c:v>-3.58</c:v>
                </c:pt>
                <c:pt idx="121">
                  <c:v>-3.61</c:v>
                </c:pt>
                <c:pt idx="122">
                  <c:v>-3.63</c:v>
                </c:pt>
                <c:pt idx="123">
                  <c:v>-3.66</c:v>
                </c:pt>
                <c:pt idx="124">
                  <c:v>-3.68</c:v>
                </c:pt>
                <c:pt idx="125">
                  <c:v>-3.71</c:v>
                </c:pt>
                <c:pt idx="126">
                  <c:v>-3.73</c:v>
                </c:pt>
                <c:pt idx="127">
                  <c:v>-3.76</c:v>
                </c:pt>
                <c:pt idx="128">
                  <c:v>-3.78</c:v>
                </c:pt>
                <c:pt idx="129">
                  <c:v>-3.81</c:v>
                </c:pt>
                <c:pt idx="130">
                  <c:v>-3.83</c:v>
                </c:pt>
                <c:pt idx="131">
                  <c:v>-3.86</c:v>
                </c:pt>
                <c:pt idx="132">
                  <c:v>-3.88</c:v>
                </c:pt>
                <c:pt idx="133">
                  <c:v>-3.91</c:v>
                </c:pt>
                <c:pt idx="134">
                  <c:v>-3.93</c:v>
                </c:pt>
                <c:pt idx="135">
                  <c:v>-3.96</c:v>
                </c:pt>
                <c:pt idx="136">
                  <c:v>-3.98</c:v>
                </c:pt>
                <c:pt idx="137">
                  <c:v>-4.01</c:v>
                </c:pt>
                <c:pt idx="138">
                  <c:v>-4.03</c:v>
                </c:pt>
                <c:pt idx="139">
                  <c:v>-4.0599999999999996</c:v>
                </c:pt>
                <c:pt idx="140">
                  <c:v>-4.08</c:v>
                </c:pt>
                <c:pt idx="141">
                  <c:v>-4.1100000000000003</c:v>
                </c:pt>
                <c:pt idx="142">
                  <c:v>-4.13</c:v>
                </c:pt>
                <c:pt idx="143">
                  <c:v>-4.16</c:v>
                </c:pt>
                <c:pt idx="144">
                  <c:v>-4.18</c:v>
                </c:pt>
                <c:pt idx="145">
                  <c:v>-4.21</c:v>
                </c:pt>
                <c:pt idx="146">
                  <c:v>-4.2300000000000004</c:v>
                </c:pt>
                <c:pt idx="147">
                  <c:v>-4.26</c:v>
                </c:pt>
                <c:pt idx="148">
                  <c:v>-4.28</c:v>
                </c:pt>
                <c:pt idx="149">
                  <c:v>-4.3099999999999996</c:v>
                </c:pt>
                <c:pt idx="150">
                  <c:v>-4.33</c:v>
                </c:pt>
                <c:pt idx="151">
                  <c:v>-4.3600000000000003</c:v>
                </c:pt>
                <c:pt idx="152">
                  <c:v>-4.38</c:v>
                </c:pt>
                <c:pt idx="153">
                  <c:v>-4.41</c:v>
                </c:pt>
                <c:pt idx="154">
                  <c:v>-4.43</c:v>
                </c:pt>
                <c:pt idx="155">
                  <c:v>-4.46</c:v>
                </c:pt>
                <c:pt idx="156">
                  <c:v>-4.4800000000000004</c:v>
                </c:pt>
                <c:pt idx="157">
                  <c:v>-4.51</c:v>
                </c:pt>
                <c:pt idx="158">
                  <c:v>-4.53</c:v>
                </c:pt>
                <c:pt idx="159">
                  <c:v>-4.5599999999999996</c:v>
                </c:pt>
                <c:pt idx="160">
                  <c:v>-4.58</c:v>
                </c:pt>
                <c:pt idx="161">
                  <c:v>-4.6100000000000003</c:v>
                </c:pt>
                <c:pt idx="162">
                  <c:v>-4.63</c:v>
                </c:pt>
                <c:pt idx="163">
                  <c:v>-4.66</c:v>
                </c:pt>
                <c:pt idx="164">
                  <c:v>-4.68</c:v>
                </c:pt>
                <c:pt idx="165">
                  <c:v>-4.71</c:v>
                </c:pt>
                <c:pt idx="166">
                  <c:v>-4.7300000000000004</c:v>
                </c:pt>
                <c:pt idx="167">
                  <c:v>-4.76</c:v>
                </c:pt>
                <c:pt idx="168">
                  <c:v>-4.78</c:v>
                </c:pt>
                <c:pt idx="169">
                  <c:v>-4.8099999999999996</c:v>
                </c:pt>
                <c:pt idx="170">
                  <c:v>-4.83</c:v>
                </c:pt>
                <c:pt idx="171">
                  <c:v>-4.8600000000000003</c:v>
                </c:pt>
                <c:pt idx="172">
                  <c:v>-4.88</c:v>
                </c:pt>
                <c:pt idx="173">
                  <c:v>-4.91</c:v>
                </c:pt>
                <c:pt idx="174">
                  <c:v>-4.93</c:v>
                </c:pt>
                <c:pt idx="175">
                  <c:v>-4.96</c:v>
                </c:pt>
                <c:pt idx="176">
                  <c:v>-4.9800000000000004</c:v>
                </c:pt>
                <c:pt idx="177">
                  <c:v>-5.01</c:v>
                </c:pt>
                <c:pt idx="178">
                  <c:v>-5.03</c:v>
                </c:pt>
                <c:pt idx="179">
                  <c:v>-5.0599999999999996</c:v>
                </c:pt>
                <c:pt idx="180">
                  <c:v>-5.08</c:v>
                </c:pt>
                <c:pt idx="181">
                  <c:v>-5.1100000000000003</c:v>
                </c:pt>
                <c:pt idx="182">
                  <c:v>-5.13</c:v>
                </c:pt>
                <c:pt idx="183">
                  <c:v>-5.16</c:v>
                </c:pt>
                <c:pt idx="184">
                  <c:v>-5.18</c:v>
                </c:pt>
                <c:pt idx="185">
                  <c:v>-5.21</c:v>
                </c:pt>
                <c:pt idx="186">
                  <c:v>-5.23</c:v>
                </c:pt>
                <c:pt idx="187">
                  <c:v>-5.26</c:v>
                </c:pt>
                <c:pt idx="188">
                  <c:v>-5.28</c:v>
                </c:pt>
                <c:pt idx="189">
                  <c:v>-5.31</c:v>
                </c:pt>
                <c:pt idx="190">
                  <c:v>-5.33</c:v>
                </c:pt>
                <c:pt idx="191">
                  <c:v>-5.36</c:v>
                </c:pt>
                <c:pt idx="192">
                  <c:v>-5.38</c:v>
                </c:pt>
                <c:pt idx="193">
                  <c:v>-5.41</c:v>
                </c:pt>
                <c:pt idx="194">
                  <c:v>-5.43</c:v>
                </c:pt>
                <c:pt idx="195">
                  <c:v>-5.46</c:v>
                </c:pt>
                <c:pt idx="196">
                  <c:v>-5.48</c:v>
                </c:pt>
                <c:pt idx="197">
                  <c:v>-5.51</c:v>
                </c:pt>
                <c:pt idx="198">
                  <c:v>-5.53</c:v>
                </c:pt>
                <c:pt idx="199">
                  <c:v>-5.56</c:v>
                </c:pt>
                <c:pt idx="200">
                  <c:v>-5.58</c:v>
                </c:pt>
                <c:pt idx="201">
                  <c:v>-5.61</c:v>
                </c:pt>
                <c:pt idx="202">
                  <c:v>-5.63</c:v>
                </c:pt>
                <c:pt idx="203">
                  <c:v>-5.66</c:v>
                </c:pt>
                <c:pt idx="204">
                  <c:v>-5.68</c:v>
                </c:pt>
                <c:pt idx="205">
                  <c:v>-5.71</c:v>
                </c:pt>
                <c:pt idx="206">
                  <c:v>-5.73</c:v>
                </c:pt>
                <c:pt idx="207">
                  <c:v>-5.76</c:v>
                </c:pt>
                <c:pt idx="208">
                  <c:v>-5.78</c:v>
                </c:pt>
                <c:pt idx="209">
                  <c:v>-5.81</c:v>
                </c:pt>
                <c:pt idx="210">
                  <c:v>-5.83</c:v>
                </c:pt>
                <c:pt idx="211">
                  <c:v>-5.86</c:v>
                </c:pt>
                <c:pt idx="212">
                  <c:v>-5.88</c:v>
                </c:pt>
                <c:pt idx="213">
                  <c:v>-5.91</c:v>
                </c:pt>
                <c:pt idx="214">
                  <c:v>-5.93</c:v>
                </c:pt>
                <c:pt idx="215">
                  <c:v>-5.96</c:v>
                </c:pt>
                <c:pt idx="216">
                  <c:v>-5.98</c:v>
                </c:pt>
                <c:pt idx="217">
                  <c:v>-6.01</c:v>
                </c:pt>
                <c:pt idx="218">
                  <c:v>-6.03</c:v>
                </c:pt>
                <c:pt idx="219">
                  <c:v>-6.06</c:v>
                </c:pt>
                <c:pt idx="220">
                  <c:v>-6.08</c:v>
                </c:pt>
                <c:pt idx="221">
                  <c:v>-6.11</c:v>
                </c:pt>
                <c:pt idx="222">
                  <c:v>-6.13</c:v>
                </c:pt>
                <c:pt idx="223">
                  <c:v>-6.16</c:v>
                </c:pt>
                <c:pt idx="224">
                  <c:v>-6.18</c:v>
                </c:pt>
                <c:pt idx="225">
                  <c:v>-6.21</c:v>
                </c:pt>
                <c:pt idx="226">
                  <c:v>-6.23</c:v>
                </c:pt>
                <c:pt idx="227">
                  <c:v>-6.26</c:v>
                </c:pt>
                <c:pt idx="228">
                  <c:v>-6.28</c:v>
                </c:pt>
                <c:pt idx="229">
                  <c:v>-6.31</c:v>
                </c:pt>
                <c:pt idx="230">
                  <c:v>-6.33</c:v>
                </c:pt>
                <c:pt idx="231">
                  <c:v>-6.36</c:v>
                </c:pt>
                <c:pt idx="232">
                  <c:v>-6.38</c:v>
                </c:pt>
                <c:pt idx="233">
                  <c:v>-6.41</c:v>
                </c:pt>
                <c:pt idx="234">
                  <c:v>-6.43</c:v>
                </c:pt>
                <c:pt idx="235">
                  <c:v>-6.46</c:v>
                </c:pt>
                <c:pt idx="236">
                  <c:v>-6.48</c:v>
                </c:pt>
                <c:pt idx="237">
                  <c:v>-6.51</c:v>
                </c:pt>
                <c:pt idx="238">
                  <c:v>-6.53</c:v>
                </c:pt>
                <c:pt idx="239">
                  <c:v>-6.56</c:v>
                </c:pt>
                <c:pt idx="240">
                  <c:v>-6.58</c:v>
                </c:pt>
                <c:pt idx="241">
                  <c:v>-6.61</c:v>
                </c:pt>
                <c:pt idx="242">
                  <c:v>-6.63</c:v>
                </c:pt>
                <c:pt idx="243">
                  <c:v>-6.66</c:v>
                </c:pt>
                <c:pt idx="244">
                  <c:v>-6.68</c:v>
                </c:pt>
                <c:pt idx="245">
                  <c:v>-6.71</c:v>
                </c:pt>
                <c:pt idx="246">
                  <c:v>-6.73</c:v>
                </c:pt>
                <c:pt idx="247">
                  <c:v>-6.76</c:v>
                </c:pt>
                <c:pt idx="248">
                  <c:v>-6.78</c:v>
                </c:pt>
                <c:pt idx="249">
                  <c:v>-6.81</c:v>
                </c:pt>
                <c:pt idx="250">
                  <c:v>-6.83</c:v>
                </c:pt>
                <c:pt idx="251">
                  <c:v>-6.86</c:v>
                </c:pt>
                <c:pt idx="252">
                  <c:v>-6.88</c:v>
                </c:pt>
                <c:pt idx="253">
                  <c:v>-6.91</c:v>
                </c:pt>
                <c:pt idx="254">
                  <c:v>-6.93</c:v>
                </c:pt>
                <c:pt idx="255">
                  <c:v>-6.96</c:v>
                </c:pt>
                <c:pt idx="256">
                  <c:v>-6.98</c:v>
                </c:pt>
                <c:pt idx="257">
                  <c:v>-7.01</c:v>
                </c:pt>
                <c:pt idx="258">
                  <c:v>-7.03</c:v>
                </c:pt>
                <c:pt idx="259">
                  <c:v>-7.06</c:v>
                </c:pt>
                <c:pt idx="260">
                  <c:v>-7.08</c:v>
                </c:pt>
                <c:pt idx="261">
                  <c:v>-7.11</c:v>
                </c:pt>
                <c:pt idx="262">
                  <c:v>-7.13</c:v>
                </c:pt>
                <c:pt idx="263">
                  <c:v>-7.16</c:v>
                </c:pt>
                <c:pt idx="264">
                  <c:v>-7.18</c:v>
                </c:pt>
                <c:pt idx="265">
                  <c:v>-7.21</c:v>
                </c:pt>
                <c:pt idx="266">
                  <c:v>-7.23</c:v>
                </c:pt>
                <c:pt idx="267">
                  <c:v>-7.26</c:v>
                </c:pt>
                <c:pt idx="268">
                  <c:v>-7.28</c:v>
                </c:pt>
                <c:pt idx="269">
                  <c:v>-7.31</c:v>
                </c:pt>
                <c:pt idx="270">
                  <c:v>-7.33</c:v>
                </c:pt>
                <c:pt idx="271">
                  <c:v>-7.36</c:v>
                </c:pt>
                <c:pt idx="272">
                  <c:v>-7.38</c:v>
                </c:pt>
                <c:pt idx="273">
                  <c:v>-7.41</c:v>
                </c:pt>
                <c:pt idx="274">
                  <c:v>-7.43</c:v>
                </c:pt>
                <c:pt idx="275">
                  <c:v>-7.46</c:v>
                </c:pt>
                <c:pt idx="276">
                  <c:v>-7.48</c:v>
                </c:pt>
                <c:pt idx="277">
                  <c:v>-7.51</c:v>
                </c:pt>
                <c:pt idx="278">
                  <c:v>-7.53</c:v>
                </c:pt>
                <c:pt idx="279">
                  <c:v>-7.56</c:v>
                </c:pt>
                <c:pt idx="280">
                  <c:v>-7.58</c:v>
                </c:pt>
                <c:pt idx="281">
                  <c:v>-7.61</c:v>
                </c:pt>
                <c:pt idx="282">
                  <c:v>-7.63</c:v>
                </c:pt>
                <c:pt idx="283">
                  <c:v>-7.66</c:v>
                </c:pt>
                <c:pt idx="284">
                  <c:v>-7.68</c:v>
                </c:pt>
                <c:pt idx="285">
                  <c:v>-7.71</c:v>
                </c:pt>
                <c:pt idx="286">
                  <c:v>-7.73</c:v>
                </c:pt>
                <c:pt idx="287">
                  <c:v>-7.76</c:v>
                </c:pt>
                <c:pt idx="288">
                  <c:v>-7.78</c:v>
                </c:pt>
                <c:pt idx="289">
                  <c:v>-7.81</c:v>
                </c:pt>
                <c:pt idx="290">
                  <c:v>-7.83</c:v>
                </c:pt>
                <c:pt idx="291">
                  <c:v>-7.86</c:v>
                </c:pt>
                <c:pt idx="292">
                  <c:v>-7.88</c:v>
                </c:pt>
                <c:pt idx="293">
                  <c:v>-7.91</c:v>
                </c:pt>
                <c:pt idx="294">
                  <c:v>-7.93</c:v>
                </c:pt>
                <c:pt idx="295">
                  <c:v>-7.96</c:v>
                </c:pt>
                <c:pt idx="296">
                  <c:v>-7.98</c:v>
                </c:pt>
                <c:pt idx="297">
                  <c:v>-8.01</c:v>
                </c:pt>
                <c:pt idx="298">
                  <c:v>-8.0299999999999994</c:v>
                </c:pt>
                <c:pt idx="299">
                  <c:v>-8.06</c:v>
                </c:pt>
                <c:pt idx="300">
                  <c:v>-8.08</c:v>
                </c:pt>
                <c:pt idx="301">
                  <c:v>-8.11</c:v>
                </c:pt>
                <c:pt idx="302">
                  <c:v>-8.1300000000000008</c:v>
                </c:pt>
                <c:pt idx="303">
                  <c:v>-8.16</c:v>
                </c:pt>
                <c:pt idx="304">
                  <c:v>-8.18</c:v>
                </c:pt>
                <c:pt idx="305">
                  <c:v>-8.2100000000000009</c:v>
                </c:pt>
                <c:pt idx="306">
                  <c:v>-8.23</c:v>
                </c:pt>
                <c:pt idx="307">
                  <c:v>-8.26</c:v>
                </c:pt>
                <c:pt idx="308">
                  <c:v>-8.2799999999999994</c:v>
                </c:pt>
                <c:pt idx="309">
                  <c:v>-8.31</c:v>
                </c:pt>
                <c:pt idx="310">
                  <c:v>-8.33</c:v>
                </c:pt>
                <c:pt idx="311">
                  <c:v>-8.36</c:v>
                </c:pt>
                <c:pt idx="312">
                  <c:v>-8.3800000000000008</c:v>
                </c:pt>
                <c:pt idx="313">
                  <c:v>-8.41</c:v>
                </c:pt>
                <c:pt idx="314">
                  <c:v>-8.43</c:v>
                </c:pt>
                <c:pt idx="315">
                  <c:v>-8.4600000000000009</c:v>
                </c:pt>
                <c:pt idx="316">
                  <c:v>-8.48</c:v>
                </c:pt>
                <c:pt idx="317">
                  <c:v>-8.51</c:v>
                </c:pt>
                <c:pt idx="318">
                  <c:v>-8.5299999999999994</c:v>
                </c:pt>
                <c:pt idx="319">
                  <c:v>-8.56</c:v>
                </c:pt>
                <c:pt idx="320">
                  <c:v>-8.58</c:v>
                </c:pt>
                <c:pt idx="321">
                  <c:v>-8.61</c:v>
                </c:pt>
                <c:pt idx="322">
                  <c:v>-8.6300000000000008</c:v>
                </c:pt>
                <c:pt idx="323">
                  <c:v>-8.66</c:v>
                </c:pt>
                <c:pt idx="324">
                  <c:v>-8.68</c:v>
                </c:pt>
                <c:pt idx="325">
                  <c:v>-8.7100000000000009</c:v>
                </c:pt>
                <c:pt idx="326">
                  <c:v>-8.73</c:v>
                </c:pt>
                <c:pt idx="327">
                  <c:v>-8.76</c:v>
                </c:pt>
                <c:pt idx="328">
                  <c:v>-8.7799999999999994</c:v>
                </c:pt>
                <c:pt idx="329">
                  <c:v>-8.81</c:v>
                </c:pt>
                <c:pt idx="330">
                  <c:v>-8.83</c:v>
                </c:pt>
                <c:pt idx="331">
                  <c:v>-8.86</c:v>
                </c:pt>
                <c:pt idx="332">
                  <c:v>-8.8800000000000008</c:v>
                </c:pt>
                <c:pt idx="333">
                  <c:v>-8.91</c:v>
                </c:pt>
                <c:pt idx="334">
                  <c:v>-8.93</c:v>
                </c:pt>
                <c:pt idx="335">
                  <c:v>-8.9600000000000009</c:v>
                </c:pt>
                <c:pt idx="336">
                  <c:v>-8.98</c:v>
                </c:pt>
                <c:pt idx="337">
                  <c:v>-9.01</c:v>
                </c:pt>
                <c:pt idx="338">
                  <c:v>-9.0299999999999994</c:v>
                </c:pt>
                <c:pt idx="339">
                  <c:v>-9.06</c:v>
                </c:pt>
                <c:pt idx="340">
                  <c:v>-9.08</c:v>
                </c:pt>
                <c:pt idx="341">
                  <c:v>-9.11</c:v>
                </c:pt>
                <c:pt idx="342">
                  <c:v>-9.1300000000000008</c:v>
                </c:pt>
                <c:pt idx="343">
                  <c:v>-9.16</c:v>
                </c:pt>
                <c:pt idx="344">
                  <c:v>-9.18</c:v>
                </c:pt>
                <c:pt idx="345">
                  <c:v>-9.2100000000000009</c:v>
                </c:pt>
                <c:pt idx="346">
                  <c:v>-9.23</c:v>
                </c:pt>
                <c:pt idx="347">
                  <c:v>-9.26</c:v>
                </c:pt>
                <c:pt idx="348">
                  <c:v>-9.2799999999999994</c:v>
                </c:pt>
                <c:pt idx="349">
                  <c:v>-9.31</c:v>
                </c:pt>
                <c:pt idx="350">
                  <c:v>-9.33</c:v>
                </c:pt>
                <c:pt idx="351">
                  <c:v>-9.36</c:v>
                </c:pt>
                <c:pt idx="352">
                  <c:v>-9.3800000000000008</c:v>
                </c:pt>
                <c:pt idx="353">
                  <c:v>-9.4</c:v>
                </c:pt>
                <c:pt idx="354">
                  <c:v>-9.43</c:v>
                </c:pt>
                <c:pt idx="355">
                  <c:v>-9.4499999999999993</c:v>
                </c:pt>
                <c:pt idx="356">
                  <c:v>-9.48</c:v>
                </c:pt>
                <c:pt idx="357">
                  <c:v>-9.5</c:v>
                </c:pt>
                <c:pt idx="358">
                  <c:v>-9.5299999999999994</c:v>
                </c:pt>
                <c:pt idx="359">
                  <c:v>-9.5500000000000007</c:v>
                </c:pt>
                <c:pt idx="360">
                  <c:v>-9.58</c:v>
                </c:pt>
                <c:pt idx="361">
                  <c:v>-9.6</c:v>
                </c:pt>
                <c:pt idx="362">
                  <c:v>-9.6300000000000008</c:v>
                </c:pt>
                <c:pt idx="363">
                  <c:v>-9.65</c:v>
                </c:pt>
                <c:pt idx="364">
                  <c:v>-9.68</c:v>
                </c:pt>
                <c:pt idx="365">
                  <c:v>-9.6999999999999993</c:v>
                </c:pt>
                <c:pt idx="366">
                  <c:v>-9.73</c:v>
                </c:pt>
                <c:pt idx="367">
                  <c:v>-9.75</c:v>
                </c:pt>
                <c:pt idx="368">
                  <c:v>-9.7799999999999994</c:v>
                </c:pt>
                <c:pt idx="369">
                  <c:v>-9.8000000000000007</c:v>
                </c:pt>
                <c:pt idx="370">
                  <c:v>-9.83</c:v>
                </c:pt>
                <c:pt idx="371">
                  <c:v>-9.85</c:v>
                </c:pt>
                <c:pt idx="372">
                  <c:v>-9.8800000000000008</c:v>
                </c:pt>
                <c:pt idx="373">
                  <c:v>-9.9</c:v>
                </c:pt>
                <c:pt idx="374">
                  <c:v>-9.93</c:v>
                </c:pt>
                <c:pt idx="375">
                  <c:v>-9.9499999999999993</c:v>
                </c:pt>
                <c:pt idx="376">
                  <c:v>-9.98</c:v>
                </c:pt>
                <c:pt idx="377">
                  <c:v>-10</c:v>
                </c:pt>
                <c:pt idx="378">
                  <c:v>-10.029999999999999</c:v>
                </c:pt>
                <c:pt idx="379">
                  <c:v>-10.050000000000001</c:v>
                </c:pt>
                <c:pt idx="380">
                  <c:v>-10.08</c:v>
                </c:pt>
                <c:pt idx="381">
                  <c:v>-10.1</c:v>
                </c:pt>
                <c:pt idx="382">
                  <c:v>-10.130000000000001</c:v>
                </c:pt>
                <c:pt idx="383">
                  <c:v>-10.15</c:v>
                </c:pt>
                <c:pt idx="384">
                  <c:v>-10.18</c:v>
                </c:pt>
                <c:pt idx="385">
                  <c:v>-10.199999999999999</c:v>
                </c:pt>
                <c:pt idx="386">
                  <c:v>-10.23</c:v>
                </c:pt>
                <c:pt idx="387">
                  <c:v>-10.25</c:v>
                </c:pt>
                <c:pt idx="388">
                  <c:v>-10.28</c:v>
                </c:pt>
                <c:pt idx="389">
                  <c:v>-10.3</c:v>
                </c:pt>
                <c:pt idx="390">
                  <c:v>-10.33</c:v>
                </c:pt>
                <c:pt idx="391">
                  <c:v>-10.35</c:v>
                </c:pt>
                <c:pt idx="392">
                  <c:v>-10.38</c:v>
                </c:pt>
                <c:pt idx="393">
                  <c:v>-10.4</c:v>
                </c:pt>
                <c:pt idx="394">
                  <c:v>-10.43</c:v>
                </c:pt>
                <c:pt idx="395">
                  <c:v>-10.45</c:v>
                </c:pt>
                <c:pt idx="396">
                  <c:v>-10.48</c:v>
                </c:pt>
                <c:pt idx="397">
                  <c:v>-10.5</c:v>
                </c:pt>
                <c:pt idx="398">
                  <c:v>-10.53</c:v>
                </c:pt>
                <c:pt idx="399">
                  <c:v>-10.55</c:v>
                </c:pt>
                <c:pt idx="400">
                  <c:v>-10.58</c:v>
                </c:pt>
                <c:pt idx="401">
                  <c:v>-10.6</c:v>
                </c:pt>
                <c:pt idx="402">
                  <c:v>-10.63</c:v>
                </c:pt>
                <c:pt idx="403">
                  <c:v>-10.65</c:v>
                </c:pt>
                <c:pt idx="404">
                  <c:v>-10.68</c:v>
                </c:pt>
                <c:pt idx="405">
                  <c:v>-10.7</c:v>
                </c:pt>
                <c:pt idx="406">
                  <c:v>-10.73</c:v>
                </c:pt>
                <c:pt idx="407">
                  <c:v>-10.75</c:v>
                </c:pt>
                <c:pt idx="408">
                  <c:v>-10.78</c:v>
                </c:pt>
                <c:pt idx="409">
                  <c:v>-10.8</c:v>
                </c:pt>
                <c:pt idx="410">
                  <c:v>-10.83</c:v>
                </c:pt>
                <c:pt idx="411">
                  <c:v>-10.85</c:v>
                </c:pt>
                <c:pt idx="412">
                  <c:v>-10.88</c:v>
                </c:pt>
                <c:pt idx="413">
                  <c:v>-10.9</c:v>
                </c:pt>
                <c:pt idx="414">
                  <c:v>-10.93</c:v>
                </c:pt>
                <c:pt idx="415">
                  <c:v>-10.95</c:v>
                </c:pt>
                <c:pt idx="416">
                  <c:v>-10.98</c:v>
                </c:pt>
                <c:pt idx="417">
                  <c:v>-11</c:v>
                </c:pt>
                <c:pt idx="418">
                  <c:v>-11.03</c:v>
                </c:pt>
                <c:pt idx="419">
                  <c:v>-11.05</c:v>
                </c:pt>
                <c:pt idx="420">
                  <c:v>-11.08</c:v>
                </c:pt>
                <c:pt idx="421">
                  <c:v>-11.1</c:v>
                </c:pt>
                <c:pt idx="422">
                  <c:v>-11.13</c:v>
                </c:pt>
                <c:pt idx="423">
                  <c:v>-11.15</c:v>
                </c:pt>
                <c:pt idx="424">
                  <c:v>-11.18</c:v>
                </c:pt>
                <c:pt idx="425">
                  <c:v>-11.2</c:v>
                </c:pt>
                <c:pt idx="426">
                  <c:v>-11.23</c:v>
                </c:pt>
                <c:pt idx="427">
                  <c:v>-11.25</c:v>
                </c:pt>
                <c:pt idx="428">
                  <c:v>-11.28</c:v>
                </c:pt>
                <c:pt idx="429">
                  <c:v>-11.3</c:v>
                </c:pt>
                <c:pt idx="430">
                  <c:v>-11.33</c:v>
                </c:pt>
                <c:pt idx="431">
                  <c:v>-11.35</c:v>
                </c:pt>
                <c:pt idx="432">
                  <c:v>-11.38</c:v>
                </c:pt>
                <c:pt idx="433">
                  <c:v>-11.4</c:v>
                </c:pt>
                <c:pt idx="434">
                  <c:v>-11.43</c:v>
                </c:pt>
                <c:pt idx="435">
                  <c:v>-11.45</c:v>
                </c:pt>
                <c:pt idx="436">
                  <c:v>-11.48</c:v>
                </c:pt>
                <c:pt idx="437">
                  <c:v>-11.5</c:v>
                </c:pt>
                <c:pt idx="438">
                  <c:v>-11.53</c:v>
                </c:pt>
                <c:pt idx="439">
                  <c:v>-11.55</c:v>
                </c:pt>
                <c:pt idx="440">
                  <c:v>-11.58</c:v>
                </c:pt>
                <c:pt idx="441">
                  <c:v>-11.6</c:v>
                </c:pt>
                <c:pt idx="442">
                  <c:v>-11.63</c:v>
                </c:pt>
                <c:pt idx="443">
                  <c:v>-11.65</c:v>
                </c:pt>
                <c:pt idx="444">
                  <c:v>-11.68</c:v>
                </c:pt>
                <c:pt idx="445">
                  <c:v>-11.7</c:v>
                </c:pt>
                <c:pt idx="446">
                  <c:v>-11.73</c:v>
                </c:pt>
                <c:pt idx="447">
                  <c:v>-11.75</c:v>
                </c:pt>
                <c:pt idx="448">
                  <c:v>-11.78</c:v>
                </c:pt>
                <c:pt idx="449">
                  <c:v>-11.8</c:v>
                </c:pt>
                <c:pt idx="450">
                  <c:v>-11.83</c:v>
                </c:pt>
                <c:pt idx="451">
                  <c:v>-11.85</c:v>
                </c:pt>
                <c:pt idx="452">
                  <c:v>-11.88</c:v>
                </c:pt>
                <c:pt idx="453">
                  <c:v>-11.9</c:v>
                </c:pt>
                <c:pt idx="454">
                  <c:v>-11.93</c:v>
                </c:pt>
                <c:pt idx="455">
                  <c:v>-11.95</c:v>
                </c:pt>
                <c:pt idx="456">
                  <c:v>-11.98</c:v>
                </c:pt>
                <c:pt idx="457">
                  <c:v>-12</c:v>
                </c:pt>
                <c:pt idx="458">
                  <c:v>-12.03</c:v>
                </c:pt>
                <c:pt idx="459">
                  <c:v>-12.05</c:v>
                </c:pt>
                <c:pt idx="460">
                  <c:v>-12.08</c:v>
                </c:pt>
                <c:pt idx="461">
                  <c:v>-12.1</c:v>
                </c:pt>
                <c:pt idx="462">
                  <c:v>-12.13</c:v>
                </c:pt>
                <c:pt idx="463">
                  <c:v>-12.15</c:v>
                </c:pt>
                <c:pt idx="464">
                  <c:v>-12.18</c:v>
                </c:pt>
                <c:pt idx="465">
                  <c:v>-12.2</c:v>
                </c:pt>
                <c:pt idx="466">
                  <c:v>-12.23</c:v>
                </c:pt>
                <c:pt idx="467">
                  <c:v>-12.25</c:v>
                </c:pt>
                <c:pt idx="468">
                  <c:v>-12.28</c:v>
                </c:pt>
                <c:pt idx="469">
                  <c:v>-12.3</c:v>
                </c:pt>
                <c:pt idx="470">
                  <c:v>-12.33</c:v>
                </c:pt>
                <c:pt idx="471">
                  <c:v>-12.35</c:v>
                </c:pt>
                <c:pt idx="472">
                  <c:v>-12.38</c:v>
                </c:pt>
                <c:pt idx="473">
                  <c:v>-12.4</c:v>
                </c:pt>
                <c:pt idx="474">
                  <c:v>-12.43</c:v>
                </c:pt>
                <c:pt idx="475">
                  <c:v>-12.45</c:v>
                </c:pt>
                <c:pt idx="476">
                  <c:v>-12.48</c:v>
                </c:pt>
                <c:pt idx="477">
                  <c:v>-12.5</c:v>
                </c:pt>
                <c:pt idx="478">
                  <c:v>-12.53</c:v>
                </c:pt>
                <c:pt idx="479">
                  <c:v>-12.55</c:v>
                </c:pt>
                <c:pt idx="480">
                  <c:v>-12.58</c:v>
                </c:pt>
                <c:pt idx="481">
                  <c:v>-12.6</c:v>
                </c:pt>
                <c:pt idx="482">
                  <c:v>-12.63</c:v>
                </c:pt>
                <c:pt idx="483">
                  <c:v>-12.65</c:v>
                </c:pt>
                <c:pt idx="484">
                  <c:v>-12.68</c:v>
                </c:pt>
                <c:pt idx="485">
                  <c:v>-12.7</c:v>
                </c:pt>
                <c:pt idx="486">
                  <c:v>-12.73</c:v>
                </c:pt>
                <c:pt idx="487">
                  <c:v>-12.75</c:v>
                </c:pt>
                <c:pt idx="488">
                  <c:v>-12.78</c:v>
                </c:pt>
                <c:pt idx="489">
                  <c:v>-12.8</c:v>
                </c:pt>
                <c:pt idx="490">
                  <c:v>-12.83</c:v>
                </c:pt>
                <c:pt idx="491">
                  <c:v>-12.85</c:v>
                </c:pt>
                <c:pt idx="492">
                  <c:v>-12.88</c:v>
                </c:pt>
                <c:pt idx="493">
                  <c:v>-12.9</c:v>
                </c:pt>
                <c:pt idx="494">
                  <c:v>-12.93</c:v>
                </c:pt>
                <c:pt idx="495">
                  <c:v>-12.95</c:v>
                </c:pt>
                <c:pt idx="496">
                  <c:v>-12.98</c:v>
                </c:pt>
                <c:pt idx="497">
                  <c:v>-13</c:v>
                </c:pt>
                <c:pt idx="498">
                  <c:v>-13.03</c:v>
                </c:pt>
                <c:pt idx="499">
                  <c:v>-13.05</c:v>
                </c:pt>
                <c:pt idx="500">
                  <c:v>-13.08</c:v>
                </c:pt>
                <c:pt idx="501">
                  <c:v>-13.1</c:v>
                </c:pt>
                <c:pt idx="502">
                  <c:v>-13.13</c:v>
                </c:pt>
                <c:pt idx="503">
                  <c:v>-13.15</c:v>
                </c:pt>
                <c:pt idx="504">
                  <c:v>-13.18</c:v>
                </c:pt>
                <c:pt idx="505">
                  <c:v>-13.2</c:v>
                </c:pt>
                <c:pt idx="506">
                  <c:v>-13.23</c:v>
                </c:pt>
                <c:pt idx="507">
                  <c:v>-13.25</c:v>
                </c:pt>
                <c:pt idx="508">
                  <c:v>-13.28</c:v>
                </c:pt>
                <c:pt idx="509">
                  <c:v>-13.3</c:v>
                </c:pt>
                <c:pt idx="510">
                  <c:v>-13.33</c:v>
                </c:pt>
                <c:pt idx="511">
                  <c:v>-13.35</c:v>
                </c:pt>
                <c:pt idx="512">
                  <c:v>-13.38</c:v>
                </c:pt>
                <c:pt idx="513">
                  <c:v>-13.4</c:v>
                </c:pt>
                <c:pt idx="514">
                  <c:v>-13.43</c:v>
                </c:pt>
                <c:pt idx="515">
                  <c:v>-13.45</c:v>
                </c:pt>
                <c:pt idx="516">
                  <c:v>-13.48</c:v>
                </c:pt>
                <c:pt idx="517">
                  <c:v>-13.5</c:v>
                </c:pt>
                <c:pt idx="518">
                  <c:v>-13.53</c:v>
                </c:pt>
                <c:pt idx="519">
                  <c:v>-13.55</c:v>
                </c:pt>
                <c:pt idx="520">
                  <c:v>-13.58</c:v>
                </c:pt>
                <c:pt idx="521">
                  <c:v>-13.6</c:v>
                </c:pt>
                <c:pt idx="522">
                  <c:v>-13.63</c:v>
                </c:pt>
                <c:pt idx="523">
                  <c:v>-13.65</c:v>
                </c:pt>
                <c:pt idx="524">
                  <c:v>-13.68</c:v>
                </c:pt>
                <c:pt idx="525">
                  <c:v>-13.7</c:v>
                </c:pt>
                <c:pt idx="526">
                  <c:v>-13.73</c:v>
                </c:pt>
                <c:pt idx="527">
                  <c:v>-13.75</c:v>
                </c:pt>
                <c:pt idx="528">
                  <c:v>-13.78</c:v>
                </c:pt>
                <c:pt idx="529">
                  <c:v>-13.8</c:v>
                </c:pt>
                <c:pt idx="530">
                  <c:v>-13.83</c:v>
                </c:pt>
                <c:pt idx="531">
                  <c:v>-13.85</c:v>
                </c:pt>
                <c:pt idx="532">
                  <c:v>-13.88</c:v>
                </c:pt>
                <c:pt idx="533">
                  <c:v>-13.9</c:v>
                </c:pt>
                <c:pt idx="534">
                  <c:v>-13.93</c:v>
                </c:pt>
                <c:pt idx="535">
                  <c:v>-13.95</c:v>
                </c:pt>
                <c:pt idx="536">
                  <c:v>-13.98</c:v>
                </c:pt>
                <c:pt idx="537">
                  <c:v>-14</c:v>
                </c:pt>
                <c:pt idx="538">
                  <c:v>-14.03</c:v>
                </c:pt>
                <c:pt idx="539">
                  <c:v>-14.05</c:v>
                </c:pt>
                <c:pt idx="540">
                  <c:v>-14.08</c:v>
                </c:pt>
                <c:pt idx="541">
                  <c:v>-14.1</c:v>
                </c:pt>
                <c:pt idx="542">
                  <c:v>-14.13</c:v>
                </c:pt>
                <c:pt idx="543">
                  <c:v>-14.15</c:v>
                </c:pt>
                <c:pt idx="544">
                  <c:v>-14.18</c:v>
                </c:pt>
                <c:pt idx="545">
                  <c:v>-14.2</c:v>
                </c:pt>
                <c:pt idx="546">
                  <c:v>-14.23</c:v>
                </c:pt>
                <c:pt idx="547">
                  <c:v>-14.25</c:v>
                </c:pt>
                <c:pt idx="548">
                  <c:v>-14.28</c:v>
                </c:pt>
                <c:pt idx="549">
                  <c:v>-14.3</c:v>
                </c:pt>
                <c:pt idx="550">
                  <c:v>-14.33</c:v>
                </c:pt>
                <c:pt idx="551">
                  <c:v>-14.35</c:v>
                </c:pt>
                <c:pt idx="552">
                  <c:v>-14.38</c:v>
                </c:pt>
                <c:pt idx="553">
                  <c:v>-14.4</c:v>
                </c:pt>
                <c:pt idx="554">
                  <c:v>-14.43</c:v>
                </c:pt>
                <c:pt idx="555">
                  <c:v>-14.45</c:v>
                </c:pt>
                <c:pt idx="556">
                  <c:v>-14.48</c:v>
                </c:pt>
                <c:pt idx="557">
                  <c:v>-14.5</c:v>
                </c:pt>
                <c:pt idx="558">
                  <c:v>-14.53</c:v>
                </c:pt>
                <c:pt idx="559">
                  <c:v>-14.55</c:v>
                </c:pt>
                <c:pt idx="560">
                  <c:v>-14.58</c:v>
                </c:pt>
                <c:pt idx="561">
                  <c:v>-14.6</c:v>
                </c:pt>
                <c:pt idx="562">
                  <c:v>-14.63</c:v>
                </c:pt>
                <c:pt idx="563">
                  <c:v>-14.65</c:v>
                </c:pt>
                <c:pt idx="564">
                  <c:v>-14.68</c:v>
                </c:pt>
                <c:pt idx="565">
                  <c:v>-14.7</c:v>
                </c:pt>
                <c:pt idx="566">
                  <c:v>-14.73</c:v>
                </c:pt>
                <c:pt idx="567">
                  <c:v>-14.75</c:v>
                </c:pt>
                <c:pt idx="568">
                  <c:v>-14.78</c:v>
                </c:pt>
                <c:pt idx="569">
                  <c:v>-14.8</c:v>
                </c:pt>
                <c:pt idx="570">
                  <c:v>-14.83</c:v>
                </c:pt>
                <c:pt idx="571">
                  <c:v>-14.85</c:v>
                </c:pt>
                <c:pt idx="572">
                  <c:v>-14.88</c:v>
                </c:pt>
                <c:pt idx="573">
                  <c:v>-14.9</c:v>
                </c:pt>
                <c:pt idx="574">
                  <c:v>-14.93</c:v>
                </c:pt>
                <c:pt idx="575">
                  <c:v>-14.95</c:v>
                </c:pt>
                <c:pt idx="576">
                  <c:v>-14.98</c:v>
                </c:pt>
                <c:pt idx="577">
                  <c:v>-15</c:v>
                </c:pt>
                <c:pt idx="578">
                  <c:v>-15.03</c:v>
                </c:pt>
                <c:pt idx="579">
                  <c:v>-15.05</c:v>
                </c:pt>
                <c:pt idx="580">
                  <c:v>-15.08</c:v>
                </c:pt>
                <c:pt idx="581">
                  <c:v>-15.1</c:v>
                </c:pt>
                <c:pt idx="582">
                  <c:v>-15.13</c:v>
                </c:pt>
                <c:pt idx="583">
                  <c:v>-15.15</c:v>
                </c:pt>
                <c:pt idx="584">
                  <c:v>-15.18</c:v>
                </c:pt>
                <c:pt idx="585">
                  <c:v>-15.2</c:v>
                </c:pt>
                <c:pt idx="586">
                  <c:v>-15.23</c:v>
                </c:pt>
                <c:pt idx="587">
                  <c:v>-15.25</c:v>
                </c:pt>
                <c:pt idx="588">
                  <c:v>-15.28</c:v>
                </c:pt>
                <c:pt idx="589">
                  <c:v>-15.3</c:v>
                </c:pt>
                <c:pt idx="590">
                  <c:v>-15.33</c:v>
                </c:pt>
                <c:pt idx="591">
                  <c:v>-15.35</c:v>
                </c:pt>
                <c:pt idx="592">
                  <c:v>-15.38</c:v>
                </c:pt>
                <c:pt idx="593">
                  <c:v>-15.4</c:v>
                </c:pt>
                <c:pt idx="594">
                  <c:v>-15.43</c:v>
                </c:pt>
                <c:pt idx="595">
                  <c:v>-15.45</c:v>
                </c:pt>
                <c:pt idx="596">
                  <c:v>-15.48</c:v>
                </c:pt>
                <c:pt idx="597">
                  <c:v>-15.5</c:v>
                </c:pt>
                <c:pt idx="598">
                  <c:v>-15.53</c:v>
                </c:pt>
                <c:pt idx="599">
                  <c:v>-15.55</c:v>
                </c:pt>
                <c:pt idx="600">
                  <c:v>-15.58</c:v>
                </c:pt>
                <c:pt idx="601">
                  <c:v>-15.6</c:v>
                </c:pt>
                <c:pt idx="602">
                  <c:v>-15.63</c:v>
                </c:pt>
                <c:pt idx="603">
                  <c:v>-15.65</c:v>
                </c:pt>
                <c:pt idx="604">
                  <c:v>-15.68</c:v>
                </c:pt>
                <c:pt idx="605">
                  <c:v>-15.7</c:v>
                </c:pt>
                <c:pt idx="606">
                  <c:v>-15.73</c:v>
                </c:pt>
                <c:pt idx="607">
                  <c:v>-15.75</c:v>
                </c:pt>
                <c:pt idx="608">
                  <c:v>-15.78</c:v>
                </c:pt>
                <c:pt idx="609">
                  <c:v>-15.8</c:v>
                </c:pt>
                <c:pt idx="610">
                  <c:v>-15.83</c:v>
                </c:pt>
                <c:pt idx="611">
                  <c:v>-15.85</c:v>
                </c:pt>
                <c:pt idx="612">
                  <c:v>-15.88</c:v>
                </c:pt>
                <c:pt idx="613">
                  <c:v>-15.9</c:v>
                </c:pt>
                <c:pt idx="614">
                  <c:v>-15.93</c:v>
                </c:pt>
                <c:pt idx="615">
                  <c:v>-15.95</c:v>
                </c:pt>
                <c:pt idx="616">
                  <c:v>-15.98</c:v>
                </c:pt>
                <c:pt idx="617">
                  <c:v>-16</c:v>
                </c:pt>
                <c:pt idx="618">
                  <c:v>-16.03</c:v>
                </c:pt>
                <c:pt idx="619">
                  <c:v>-16.05</c:v>
                </c:pt>
                <c:pt idx="620">
                  <c:v>-16.079999999999998</c:v>
                </c:pt>
                <c:pt idx="621">
                  <c:v>-16.100000000000001</c:v>
                </c:pt>
                <c:pt idx="622">
                  <c:v>-16.13</c:v>
                </c:pt>
                <c:pt idx="623">
                  <c:v>-16.149999999999999</c:v>
                </c:pt>
                <c:pt idx="624">
                  <c:v>-16.18</c:v>
                </c:pt>
                <c:pt idx="625">
                  <c:v>-16.2</c:v>
                </c:pt>
                <c:pt idx="626">
                  <c:v>-16.23</c:v>
                </c:pt>
                <c:pt idx="627">
                  <c:v>-16.25</c:v>
                </c:pt>
                <c:pt idx="628">
                  <c:v>-16.28</c:v>
                </c:pt>
                <c:pt idx="629">
                  <c:v>-16.3</c:v>
                </c:pt>
                <c:pt idx="630">
                  <c:v>-16.329999999999998</c:v>
                </c:pt>
                <c:pt idx="631">
                  <c:v>-16.350000000000001</c:v>
                </c:pt>
                <c:pt idx="632">
                  <c:v>-16.38</c:v>
                </c:pt>
                <c:pt idx="633">
                  <c:v>-16.399999999999999</c:v>
                </c:pt>
                <c:pt idx="634">
                  <c:v>-16.43</c:v>
                </c:pt>
                <c:pt idx="635">
                  <c:v>-16.45</c:v>
                </c:pt>
                <c:pt idx="636">
                  <c:v>-16.48</c:v>
                </c:pt>
                <c:pt idx="637">
                  <c:v>-16.5</c:v>
                </c:pt>
                <c:pt idx="638">
                  <c:v>-16.53</c:v>
                </c:pt>
                <c:pt idx="639">
                  <c:v>-16.55</c:v>
                </c:pt>
                <c:pt idx="640">
                  <c:v>-16.579999999999998</c:v>
                </c:pt>
                <c:pt idx="641">
                  <c:v>-16.600000000000001</c:v>
                </c:pt>
                <c:pt idx="642">
                  <c:v>-16.63</c:v>
                </c:pt>
                <c:pt idx="643">
                  <c:v>-16.649999999999999</c:v>
                </c:pt>
                <c:pt idx="644">
                  <c:v>-16.68</c:v>
                </c:pt>
                <c:pt idx="645">
                  <c:v>-16.7</c:v>
                </c:pt>
                <c:pt idx="646">
                  <c:v>-16.73</c:v>
                </c:pt>
                <c:pt idx="647">
                  <c:v>-16.75</c:v>
                </c:pt>
                <c:pt idx="648">
                  <c:v>-16.78</c:v>
                </c:pt>
                <c:pt idx="649">
                  <c:v>-16.8</c:v>
                </c:pt>
                <c:pt idx="650">
                  <c:v>-16.829999999999998</c:v>
                </c:pt>
                <c:pt idx="651">
                  <c:v>-16.850000000000001</c:v>
                </c:pt>
                <c:pt idx="652">
                  <c:v>-16.88</c:v>
                </c:pt>
                <c:pt idx="653">
                  <c:v>-16.899999999999999</c:v>
                </c:pt>
                <c:pt idx="654">
                  <c:v>-16.93</c:v>
                </c:pt>
                <c:pt idx="655">
                  <c:v>-16.95</c:v>
                </c:pt>
                <c:pt idx="656">
                  <c:v>-16.98</c:v>
                </c:pt>
                <c:pt idx="657">
                  <c:v>-17</c:v>
                </c:pt>
                <c:pt idx="658">
                  <c:v>-17.03</c:v>
                </c:pt>
                <c:pt idx="659">
                  <c:v>-17.05</c:v>
                </c:pt>
                <c:pt idx="660">
                  <c:v>-17.079999999999998</c:v>
                </c:pt>
                <c:pt idx="661">
                  <c:v>-17.100000000000001</c:v>
                </c:pt>
                <c:pt idx="662">
                  <c:v>-17.13</c:v>
                </c:pt>
                <c:pt idx="663">
                  <c:v>-17.149999999999999</c:v>
                </c:pt>
                <c:pt idx="664">
                  <c:v>-17.18</c:v>
                </c:pt>
                <c:pt idx="665">
                  <c:v>-17.2</c:v>
                </c:pt>
                <c:pt idx="666">
                  <c:v>-17.23</c:v>
                </c:pt>
                <c:pt idx="667">
                  <c:v>-17.25</c:v>
                </c:pt>
                <c:pt idx="668">
                  <c:v>-17.28</c:v>
                </c:pt>
                <c:pt idx="669">
                  <c:v>-17.3</c:v>
                </c:pt>
                <c:pt idx="670">
                  <c:v>-17.329999999999998</c:v>
                </c:pt>
                <c:pt idx="671">
                  <c:v>-17.350000000000001</c:v>
                </c:pt>
                <c:pt idx="672">
                  <c:v>-17.38</c:v>
                </c:pt>
                <c:pt idx="673">
                  <c:v>-17.399999999999999</c:v>
                </c:pt>
                <c:pt idx="674">
                  <c:v>-17.43</c:v>
                </c:pt>
                <c:pt idx="675">
                  <c:v>-17.45</c:v>
                </c:pt>
                <c:pt idx="676">
                  <c:v>-17.48</c:v>
                </c:pt>
                <c:pt idx="677">
                  <c:v>-17.5</c:v>
                </c:pt>
                <c:pt idx="678">
                  <c:v>-17.53</c:v>
                </c:pt>
                <c:pt idx="679">
                  <c:v>-17.55</c:v>
                </c:pt>
                <c:pt idx="680">
                  <c:v>-17.579999999999998</c:v>
                </c:pt>
                <c:pt idx="681">
                  <c:v>-17.600000000000001</c:v>
                </c:pt>
                <c:pt idx="682">
                  <c:v>-17.63</c:v>
                </c:pt>
                <c:pt idx="683">
                  <c:v>-17.649999999999999</c:v>
                </c:pt>
                <c:pt idx="684">
                  <c:v>-17.68</c:v>
                </c:pt>
                <c:pt idx="685">
                  <c:v>-17.7</c:v>
                </c:pt>
                <c:pt idx="686">
                  <c:v>-17.73</c:v>
                </c:pt>
                <c:pt idx="687">
                  <c:v>-17.75</c:v>
                </c:pt>
                <c:pt idx="688">
                  <c:v>-17.78</c:v>
                </c:pt>
                <c:pt idx="689">
                  <c:v>-17.8</c:v>
                </c:pt>
                <c:pt idx="690">
                  <c:v>-17.829999999999998</c:v>
                </c:pt>
                <c:pt idx="691">
                  <c:v>-17.850000000000001</c:v>
                </c:pt>
                <c:pt idx="692">
                  <c:v>-17.88</c:v>
                </c:pt>
                <c:pt idx="693">
                  <c:v>-17.899999999999999</c:v>
                </c:pt>
                <c:pt idx="694">
                  <c:v>-17.93</c:v>
                </c:pt>
                <c:pt idx="695">
                  <c:v>-17.95</c:v>
                </c:pt>
                <c:pt idx="696">
                  <c:v>-17.98</c:v>
                </c:pt>
                <c:pt idx="697">
                  <c:v>-18</c:v>
                </c:pt>
                <c:pt idx="698">
                  <c:v>-18.03</c:v>
                </c:pt>
                <c:pt idx="699">
                  <c:v>-18.05</c:v>
                </c:pt>
                <c:pt idx="700">
                  <c:v>-18.079999999999998</c:v>
                </c:pt>
                <c:pt idx="701">
                  <c:v>-18.100000000000001</c:v>
                </c:pt>
                <c:pt idx="702">
                  <c:v>-18.13</c:v>
                </c:pt>
                <c:pt idx="703">
                  <c:v>-18.149999999999999</c:v>
                </c:pt>
                <c:pt idx="704">
                  <c:v>-18.18</c:v>
                </c:pt>
                <c:pt idx="705">
                  <c:v>-18.2</c:v>
                </c:pt>
                <c:pt idx="706">
                  <c:v>-18.23</c:v>
                </c:pt>
                <c:pt idx="707">
                  <c:v>-18.25</c:v>
                </c:pt>
                <c:pt idx="708">
                  <c:v>-18.28</c:v>
                </c:pt>
                <c:pt idx="709">
                  <c:v>-18.3</c:v>
                </c:pt>
                <c:pt idx="710">
                  <c:v>-18.329999999999998</c:v>
                </c:pt>
                <c:pt idx="711">
                  <c:v>-18.350000000000001</c:v>
                </c:pt>
                <c:pt idx="712">
                  <c:v>-18.38</c:v>
                </c:pt>
                <c:pt idx="713">
                  <c:v>-18.399999999999999</c:v>
                </c:pt>
                <c:pt idx="714">
                  <c:v>-18.43</c:v>
                </c:pt>
                <c:pt idx="715">
                  <c:v>-18.45</c:v>
                </c:pt>
                <c:pt idx="716">
                  <c:v>-18.48</c:v>
                </c:pt>
                <c:pt idx="717">
                  <c:v>-18.5</c:v>
                </c:pt>
                <c:pt idx="718">
                  <c:v>-18.53</c:v>
                </c:pt>
                <c:pt idx="719">
                  <c:v>-18.55</c:v>
                </c:pt>
                <c:pt idx="720">
                  <c:v>-18.579999999999998</c:v>
                </c:pt>
                <c:pt idx="721">
                  <c:v>-18.600000000000001</c:v>
                </c:pt>
                <c:pt idx="722">
                  <c:v>-18.63</c:v>
                </c:pt>
                <c:pt idx="723">
                  <c:v>-18.649999999999999</c:v>
                </c:pt>
                <c:pt idx="724">
                  <c:v>-18.68</c:v>
                </c:pt>
                <c:pt idx="725">
                  <c:v>-18.7</c:v>
                </c:pt>
                <c:pt idx="726">
                  <c:v>-18.73</c:v>
                </c:pt>
                <c:pt idx="727">
                  <c:v>-18.75</c:v>
                </c:pt>
                <c:pt idx="728">
                  <c:v>-18.78</c:v>
                </c:pt>
                <c:pt idx="729">
                  <c:v>-18.8</c:v>
                </c:pt>
                <c:pt idx="730">
                  <c:v>-18.829999999999998</c:v>
                </c:pt>
                <c:pt idx="731">
                  <c:v>-18.850000000000001</c:v>
                </c:pt>
                <c:pt idx="732">
                  <c:v>-18.88</c:v>
                </c:pt>
                <c:pt idx="733">
                  <c:v>-18.899999999999999</c:v>
                </c:pt>
                <c:pt idx="734">
                  <c:v>-18.93</c:v>
                </c:pt>
                <c:pt idx="735">
                  <c:v>-18.95</c:v>
                </c:pt>
                <c:pt idx="736">
                  <c:v>-18.98</c:v>
                </c:pt>
                <c:pt idx="737">
                  <c:v>-19</c:v>
                </c:pt>
                <c:pt idx="738">
                  <c:v>-19.03</c:v>
                </c:pt>
                <c:pt idx="739">
                  <c:v>-19.05</c:v>
                </c:pt>
                <c:pt idx="740">
                  <c:v>-19.079999999999998</c:v>
                </c:pt>
                <c:pt idx="741">
                  <c:v>-19.100000000000001</c:v>
                </c:pt>
                <c:pt idx="742">
                  <c:v>-19.13</c:v>
                </c:pt>
                <c:pt idx="743">
                  <c:v>-19.149999999999999</c:v>
                </c:pt>
                <c:pt idx="744">
                  <c:v>-19.18</c:v>
                </c:pt>
                <c:pt idx="745">
                  <c:v>-19.2</c:v>
                </c:pt>
                <c:pt idx="746">
                  <c:v>-19.23</c:v>
                </c:pt>
                <c:pt idx="747">
                  <c:v>-19.25</c:v>
                </c:pt>
                <c:pt idx="748">
                  <c:v>-19.28</c:v>
                </c:pt>
                <c:pt idx="749">
                  <c:v>-19.3</c:v>
                </c:pt>
                <c:pt idx="750">
                  <c:v>-19.329999999999998</c:v>
                </c:pt>
                <c:pt idx="751">
                  <c:v>-19.350000000000001</c:v>
                </c:pt>
                <c:pt idx="752">
                  <c:v>-19.38</c:v>
                </c:pt>
                <c:pt idx="753">
                  <c:v>-19.399999999999999</c:v>
                </c:pt>
                <c:pt idx="754">
                  <c:v>-19.43</c:v>
                </c:pt>
                <c:pt idx="755">
                  <c:v>-19.45</c:v>
                </c:pt>
                <c:pt idx="756">
                  <c:v>-19.48</c:v>
                </c:pt>
                <c:pt idx="757">
                  <c:v>-19.5</c:v>
                </c:pt>
                <c:pt idx="758">
                  <c:v>-19.53</c:v>
                </c:pt>
                <c:pt idx="759">
                  <c:v>-19.55</c:v>
                </c:pt>
                <c:pt idx="760">
                  <c:v>-19.579999999999998</c:v>
                </c:pt>
                <c:pt idx="761">
                  <c:v>-19.600000000000001</c:v>
                </c:pt>
                <c:pt idx="762">
                  <c:v>-19.63</c:v>
                </c:pt>
                <c:pt idx="763">
                  <c:v>-19.649999999999999</c:v>
                </c:pt>
                <c:pt idx="764">
                  <c:v>-19.68</c:v>
                </c:pt>
                <c:pt idx="765">
                  <c:v>-19.7</c:v>
                </c:pt>
                <c:pt idx="766">
                  <c:v>-19.73</c:v>
                </c:pt>
                <c:pt idx="767">
                  <c:v>-19.75</c:v>
                </c:pt>
                <c:pt idx="768">
                  <c:v>-19.78</c:v>
                </c:pt>
                <c:pt idx="769">
                  <c:v>-19.8</c:v>
                </c:pt>
                <c:pt idx="770">
                  <c:v>-19.829999999999998</c:v>
                </c:pt>
                <c:pt idx="771">
                  <c:v>-19.850000000000001</c:v>
                </c:pt>
                <c:pt idx="772">
                  <c:v>-19.88</c:v>
                </c:pt>
                <c:pt idx="773">
                  <c:v>-19.899999999999999</c:v>
                </c:pt>
                <c:pt idx="774">
                  <c:v>-19.93</c:v>
                </c:pt>
                <c:pt idx="775">
                  <c:v>-19.95</c:v>
                </c:pt>
                <c:pt idx="776">
                  <c:v>-19.98</c:v>
                </c:pt>
                <c:pt idx="777">
                  <c:v>-20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DF-43D8-9F1B-AC75EF82F254}"/>
            </c:ext>
          </c:extLst>
        </c:ser>
        <c:ser>
          <c:idx val="0"/>
          <c:order val="1"/>
          <c:tx>
            <c:v>BH-04</c:v>
          </c:tx>
          <c:spPr>
            <a:ln w="19050"/>
          </c:spPr>
          <c:marker>
            <c:symbol val="none"/>
          </c:marker>
          <c:xVal>
            <c:numRef>
              <c:f>'All boreholes'!$AR$74:$AR$94</c:f>
              <c:numCache>
                <c:formatCode>0.00</c:formatCode>
                <c:ptCount val="21"/>
              </c:numCache>
            </c:numRef>
          </c:xVal>
          <c:yVal>
            <c:numRef>
              <c:f>'All boreholes'!$H$74:$H$94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DF-43D8-9F1B-AC75EF82F254}"/>
            </c:ext>
          </c:extLst>
        </c:ser>
        <c:ser>
          <c:idx val="1"/>
          <c:order val="2"/>
          <c:tx>
            <c:v>Characteristic Line FOS=1.2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'Comparison with LiquefyPro'!$BC$22:$BC$23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'Comparison with LiquefyPro'!$BD$22:$BD$23</c:f>
              <c:numCache>
                <c:formatCode>General</c:formatCode>
                <c:ptCount val="2"/>
                <c:pt idx="0">
                  <c:v>-5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DF-43D8-9F1B-AC75EF82F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76840"/>
        <c:axId val="1"/>
      </c:scatterChart>
      <c:valAx>
        <c:axId val="97857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Factor of Safety against Liquefaction for Mw = 6.2 (0.19g PGA)</a:t>
                </a:r>
              </a:p>
            </c:rich>
          </c:tx>
          <c:layout>
            <c:manualLayout>
              <c:xMode val="edge"/>
              <c:yMode val="edge"/>
              <c:x val="0.11437270341207348"/>
              <c:y val="6.2203249874664544E-2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2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 algn="ctr" rtl="0">
                  <a:def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Elevation (mDMD)</a:t>
                </a:r>
              </a:p>
            </c:rich>
          </c:tx>
          <c:layout>
            <c:manualLayout>
              <c:xMode val="edge"/>
              <c:yMode val="edge"/>
              <c:x val="3.806955380577428E-2"/>
              <c:y val="0.3588752248665546"/>
            </c:manualLayout>
          </c:layout>
          <c:overlay val="0"/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5768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157838900335342"/>
          <c:y val="0.30451295512744025"/>
          <c:w val="0.44349726343581697"/>
          <c:h val="0.60526649105577635"/>
        </c:manualLayout>
      </c:layout>
      <c:overlay val="0"/>
      <c:txPr>
        <a:bodyPr/>
        <a:lstStyle/>
        <a:p>
          <a:pPr algn="ctr" rtl="0">
            <a:defRPr lang="en-US" sz="9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70603674540683"/>
          <c:y val="0.2218816130889622"/>
          <c:w val="0.54630686789151361"/>
          <c:h val="0.70926748472680223"/>
        </c:manualLayout>
      </c:layout>
      <c:scatterChart>
        <c:scatterStyle val="smoothMarker"/>
        <c:varyColors val="0"/>
        <c:ser>
          <c:idx val="2"/>
          <c:order val="0"/>
          <c:tx>
            <c:v>BH-05 Liquefy Pro</c:v>
          </c:tx>
          <c:spPr>
            <a:ln w="19050"/>
          </c:spPr>
          <c:marker>
            <c:symbol val="none"/>
          </c:marker>
          <c:xVal>
            <c:numRef>
              <c:f>'Comparison with LiquefyPro'!$BP$5:$BP$785</c:f>
              <c:numCache>
                <c:formatCode>General</c:formatCode>
                <c:ptCount val="78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2.14</c:v>
                </c:pt>
                <c:pt idx="193">
                  <c:v>2.13</c:v>
                </c:pt>
                <c:pt idx="194">
                  <c:v>2.12</c:v>
                </c:pt>
                <c:pt idx="195">
                  <c:v>2.11</c:v>
                </c:pt>
                <c:pt idx="196">
                  <c:v>2.1</c:v>
                </c:pt>
                <c:pt idx="197">
                  <c:v>2.09</c:v>
                </c:pt>
                <c:pt idx="198">
                  <c:v>2.08</c:v>
                </c:pt>
                <c:pt idx="199">
                  <c:v>2.0699999999999998</c:v>
                </c:pt>
                <c:pt idx="200">
                  <c:v>2.06</c:v>
                </c:pt>
                <c:pt idx="201">
                  <c:v>2.0499999999999998</c:v>
                </c:pt>
                <c:pt idx="202">
                  <c:v>2.04</c:v>
                </c:pt>
                <c:pt idx="203">
                  <c:v>2.0299999999999998</c:v>
                </c:pt>
                <c:pt idx="204">
                  <c:v>2.02</c:v>
                </c:pt>
                <c:pt idx="205">
                  <c:v>2.0099999999999998</c:v>
                </c:pt>
                <c:pt idx="206">
                  <c:v>2</c:v>
                </c:pt>
                <c:pt idx="207">
                  <c:v>1.99</c:v>
                </c:pt>
                <c:pt idx="208">
                  <c:v>1.99</c:v>
                </c:pt>
                <c:pt idx="209">
                  <c:v>1.98</c:v>
                </c:pt>
                <c:pt idx="210">
                  <c:v>1.97</c:v>
                </c:pt>
                <c:pt idx="211">
                  <c:v>1.96</c:v>
                </c:pt>
                <c:pt idx="212">
                  <c:v>1.95</c:v>
                </c:pt>
                <c:pt idx="213">
                  <c:v>1.94</c:v>
                </c:pt>
                <c:pt idx="214">
                  <c:v>1.93</c:v>
                </c:pt>
                <c:pt idx="215">
                  <c:v>1.92</c:v>
                </c:pt>
                <c:pt idx="216">
                  <c:v>1.92</c:v>
                </c:pt>
                <c:pt idx="217">
                  <c:v>1.91</c:v>
                </c:pt>
                <c:pt idx="218">
                  <c:v>1.9</c:v>
                </c:pt>
                <c:pt idx="219">
                  <c:v>1.89</c:v>
                </c:pt>
                <c:pt idx="220">
                  <c:v>1.88</c:v>
                </c:pt>
                <c:pt idx="221">
                  <c:v>1.87</c:v>
                </c:pt>
                <c:pt idx="222">
                  <c:v>1.85</c:v>
                </c:pt>
                <c:pt idx="223">
                  <c:v>1.84</c:v>
                </c:pt>
                <c:pt idx="224">
                  <c:v>1.83</c:v>
                </c:pt>
                <c:pt idx="225">
                  <c:v>1.81</c:v>
                </c:pt>
                <c:pt idx="226">
                  <c:v>1.8</c:v>
                </c:pt>
                <c:pt idx="227">
                  <c:v>1.79</c:v>
                </c:pt>
                <c:pt idx="228">
                  <c:v>1.77</c:v>
                </c:pt>
                <c:pt idx="229">
                  <c:v>1.76</c:v>
                </c:pt>
                <c:pt idx="230">
                  <c:v>1.75</c:v>
                </c:pt>
                <c:pt idx="231">
                  <c:v>1.74</c:v>
                </c:pt>
                <c:pt idx="232">
                  <c:v>1.72</c:v>
                </c:pt>
                <c:pt idx="233">
                  <c:v>1.71</c:v>
                </c:pt>
                <c:pt idx="234">
                  <c:v>1.7</c:v>
                </c:pt>
                <c:pt idx="235">
                  <c:v>1.69</c:v>
                </c:pt>
                <c:pt idx="236">
                  <c:v>1.67</c:v>
                </c:pt>
                <c:pt idx="237">
                  <c:v>1.66</c:v>
                </c:pt>
                <c:pt idx="238">
                  <c:v>1.65</c:v>
                </c:pt>
                <c:pt idx="239">
                  <c:v>1.64</c:v>
                </c:pt>
                <c:pt idx="240">
                  <c:v>1.62</c:v>
                </c:pt>
                <c:pt idx="241">
                  <c:v>1.61</c:v>
                </c:pt>
                <c:pt idx="242">
                  <c:v>1.6</c:v>
                </c:pt>
                <c:pt idx="243">
                  <c:v>1.59</c:v>
                </c:pt>
                <c:pt idx="244">
                  <c:v>1.58</c:v>
                </c:pt>
                <c:pt idx="245">
                  <c:v>1.56</c:v>
                </c:pt>
                <c:pt idx="246">
                  <c:v>1.55</c:v>
                </c:pt>
                <c:pt idx="247">
                  <c:v>1.54</c:v>
                </c:pt>
                <c:pt idx="248">
                  <c:v>1.53</c:v>
                </c:pt>
                <c:pt idx="249">
                  <c:v>1.52</c:v>
                </c:pt>
                <c:pt idx="250">
                  <c:v>1.51</c:v>
                </c:pt>
                <c:pt idx="251">
                  <c:v>1.5</c:v>
                </c:pt>
                <c:pt idx="252">
                  <c:v>1.48</c:v>
                </c:pt>
                <c:pt idx="253">
                  <c:v>1.47</c:v>
                </c:pt>
                <c:pt idx="254">
                  <c:v>1.46</c:v>
                </c:pt>
                <c:pt idx="255">
                  <c:v>1.45</c:v>
                </c:pt>
                <c:pt idx="256">
                  <c:v>1.44</c:v>
                </c:pt>
                <c:pt idx="257">
                  <c:v>1.43</c:v>
                </c:pt>
                <c:pt idx="258">
                  <c:v>1.42</c:v>
                </c:pt>
                <c:pt idx="259">
                  <c:v>1.41</c:v>
                </c:pt>
                <c:pt idx="260">
                  <c:v>1.4</c:v>
                </c:pt>
                <c:pt idx="261">
                  <c:v>1.42</c:v>
                </c:pt>
                <c:pt idx="262">
                  <c:v>1.45</c:v>
                </c:pt>
                <c:pt idx="263">
                  <c:v>1.48</c:v>
                </c:pt>
                <c:pt idx="264">
                  <c:v>1.51</c:v>
                </c:pt>
                <c:pt idx="265">
                  <c:v>1.54</c:v>
                </c:pt>
                <c:pt idx="266">
                  <c:v>1.57</c:v>
                </c:pt>
                <c:pt idx="267">
                  <c:v>1.59</c:v>
                </c:pt>
                <c:pt idx="268">
                  <c:v>1.62</c:v>
                </c:pt>
                <c:pt idx="269">
                  <c:v>1.65</c:v>
                </c:pt>
                <c:pt idx="270">
                  <c:v>1.68</c:v>
                </c:pt>
                <c:pt idx="271">
                  <c:v>1.7</c:v>
                </c:pt>
                <c:pt idx="272">
                  <c:v>1.73</c:v>
                </c:pt>
                <c:pt idx="273">
                  <c:v>1.76</c:v>
                </c:pt>
                <c:pt idx="274">
                  <c:v>1.78</c:v>
                </c:pt>
                <c:pt idx="275">
                  <c:v>1.81</c:v>
                </c:pt>
                <c:pt idx="276">
                  <c:v>1.84</c:v>
                </c:pt>
                <c:pt idx="277">
                  <c:v>1.86</c:v>
                </c:pt>
                <c:pt idx="278">
                  <c:v>1.89</c:v>
                </c:pt>
                <c:pt idx="279">
                  <c:v>1.92</c:v>
                </c:pt>
                <c:pt idx="280">
                  <c:v>1.94</c:v>
                </c:pt>
                <c:pt idx="281">
                  <c:v>1.97</c:v>
                </c:pt>
                <c:pt idx="282">
                  <c:v>2</c:v>
                </c:pt>
                <c:pt idx="283">
                  <c:v>2.02</c:v>
                </c:pt>
                <c:pt idx="284">
                  <c:v>2.0499999999999998</c:v>
                </c:pt>
                <c:pt idx="285">
                  <c:v>2.08</c:v>
                </c:pt>
                <c:pt idx="286">
                  <c:v>2.11</c:v>
                </c:pt>
                <c:pt idx="287">
                  <c:v>2.13</c:v>
                </c:pt>
                <c:pt idx="288">
                  <c:v>2.16</c:v>
                </c:pt>
                <c:pt idx="289">
                  <c:v>2.19</c:v>
                </c:pt>
                <c:pt idx="290">
                  <c:v>2.2200000000000002</c:v>
                </c:pt>
                <c:pt idx="291">
                  <c:v>2.25</c:v>
                </c:pt>
                <c:pt idx="292">
                  <c:v>2.27</c:v>
                </c:pt>
                <c:pt idx="293">
                  <c:v>2.2999999999999998</c:v>
                </c:pt>
                <c:pt idx="294">
                  <c:v>2.33</c:v>
                </c:pt>
                <c:pt idx="295">
                  <c:v>2.36</c:v>
                </c:pt>
                <c:pt idx="296">
                  <c:v>2.4</c:v>
                </c:pt>
                <c:pt idx="297">
                  <c:v>2.4300000000000002</c:v>
                </c:pt>
                <c:pt idx="298">
                  <c:v>2.46</c:v>
                </c:pt>
                <c:pt idx="299">
                  <c:v>2.4900000000000002</c:v>
                </c:pt>
                <c:pt idx="300">
                  <c:v>2.5299999999999998</c:v>
                </c:pt>
                <c:pt idx="301">
                  <c:v>2.54</c:v>
                </c:pt>
                <c:pt idx="302">
                  <c:v>2.5499999999999998</c:v>
                </c:pt>
                <c:pt idx="303">
                  <c:v>2.56</c:v>
                </c:pt>
                <c:pt idx="304">
                  <c:v>2.58</c:v>
                </c:pt>
                <c:pt idx="305">
                  <c:v>2.59</c:v>
                </c:pt>
                <c:pt idx="306">
                  <c:v>2.6</c:v>
                </c:pt>
                <c:pt idx="307">
                  <c:v>2.62</c:v>
                </c:pt>
                <c:pt idx="308">
                  <c:v>2.63</c:v>
                </c:pt>
                <c:pt idx="309">
                  <c:v>2.64</c:v>
                </c:pt>
                <c:pt idx="310">
                  <c:v>2.66</c:v>
                </c:pt>
                <c:pt idx="311">
                  <c:v>2.67</c:v>
                </c:pt>
                <c:pt idx="312">
                  <c:v>2.68</c:v>
                </c:pt>
                <c:pt idx="313">
                  <c:v>2.7</c:v>
                </c:pt>
                <c:pt idx="314">
                  <c:v>2.71</c:v>
                </c:pt>
                <c:pt idx="315">
                  <c:v>2.73</c:v>
                </c:pt>
                <c:pt idx="316">
                  <c:v>2.74</c:v>
                </c:pt>
                <c:pt idx="317">
                  <c:v>2.76</c:v>
                </c:pt>
                <c:pt idx="318">
                  <c:v>2.77</c:v>
                </c:pt>
                <c:pt idx="319">
                  <c:v>2.79</c:v>
                </c:pt>
                <c:pt idx="320">
                  <c:v>3.06</c:v>
                </c:pt>
                <c:pt idx="321">
                  <c:v>3.08</c:v>
                </c:pt>
                <c:pt idx="322">
                  <c:v>3.1</c:v>
                </c:pt>
                <c:pt idx="323">
                  <c:v>3.13</c:v>
                </c:pt>
                <c:pt idx="324">
                  <c:v>3.15</c:v>
                </c:pt>
                <c:pt idx="325">
                  <c:v>3.17</c:v>
                </c:pt>
                <c:pt idx="326">
                  <c:v>3.2</c:v>
                </c:pt>
                <c:pt idx="327">
                  <c:v>3.22</c:v>
                </c:pt>
                <c:pt idx="328">
                  <c:v>3.25</c:v>
                </c:pt>
                <c:pt idx="329">
                  <c:v>3.28</c:v>
                </c:pt>
                <c:pt idx="330">
                  <c:v>3.3</c:v>
                </c:pt>
                <c:pt idx="331">
                  <c:v>3.33</c:v>
                </c:pt>
                <c:pt idx="332">
                  <c:v>3.37</c:v>
                </c:pt>
                <c:pt idx="333">
                  <c:v>3.4</c:v>
                </c:pt>
                <c:pt idx="334">
                  <c:v>3.44</c:v>
                </c:pt>
                <c:pt idx="335">
                  <c:v>3.47</c:v>
                </c:pt>
                <c:pt idx="336">
                  <c:v>3.52</c:v>
                </c:pt>
                <c:pt idx="337">
                  <c:v>3.56</c:v>
                </c:pt>
                <c:pt idx="338">
                  <c:v>3.62</c:v>
                </c:pt>
                <c:pt idx="339">
                  <c:v>3.68</c:v>
                </c:pt>
                <c:pt idx="340">
                  <c:v>3.75</c:v>
                </c:pt>
                <c:pt idx="341">
                  <c:v>3.86</c:v>
                </c:pt>
                <c:pt idx="342">
                  <c:v>4.01</c:v>
                </c:pt>
                <c:pt idx="343">
                  <c:v>4.24</c:v>
                </c:pt>
                <c:pt idx="344">
                  <c:v>4.5599999999999996</c:v>
                </c:pt>
                <c:pt idx="345">
                  <c:v>4.55</c:v>
                </c:pt>
                <c:pt idx="346">
                  <c:v>4.55</c:v>
                </c:pt>
                <c:pt idx="347">
                  <c:v>4.55</c:v>
                </c:pt>
                <c:pt idx="348">
                  <c:v>4.55</c:v>
                </c:pt>
                <c:pt idx="349">
                  <c:v>4.55</c:v>
                </c:pt>
                <c:pt idx="350">
                  <c:v>4.54</c:v>
                </c:pt>
                <c:pt idx="351">
                  <c:v>4.54</c:v>
                </c:pt>
                <c:pt idx="352">
                  <c:v>4.54</c:v>
                </c:pt>
                <c:pt idx="353">
                  <c:v>4.54</c:v>
                </c:pt>
                <c:pt idx="354">
                  <c:v>4.54</c:v>
                </c:pt>
                <c:pt idx="355">
                  <c:v>4.54</c:v>
                </c:pt>
                <c:pt idx="356">
                  <c:v>4.53</c:v>
                </c:pt>
                <c:pt idx="357">
                  <c:v>4.53</c:v>
                </c:pt>
                <c:pt idx="358">
                  <c:v>4.53</c:v>
                </c:pt>
                <c:pt idx="359">
                  <c:v>4.53</c:v>
                </c:pt>
                <c:pt idx="360">
                  <c:v>4.53</c:v>
                </c:pt>
                <c:pt idx="361">
                  <c:v>4.53</c:v>
                </c:pt>
                <c:pt idx="362">
                  <c:v>4.53</c:v>
                </c:pt>
                <c:pt idx="363">
                  <c:v>4.53</c:v>
                </c:pt>
                <c:pt idx="364">
                  <c:v>4.5199999999999996</c:v>
                </c:pt>
                <c:pt idx="365">
                  <c:v>4.5199999999999996</c:v>
                </c:pt>
                <c:pt idx="366">
                  <c:v>4.5199999999999996</c:v>
                </c:pt>
                <c:pt idx="367">
                  <c:v>4.5199999999999996</c:v>
                </c:pt>
                <c:pt idx="368">
                  <c:v>4.5199999999999996</c:v>
                </c:pt>
                <c:pt idx="369">
                  <c:v>4.5199999999999996</c:v>
                </c:pt>
                <c:pt idx="370">
                  <c:v>4.5199999999999996</c:v>
                </c:pt>
                <c:pt idx="371">
                  <c:v>4.5199999999999996</c:v>
                </c:pt>
                <c:pt idx="372">
                  <c:v>4.51</c:v>
                </c:pt>
                <c:pt idx="373">
                  <c:v>4.51</c:v>
                </c:pt>
                <c:pt idx="374">
                  <c:v>4.51</c:v>
                </c:pt>
                <c:pt idx="375">
                  <c:v>4.51</c:v>
                </c:pt>
                <c:pt idx="376">
                  <c:v>4.51</c:v>
                </c:pt>
                <c:pt idx="377">
                  <c:v>4.51</c:v>
                </c:pt>
                <c:pt idx="378">
                  <c:v>4.51</c:v>
                </c:pt>
                <c:pt idx="379">
                  <c:v>4.51</c:v>
                </c:pt>
                <c:pt idx="380">
                  <c:v>4.51</c:v>
                </c:pt>
                <c:pt idx="381">
                  <c:v>4.51</c:v>
                </c:pt>
                <c:pt idx="382">
                  <c:v>4.51</c:v>
                </c:pt>
                <c:pt idx="383">
                  <c:v>4.5</c:v>
                </c:pt>
                <c:pt idx="384">
                  <c:v>4.5</c:v>
                </c:pt>
                <c:pt idx="385">
                  <c:v>4.5</c:v>
                </c:pt>
                <c:pt idx="386">
                  <c:v>4.5</c:v>
                </c:pt>
                <c:pt idx="387">
                  <c:v>4.5</c:v>
                </c:pt>
                <c:pt idx="388">
                  <c:v>4.5</c:v>
                </c:pt>
                <c:pt idx="389">
                  <c:v>4.5</c:v>
                </c:pt>
                <c:pt idx="390">
                  <c:v>4.5</c:v>
                </c:pt>
                <c:pt idx="391">
                  <c:v>4.5</c:v>
                </c:pt>
                <c:pt idx="392">
                  <c:v>4.5</c:v>
                </c:pt>
                <c:pt idx="393">
                  <c:v>4.5</c:v>
                </c:pt>
                <c:pt idx="394">
                  <c:v>4.5</c:v>
                </c:pt>
                <c:pt idx="395">
                  <c:v>4.5</c:v>
                </c:pt>
                <c:pt idx="396">
                  <c:v>4.5</c:v>
                </c:pt>
                <c:pt idx="397">
                  <c:v>4.5</c:v>
                </c:pt>
                <c:pt idx="398">
                  <c:v>4.5</c:v>
                </c:pt>
                <c:pt idx="399">
                  <c:v>4.49</c:v>
                </c:pt>
                <c:pt idx="400">
                  <c:v>4.49</c:v>
                </c:pt>
                <c:pt idx="401">
                  <c:v>4.49</c:v>
                </c:pt>
                <c:pt idx="402">
                  <c:v>4.49</c:v>
                </c:pt>
                <c:pt idx="403">
                  <c:v>4.49</c:v>
                </c:pt>
                <c:pt idx="404">
                  <c:v>4.49</c:v>
                </c:pt>
                <c:pt idx="405">
                  <c:v>4.49</c:v>
                </c:pt>
                <c:pt idx="406">
                  <c:v>4.49</c:v>
                </c:pt>
                <c:pt idx="407">
                  <c:v>4.49</c:v>
                </c:pt>
                <c:pt idx="408">
                  <c:v>4.49</c:v>
                </c:pt>
                <c:pt idx="409">
                  <c:v>4.49</c:v>
                </c:pt>
                <c:pt idx="410">
                  <c:v>4.49</c:v>
                </c:pt>
                <c:pt idx="411">
                  <c:v>4.49</c:v>
                </c:pt>
                <c:pt idx="412">
                  <c:v>4.49</c:v>
                </c:pt>
                <c:pt idx="413">
                  <c:v>4.49</c:v>
                </c:pt>
                <c:pt idx="414">
                  <c:v>4.49</c:v>
                </c:pt>
                <c:pt idx="415">
                  <c:v>4.49</c:v>
                </c:pt>
                <c:pt idx="416">
                  <c:v>4.49</c:v>
                </c:pt>
                <c:pt idx="417">
                  <c:v>4.49</c:v>
                </c:pt>
                <c:pt idx="418">
                  <c:v>4.49</c:v>
                </c:pt>
                <c:pt idx="419">
                  <c:v>4.49</c:v>
                </c:pt>
                <c:pt idx="420">
                  <c:v>4.49</c:v>
                </c:pt>
                <c:pt idx="421">
                  <c:v>4.49</c:v>
                </c:pt>
                <c:pt idx="422">
                  <c:v>4.49</c:v>
                </c:pt>
                <c:pt idx="423">
                  <c:v>4.49</c:v>
                </c:pt>
                <c:pt idx="424">
                  <c:v>4.49</c:v>
                </c:pt>
                <c:pt idx="425">
                  <c:v>4.49</c:v>
                </c:pt>
                <c:pt idx="426">
                  <c:v>4.49</c:v>
                </c:pt>
                <c:pt idx="427">
                  <c:v>4.49</c:v>
                </c:pt>
                <c:pt idx="428">
                  <c:v>4.49</c:v>
                </c:pt>
                <c:pt idx="429">
                  <c:v>4.49</c:v>
                </c:pt>
                <c:pt idx="430">
                  <c:v>4.49</c:v>
                </c:pt>
                <c:pt idx="431">
                  <c:v>4.49</c:v>
                </c:pt>
                <c:pt idx="432">
                  <c:v>4.49</c:v>
                </c:pt>
                <c:pt idx="433">
                  <c:v>4.49</c:v>
                </c:pt>
                <c:pt idx="434">
                  <c:v>4.49</c:v>
                </c:pt>
                <c:pt idx="435">
                  <c:v>4.49</c:v>
                </c:pt>
                <c:pt idx="436">
                  <c:v>4.49</c:v>
                </c:pt>
                <c:pt idx="437">
                  <c:v>4.49</c:v>
                </c:pt>
                <c:pt idx="438">
                  <c:v>4.49</c:v>
                </c:pt>
                <c:pt idx="439">
                  <c:v>4.49</c:v>
                </c:pt>
                <c:pt idx="440">
                  <c:v>4.49</c:v>
                </c:pt>
                <c:pt idx="441">
                  <c:v>4.49</c:v>
                </c:pt>
                <c:pt idx="442">
                  <c:v>4.49</c:v>
                </c:pt>
                <c:pt idx="443">
                  <c:v>4.49</c:v>
                </c:pt>
                <c:pt idx="444">
                  <c:v>4.49</c:v>
                </c:pt>
                <c:pt idx="445">
                  <c:v>4.49</c:v>
                </c:pt>
                <c:pt idx="446">
                  <c:v>4.49</c:v>
                </c:pt>
                <c:pt idx="447">
                  <c:v>4.49</c:v>
                </c:pt>
                <c:pt idx="448">
                  <c:v>4.49</c:v>
                </c:pt>
                <c:pt idx="449">
                  <c:v>4.49</c:v>
                </c:pt>
                <c:pt idx="450">
                  <c:v>4.49</c:v>
                </c:pt>
                <c:pt idx="451">
                  <c:v>4.49</c:v>
                </c:pt>
                <c:pt idx="452">
                  <c:v>4.49</c:v>
                </c:pt>
                <c:pt idx="453">
                  <c:v>4.49</c:v>
                </c:pt>
                <c:pt idx="454">
                  <c:v>4.49</c:v>
                </c:pt>
                <c:pt idx="455">
                  <c:v>4.49</c:v>
                </c:pt>
                <c:pt idx="456">
                  <c:v>4.5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4.5</c:v>
                </c:pt>
                <c:pt idx="468">
                  <c:v>4.5</c:v>
                </c:pt>
                <c:pt idx="469">
                  <c:v>4.5</c:v>
                </c:pt>
                <c:pt idx="470">
                  <c:v>4.5</c:v>
                </c:pt>
                <c:pt idx="471">
                  <c:v>4.5</c:v>
                </c:pt>
                <c:pt idx="472">
                  <c:v>4.5</c:v>
                </c:pt>
                <c:pt idx="473">
                  <c:v>4.5</c:v>
                </c:pt>
                <c:pt idx="474">
                  <c:v>4.53</c:v>
                </c:pt>
                <c:pt idx="475">
                  <c:v>4.53</c:v>
                </c:pt>
                <c:pt idx="476">
                  <c:v>4.53</c:v>
                </c:pt>
                <c:pt idx="477">
                  <c:v>4.53</c:v>
                </c:pt>
                <c:pt idx="478">
                  <c:v>4.53</c:v>
                </c:pt>
                <c:pt idx="479">
                  <c:v>4.53</c:v>
                </c:pt>
                <c:pt idx="480">
                  <c:v>4.53</c:v>
                </c:pt>
                <c:pt idx="481">
                  <c:v>4.53</c:v>
                </c:pt>
                <c:pt idx="482">
                  <c:v>4.53</c:v>
                </c:pt>
                <c:pt idx="483">
                  <c:v>4.53</c:v>
                </c:pt>
                <c:pt idx="484">
                  <c:v>4.53</c:v>
                </c:pt>
                <c:pt idx="485">
                  <c:v>4.53</c:v>
                </c:pt>
                <c:pt idx="486">
                  <c:v>4.53</c:v>
                </c:pt>
                <c:pt idx="487">
                  <c:v>4.53</c:v>
                </c:pt>
                <c:pt idx="488">
                  <c:v>4.53</c:v>
                </c:pt>
                <c:pt idx="489">
                  <c:v>4.53</c:v>
                </c:pt>
                <c:pt idx="490">
                  <c:v>4.53</c:v>
                </c:pt>
                <c:pt idx="491">
                  <c:v>4.53</c:v>
                </c:pt>
                <c:pt idx="492">
                  <c:v>4.53</c:v>
                </c:pt>
                <c:pt idx="493">
                  <c:v>4.53</c:v>
                </c:pt>
                <c:pt idx="494">
                  <c:v>4.53</c:v>
                </c:pt>
                <c:pt idx="495">
                  <c:v>4.53</c:v>
                </c:pt>
                <c:pt idx="496">
                  <c:v>4.53</c:v>
                </c:pt>
                <c:pt idx="497">
                  <c:v>4.53</c:v>
                </c:pt>
                <c:pt idx="498">
                  <c:v>4.53</c:v>
                </c:pt>
                <c:pt idx="499">
                  <c:v>4.53</c:v>
                </c:pt>
                <c:pt idx="500">
                  <c:v>4.53</c:v>
                </c:pt>
                <c:pt idx="501">
                  <c:v>4.53</c:v>
                </c:pt>
                <c:pt idx="502">
                  <c:v>4.53</c:v>
                </c:pt>
                <c:pt idx="503">
                  <c:v>4.53</c:v>
                </c:pt>
                <c:pt idx="504">
                  <c:v>4.53</c:v>
                </c:pt>
                <c:pt idx="505">
                  <c:v>4.53</c:v>
                </c:pt>
                <c:pt idx="506">
                  <c:v>4.53</c:v>
                </c:pt>
                <c:pt idx="507">
                  <c:v>4.53</c:v>
                </c:pt>
                <c:pt idx="508">
                  <c:v>4.53</c:v>
                </c:pt>
                <c:pt idx="509">
                  <c:v>4.53</c:v>
                </c:pt>
                <c:pt idx="510">
                  <c:v>4.53</c:v>
                </c:pt>
                <c:pt idx="511">
                  <c:v>4.53</c:v>
                </c:pt>
                <c:pt idx="512">
                  <c:v>4.53</c:v>
                </c:pt>
                <c:pt idx="513">
                  <c:v>4.53</c:v>
                </c:pt>
                <c:pt idx="514">
                  <c:v>4.53</c:v>
                </c:pt>
                <c:pt idx="515">
                  <c:v>4.53</c:v>
                </c:pt>
                <c:pt idx="516">
                  <c:v>4.53</c:v>
                </c:pt>
                <c:pt idx="517">
                  <c:v>4.53</c:v>
                </c:pt>
                <c:pt idx="518">
                  <c:v>4.53</c:v>
                </c:pt>
                <c:pt idx="519">
                  <c:v>4.53</c:v>
                </c:pt>
                <c:pt idx="520">
                  <c:v>4.53</c:v>
                </c:pt>
                <c:pt idx="521">
                  <c:v>4.53</c:v>
                </c:pt>
                <c:pt idx="522">
                  <c:v>4.53</c:v>
                </c:pt>
                <c:pt idx="523">
                  <c:v>4.53</c:v>
                </c:pt>
                <c:pt idx="524">
                  <c:v>4.53</c:v>
                </c:pt>
                <c:pt idx="525">
                  <c:v>4.53</c:v>
                </c:pt>
                <c:pt idx="526">
                  <c:v>4.53</c:v>
                </c:pt>
                <c:pt idx="527">
                  <c:v>4.53</c:v>
                </c:pt>
                <c:pt idx="528">
                  <c:v>4.53</c:v>
                </c:pt>
                <c:pt idx="529">
                  <c:v>4.53</c:v>
                </c:pt>
                <c:pt idx="530">
                  <c:v>4.53</c:v>
                </c:pt>
                <c:pt idx="531">
                  <c:v>4.53</c:v>
                </c:pt>
                <c:pt idx="532">
                  <c:v>4.53</c:v>
                </c:pt>
                <c:pt idx="533">
                  <c:v>4.53</c:v>
                </c:pt>
                <c:pt idx="534">
                  <c:v>4.53</c:v>
                </c:pt>
                <c:pt idx="535">
                  <c:v>4.53</c:v>
                </c:pt>
                <c:pt idx="536">
                  <c:v>4.53</c:v>
                </c:pt>
                <c:pt idx="537">
                  <c:v>4.53</c:v>
                </c:pt>
                <c:pt idx="538">
                  <c:v>4.54</c:v>
                </c:pt>
                <c:pt idx="539">
                  <c:v>4.54</c:v>
                </c:pt>
                <c:pt idx="540">
                  <c:v>4.54</c:v>
                </c:pt>
                <c:pt idx="541">
                  <c:v>4.54</c:v>
                </c:pt>
                <c:pt idx="542">
                  <c:v>4.54</c:v>
                </c:pt>
                <c:pt idx="543">
                  <c:v>4.54</c:v>
                </c:pt>
                <c:pt idx="544">
                  <c:v>4.54</c:v>
                </c:pt>
                <c:pt idx="545">
                  <c:v>4.54</c:v>
                </c:pt>
                <c:pt idx="546">
                  <c:v>4.54</c:v>
                </c:pt>
                <c:pt idx="547">
                  <c:v>4.54</c:v>
                </c:pt>
                <c:pt idx="548">
                  <c:v>4.54</c:v>
                </c:pt>
                <c:pt idx="549">
                  <c:v>4.54</c:v>
                </c:pt>
                <c:pt idx="550">
                  <c:v>4.54</c:v>
                </c:pt>
                <c:pt idx="551">
                  <c:v>4.54</c:v>
                </c:pt>
                <c:pt idx="552">
                  <c:v>4.54</c:v>
                </c:pt>
                <c:pt idx="553">
                  <c:v>4.54</c:v>
                </c:pt>
                <c:pt idx="554">
                  <c:v>4.54</c:v>
                </c:pt>
                <c:pt idx="555">
                  <c:v>4.54</c:v>
                </c:pt>
                <c:pt idx="556">
                  <c:v>4.54</c:v>
                </c:pt>
                <c:pt idx="557">
                  <c:v>4.54</c:v>
                </c:pt>
                <c:pt idx="558">
                  <c:v>4.55</c:v>
                </c:pt>
                <c:pt idx="559">
                  <c:v>4.55</c:v>
                </c:pt>
                <c:pt idx="560">
                  <c:v>4.55</c:v>
                </c:pt>
                <c:pt idx="561">
                  <c:v>4.55</c:v>
                </c:pt>
                <c:pt idx="562">
                  <c:v>4.55</c:v>
                </c:pt>
                <c:pt idx="563">
                  <c:v>4.55</c:v>
                </c:pt>
                <c:pt idx="564">
                  <c:v>4.55</c:v>
                </c:pt>
                <c:pt idx="565">
                  <c:v>4.55</c:v>
                </c:pt>
                <c:pt idx="566">
                  <c:v>4.55</c:v>
                </c:pt>
                <c:pt idx="567">
                  <c:v>4.55</c:v>
                </c:pt>
                <c:pt idx="568">
                  <c:v>4.55</c:v>
                </c:pt>
                <c:pt idx="569">
                  <c:v>4.55</c:v>
                </c:pt>
                <c:pt idx="570">
                  <c:v>4.55</c:v>
                </c:pt>
                <c:pt idx="571">
                  <c:v>4.55</c:v>
                </c:pt>
                <c:pt idx="572">
                  <c:v>4.5599999999999996</c:v>
                </c:pt>
                <c:pt idx="573">
                  <c:v>4.5599999999999996</c:v>
                </c:pt>
                <c:pt idx="574">
                  <c:v>4.5599999999999996</c:v>
                </c:pt>
                <c:pt idx="575">
                  <c:v>4.5599999999999996</c:v>
                </c:pt>
                <c:pt idx="576">
                  <c:v>4.5599999999999996</c:v>
                </c:pt>
                <c:pt idx="577">
                  <c:v>4.5599999999999996</c:v>
                </c:pt>
                <c:pt idx="578">
                  <c:v>4.5599999999999996</c:v>
                </c:pt>
                <c:pt idx="579">
                  <c:v>4.5599999999999996</c:v>
                </c:pt>
                <c:pt idx="580">
                  <c:v>4.5599999999999996</c:v>
                </c:pt>
                <c:pt idx="581">
                  <c:v>4.5599999999999996</c:v>
                </c:pt>
                <c:pt idx="582">
                  <c:v>4.5599999999999996</c:v>
                </c:pt>
                <c:pt idx="583">
                  <c:v>4.5599999999999996</c:v>
                </c:pt>
                <c:pt idx="584">
                  <c:v>4.5599999999999996</c:v>
                </c:pt>
                <c:pt idx="585">
                  <c:v>4.57</c:v>
                </c:pt>
                <c:pt idx="586">
                  <c:v>4.57</c:v>
                </c:pt>
                <c:pt idx="587">
                  <c:v>4.57</c:v>
                </c:pt>
                <c:pt idx="588">
                  <c:v>4.57</c:v>
                </c:pt>
                <c:pt idx="589">
                  <c:v>4.57</c:v>
                </c:pt>
                <c:pt idx="590">
                  <c:v>4.57</c:v>
                </c:pt>
                <c:pt idx="591">
                  <c:v>4.57</c:v>
                </c:pt>
                <c:pt idx="592">
                  <c:v>4.57</c:v>
                </c:pt>
                <c:pt idx="593">
                  <c:v>4.57</c:v>
                </c:pt>
                <c:pt idx="594">
                  <c:v>4.57</c:v>
                </c:pt>
                <c:pt idx="595">
                  <c:v>4.58</c:v>
                </c:pt>
                <c:pt idx="596">
                  <c:v>4.58</c:v>
                </c:pt>
                <c:pt idx="597">
                  <c:v>4.58</c:v>
                </c:pt>
                <c:pt idx="598">
                  <c:v>4.58</c:v>
                </c:pt>
                <c:pt idx="599">
                  <c:v>4.58</c:v>
                </c:pt>
                <c:pt idx="600">
                  <c:v>4.58</c:v>
                </c:pt>
                <c:pt idx="601">
                  <c:v>4.58</c:v>
                </c:pt>
                <c:pt idx="602">
                  <c:v>4.58</c:v>
                </c:pt>
                <c:pt idx="603">
                  <c:v>4.58</c:v>
                </c:pt>
                <c:pt idx="604">
                  <c:v>4.58</c:v>
                </c:pt>
                <c:pt idx="605">
                  <c:v>4.59</c:v>
                </c:pt>
                <c:pt idx="606">
                  <c:v>4.59</c:v>
                </c:pt>
                <c:pt idx="607">
                  <c:v>4.59</c:v>
                </c:pt>
                <c:pt idx="608">
                  <c:v>4.59</c:v>
                </c:pt>
                <c:pt idx="609">
                  <c:v>4.59</c:v>
                </c:pt>
                <c:pt idx="610">
                  <c:v>4.59</c:v>
                </c:pt>
                <c:pt idx="611">
                  <c:v>4.59</c:v>
                </c:pt>
                <c:pt idx="612">
                  <c:v>4.59</c:v>
                </c:pt>
                <c:pt idx="613">
                  <c:v>4.59</c:v>
                </c:pt>
                <c:pt idx="614">
                  <c:v>4.5999999999999996</c:v>
                </c:pt>
                <c:pt idx="615">
                  <c:v>4.5999999999999996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4.6100000000000003</c:v>
                </c:pt>
                <c:pt idx="623">
                  <c:v>4.6100000000000003</c:v>
                </c:pt>
                <c:pt idx="624">
                  <c:v>4.6100000000000003</c:v>
                </c:pt>
                <c:pt idx="625">
                  <c:v>4.6100000000000003</c:v>
                </c:pt>
                <c:pt idx="626">
                  <c:v>4.6100000000000003</c:v>
                </c:pt>
                <c:pt idx="627">
                  <c:v>4.6100000000000003</c:v>
                </c:pt>
                <c:pt idx="628">
                  <c:v>4.6100000000000003</c:v>
                </c:pt>
                <c:pt idx="629">
                  <c:v>4.6100000000000003</c:v>
                </c:pt>
                <c:pt idx="630">
                  <c:v>4.62</c:v>
                </c:pt>
                <c:pt idx="631">
                  <c:v>4.62</c:v>
                </c:pt>
                <c:pt idx="632">
                  <c:v>4.62</c:v>
                </c:pt>
                <c:pt idx="633">
                  <c:v>4.62</c:v>
                </c:pt>
                <c:pt idx="634">
                  <c:v>4.62</c:v>
                </c:pt>
                <c:pt idx="635">
                  <c:v>4.62</c:v>
                </c:pt>
                <c:pt idx="636">
                  <c:v>4.62</c:v>
                </c:pt>
                <c:pt idx="637">
                  <c:v>4.63</c:v>
                </c:pt>
                <c:pt idx="638">
                  <c:v>4.63</c:v>
                </c:pt>
                <c:pt idx="639">
                  <c:v>4.63</c:v>
                </c:pt>
                <c:pt idx="640">
                  <c:v>4.63</c:v>
                </c:pt>
                <c:pt idx="641">
                  <c:v>4.63</c:v>
                </c:pt>
                <c:pt idx="642">
                  <c:v>4.63</c:v>
                </c:pt>
                <c:pt idx="643">
                  <c:v>4.63</c:v>
                </c:pt>
                <c:pt idx="644">
                  <c:v>4.6399999999999997</c:v>
                </c:pt>
                <c:pt idx="645">
                  <c:v>4.6399999999999997</c:v>
                </c:pt>
                <c:pt idx="646">
                  <c:v>4.6399999999999997</c:v>
                </c:pt>
                <c:pt idx="647">
                  <c:v>4.6399999999999997</c:v>
                </c:pt>
                <c:pt idx="648">
                  <c:v>4.6399999999999997</c:v>
                </c:pt>
                <c:pt idx="649">
                  <c:v>4.6399999999999997</c:v>
                </c:pt>
                <c:pt idx="650">
                  <c:v>4.6399999999999997</c:v>
                </c:pt>
                <c:pt idx="651">
                  <c:v>4.6500000000000004</c:v>
                </c:pt>
                <c:pt idx="652">
                  <c:v>4.6500000000000004</c:v>
                </c:pt>
                <c:pt idx="653">
                  <c:v>4.6500000000000004</c:v>
                </c:pt>
                <c:pt idx="654">
                  <c:v>4.6500000000000004</c:v>
                </c:pt>
                <c:pt idx="655">
                  <c:v>4.6500000000000004</c:v>
                </c:pt>
                <c:pt idx="656">
                  <c:v>4.6500000000000004</c:v>
                </c:pt>
                <c:pt idx="657">
                  <c:v>4.66</c:v>
                </c:pt>
                <c:pt idx="658">
                  <c:v>4.66</c:v>
                </c:pt>
                <c:pt idx="659">
                  <c:v>4.66</c:v>
                </c:pt>
                <c:pt idx="660">
                  <c:v>4.66</c:v>
                </c:pt>
                <c:pt idx="661">
                  <c:v>4.66</c:v>
                </c:pt>
                <c:pt idx="662">
                  <c:v>4.66</c:v>
                </c:pt>
                <c:pt idx="663">
                  <c:v>4.66</c:v>
                </c:pt>
                <c:pt idx="664">
                  <c:v>4.67</c:v>
                </c:pt>
                <c:pt idx="665">
                  <c:v>4.67</c:v>
                </c:pt>
                <c:pt idx="666">
                  <c:v>4.67</c:v>
                </c:pt>
                <c:pt idx="667">
                  <c:v>4.67</c:v>
                </c:pt>
                <c:pt idx="668">
                  <c:v>4.67</c:v>
                </c:pt>
                <c:pt idx="669">
                  <c:v>4.67</c:v>
                </c:pt>
                <c:pt idx="670">
                  <c:v>4.68</c:v>
                </c:pt>
                <c:pt idx="671">
                  <c:v>4.68</c:v>
                </c:pt>
                <c:pt idx="672">
                  <c:v>4.68</c:v>
                </c:pt>
                <c:pt idx="673">
                  <c:v>4.68</c:v>
                </c:pt>
                <c:pt idx="674">
                  <c:v>4.68</c:v>
                </c:pt>
                <c:pt idx="675">
                  <c:v>4.6900000000000004</c:v>
                </c:pt>
                <c:pt idx="676">
                  <c:v>4.6900000000000004</c:v>
                </c:pt>
                <c:pt idx="677">
                  <c:v>4.6900000000000004</c:v>
                </c:pt>
                <c:pt idx="678">
                  <c:v>4.6900000000000004</c:v>
                </c:pt>
                <c:pt idx="679">
                  <c:v>4.6900000000000004</c:v>
                </c:pt>
                <c:pt idx="680">
                  <c:v>4.6900000000000004</c:v>
                </c:pt>
                <c:pt idx="681">
                  <c:v>4.7</c:v>
                </c:pt>
                <c:pt idx="682">
                  <c:v>4.7</c:v>
                </c:pt>
                <c:pt idx="683">
                  <c:v>4.7</c:v>
                </c:pt>
                <c:pt idx="684">
                  <c:v>4.7</c:v>
                </c:pt>
                <c:pt idx="685">
                  <c:v>4.7</c:v>
                </c:pt>
                <c:pt idx="686">
                  <c:v>4.71</c:v>
                </c:pt>
                <c:pt idx="687">
                  <c:v>4.71</c:v>
                </c:pt>
                <c:pt idx="688">
                  <c:v>4.71</c:v>
                </c:pt>
                <c:pt idx="689">
                  <c:v>4.71</c:v>
                </c:pt>
                <c:pt idx="690">
                  <c:v>4.71</c:v>
                </c:pt>
                <c:pt idx="691">
                  <c:v>4.71</c:v>
                </c:pt>
                <c:pt idx="692">
                  <c:v>4.72</c:v>
                </c:pt>
                <c:pt idx="693">
                  <c:v>4.72</c:v>
                </c:pt>
                <c:pt idx="694">
                  <c:v>4.72</c:v>
                </c:pt>
                <c:pt idx="695">
                  <c:v>4.72</c:v>
                </c:pt>
                <c:pt idx="696">
                  <c:v>4.72</c:v>
                </c:pt>
                <c:pt idx="697">
                  <c:v>4.7300000000000004</c:v>
                </c:pt>
                <c:pt idx="698">
                  <c:v>4.7300000000000004</c:v>
                </c:pt>
                <c:pt idx="699">
                  <c:v>4.7300000000000004</c:v>
                </c:pt>
                <c:pt idx="700">
                  <c:v>4.7300000000000004</c:v>
                </c:pt>
                <c:pt idx="701">
                  <c:v>4.7300000000000004</c:v>
                </c:pt>
                <c:pt idx="702">
                  <c:v>4.74</c:v>
                </c:pt>
                <c:pt idx="703">
                  <c:v>4.74</c:v>
                </c:pt>
                <c:pt idx="704">
                  <c:v>4.74</c:v>
                </c:pt>
                <c:pt idx="705">
                  <c:v>4.74</c:v>
                </c:pt>
                <c:pt idx="706">
                  <c:v>4.74</c:v>
                </c:pt>
                <c:pt idx="707">
                  <c:v>4.75</c:v>
                </c:pt>
                <c:pt idx="708">
                  <c:v>4.75</c:v>
                </c:pt>
                <c:pt idx="709">
                  <c:v>4.75</c:v>
                </c:pt>
                <c:pt idx="710">
                  <c:v>4.75</c:v>
                </c:pt>
                <c:pt idx="711">
                  <c:v>4.75</c:v>
                </c:pt>
                <c:pt idx="712">
                  <c:v>4.76</c:v>
                </c:pt>
                <c:pt idx="713">
                  <c:v>4.76</c:v>
                </c:pt>
                <c:pt idx="714">
                  <c:v>4.76</c:v>
                </c:pt>
                <c:pt idx="715">
                  <c:v>4.76</c:v>
                </c:pt>
                <c:pt idx="716">
                  <c:v>4.76</c:v>
                </c:pt>
                <c:pt idx="717">
                  <c:v>4.7699999999999996</c:v>
                </c:pt>
                <c:pt idx="718">
                  <c:v>4.7699999999999996</c:v>
                </c:pt>
                <c:pt idx="719">
                  <c:v>4.7699999999999996</c:v>
                </c:pt>
                <c:pt idx="720">
                  <c:v>4.7699999999999996</c:v>
                </c:pt>
                <c:pt idx="721">
                  <c:v>4.78</c:v>
                </c:pt>
                <c:pt idx="722">
                  <c:v>4.78</c:v>
                </c:pt>
                <c:pt idx="723">
                  <c:v>4.78</c:v>
                </c:pt>
                <c:pt idx="724">
                  <c:v>4.78</c:v>
                </c:pt>
                <c:pt idx="725">
                  <c:v>4.78</c:v>
                </c:pt>
                <c:pt idx="726">
                  <c:v>4.79</c:v>
                </c:pt>
                <c:pt idx="727">
                  <c:v>4.79</c:v>
                </c:pt>
                <c:pt idx="728">
                  <c:v>4.79</c:v>
                </c:pt>
                <c:pt idx="729">
                  <c:v>4.79</c:v>
                </c:pt>
                <c:pt idx="730">
                  <c:v>4.8</c:v>
                </c:pt>
                <c:pt idx="731">
                  <c:v>4.8</c:v>
                </c:pt>
                <c:pt idx="732">
                  <c:v>4.8</c:v>
                </c:pt>
                <c:pt idx="733">
                  <c:v>4.8</c:v>
                </c:pt>
                <c:pt idx="734">
                  <c:v>4.8099999999999996</c:v>
                </c:pt>
                <c:pt idx="735">
                  <c:v>4.8099999999999996</c:v>
                </c:pt>
                <c:pt idx="736">
                  <c:v>4.8099999999999996</c:v>
                </c:pt>
                <c:pt idx="737">
                  <c:v>4.8099999999999996</c:v>
                </c:pt>
                <c:pt idx="738">
                  <c:v>4.8099999999999996</c:v>
                </c:pt>
                <c:pt idx="739">
                  <c:v>4.82</c:v>
                </c:pt>
                <c:pt idx="740">
                  <c:v>4.82</c:v>
                </c:pt>
                <c:pt idx="741">
                  <c:v>4.82</c:v>
                </c:pt>
                <c:pt idx="742">
                  <c:v>4.82</c:v>
                </c:pt>
                <c:pt idx="743">
                  <c:v>4.83</c:v>
                </c:pt>
                <c:pt idx="744">
                  <c:v>4.83</c:v>
                </c:pt>
                <c:pt idx="745">
                  <c:v>4.83</c:v>
                </c:pt>
                <c:pt idx="746">
                  <c:v>4.83</c:v>
                </c:pt>
                <c:pt idx="747">
                  <c:v>4.84</c:v>
                </c:pt>
                <c:pt idx="748">
                  <c:v>4.84</c:v>
                </c:pt>
                <c:pt idx="749">
                  <c:v>4.84</c:v>
                </c:pt>
                <c:pt idx="750">
                  <c:v>4.84</c:v>
                </c:pt>
                <c:pt idx="751">
                  <c:v>4.8499999999999996</c:v>
                </c:pt>
                <c:pt idx="752">
                  <c:v>4.8499999999999996</c:v>
                </c:pt>
                <c:pt idx="753">
                  <c:v>4.8499999999999996</c:v>
                </c:pt>
                <c:pt idx="754">
                  <c:v>4.8499999999999996</c:v>
                </c:pt>
                <c:pt idx="755">
                  <c:v>4.8600000000000003</c:v>
                </c:pt>
                <c:pt idx="756">
                  <c:v>4.8600000000000003</c:v>
                </c:pt>
                <c:pt idx="757">
                  <c:v>4.8600000000000003</c:v>
                </c:pt>
                <c:pt idx="758">
                  <c:v>4.8600000000000003</c:v>
                </c:pt>
                <c:pt idx="759">
                  <c:v>4.87</c:v>
                </c:pt>
                <c:pt idx="760">
                  <c:v>4.87</c:v>
                </c:pt>
                <c:pt idx="761">
                  <c:v>4.87</c:v>
                </c:pt>
                <c:pt idx="762">
                  <c:v>4.87</c:v>
                </c:pt>
                <c:pt idx="763">
                  <c:v>4.88</c:v>
                </c:pt>
                <c:pt idx="764">
                  <c:v>4.88</c:v>
                </c:pt>
                <c:pt idx="765">
                  <c:v>4.88</c:v>
                </c:pt>
                <c:pt idx="766">
                  <c:v>4.88</c:v>
                </c:pt>
                <c:pt idx="767">
                  <c:v>4.8899999999999997</c:v>
                </c:pt>
                <c:pt idx="768">
                  <c:v>4.8899999999999997</c:v>
                </c:pt>
                <c:pt idx="769">
                  <c:v>4.8899999999999997</c:v>
                </c:pt>
                <c:pt idx="770">
                  <c:v>4.8899999999999997</c:v>
                </c:pt>
                <c:pt idx="771">
                  <c:v>4.9000000000000004</c:v>
                </c:pt>
                <c:pt idx="772">
                  <c:v>4.9000000000000004</c:v>
                </c:pt>
                <c:pt idx="773">
                  <c:v>4.9000000000000004</c:v>
                </c:pt>
                <c:pt idx="774">
                  <c:v>4.91</c:v>
                </c:pt>
                <c:pt idx="775">
                  <c:v>4.91</c:v>
                </c:pt>
                <c:pt idx="776">
                  <c:v>4.91</c:v>
                </c:pt>
                <c:pt idx="777">
                  <c:v>4.91</c:v>
                </c:pt>
                <c:pt idx="778">
                  <c:v>4.92</c:v>
                </c:pt>
                <c:pt idx="779">
                  <c:v>4.92</c:v>
                </c:pt>
                <c:pt idx="780">
                  <c:v>4.92</c:v>
                </c:pt>
              </c:numCache>
            </c:numRef>
          </c:xVal>
          <c:yVal>
            <c:numRef>
              <c:f>'Comparison with LiquefyPro'!$BM$5:$BM$785</c:f>
              <c:numCache>
                <c:formatCode>0.000</c:formatCode>
                <c:ptCount val="781"/>
                <c:pt idx="0">
                  <c:v>-0.5</c:v>
                </c:pt>
                <c:pt idx="1">
                  <c:v>-0.52</c:v>
                </c:pt>
                <c:pt idx="2">
                  <c:v>-0.55000000000000004</c:v>
                </c:pt>
                <c:pt idx="3">
                  <c:v>-0.56999999999999995</c:v>
                </c:pt>
                <c:pt idx="4">
                  <c:v>-0.6</c:v>
                </c:pt>
                <c:pt idx="5">
                  <c:v>-0.62</c:v>
                </c:pt>
                <c:pt idx="6">
                  <c:v>-0.65</c:v>
                </c:pt>
                <c:pt idx="7">
                  <c:v>-0.67</c:v>
                </c:pt>
                <c:pt idx="8">
                  <c:v>-0.7</c:v>
                </c:pt>
                <c:pt idx="9">
                  <c:v>-0.72</c:v>
                </c:pt>
                <c:pt idx="10">
                  <c:v>-0.75</c:v>
                </c:pt>
                <c:pt idx="11">
                  <c:v>-0.77</c:v>
                </c:pt>
                <c:pt idx="12">
                  <c:v>-0.8</c:v>
                </c:pt>
                <c:pt idx="13">
                  <c:v>-0.82</c:v>
                </c:pt>
                <c:pt idx="14">
                  <c:v>-0.85</c:v>
                </c:pt>
                <c:pt idx="15">
                  <c:v>-0.87</c:v>
                </c:pt>
                <c:pt idx="16">
                  <c:v>-0.9</c:v>
                </c:pt>
                <c:pt idx="17">
                  <c:v>-0.92</c:v>
                </c:pt>
                <c:pt idx="18">
                  <c:v>-0.95</c:v>
                </c:pt>
                <c:pt idx="19">
                  <c:v>-0.97</c:v>
                </c:pt>
                <c:pt idx="20">
                  <c:v>-1</c:v>
                </c:pt>
                <c:pt idx="21">
                  <c:v>-1.02</c:v>
                </c:pt>
                <c:pt idx="22">
                  <c:v>-1.05</c:v>
                </c:pt>
                <c:pt idx="23">
                  <c:v>-1.07</c:v>
                </c:pt>
                <c:pt idx="24">
                  <c:v>-1.1000000000000001</c:v>
                </c:pt>
                <c:pt idx="25">
                  <c:v>-1.1200000000000001</c:v>
                </c:pt>
                <c:pt idx="26">
                  <c:v>-1.1499999999999999</c:v>
                </c:pt>
                <c:pt idx="27">
                  <c:v>-1.17</c:v>
                </c:pt>
                <c:pt idx="28">
                  <c:v>-1.2</c:v>
                </c:pt>
                <c:pt idx="29">
                  <c:v>-1.22</c:v>
                </c:pt>
                <c:pt idx="30">
                  <c:v>-1.25</c:v>
                </c:pt>
                <c:pt idx="31">
                  <c:v>-1.27</c:v>
                </c:pt>
                <c:pt idx="32">
                  <c:v>-1.3</c:v>
                </c:pt>
                <c:pt idx="33">
                  <c:v>-1.32</c:v>
                </c:pt>
                <c:pt idx="34">
                  <c:v>-1.35</c:v>
                </c:pt>
                <c:pt idx="35">
                  <c:v>-1.37</c:v>
                </c:pt>
                <c:pt idx="36">
                  <c:v>-1.4</c:v>
                </c:pt>
                <c:pt idx="37">
                  <c:v>-1.42</c:v>
                </c:pt>
                <c:pt idx="38">
                  <c:v>-1.45</c:v>
                </c:pt>
                <c:pt idx="39">
                  <c:v>-1.47</c:v>
                </c:pt>
                <c:pt idx="40">
                  <c:v>-1.5</c:v>
                </c:pt>
                <c:pt idx="41">
                  <c:v>-1.52</c:v>
                </c:pt>
                <c:pt idx="42">
                  <c:v>-1.55</c:v>
                </c:pt>
                <c:pt idx="43">
                  <c:v>-1.57</c:v>
                </c:pt>
                <c:pt idx="44">
                  <c:v>-1.6</c:v>
                </c:pt>
                <c:pt idx="45">
                  <c:v>-1.62</c:v>
                </c:pt>
                <c:pt idx="46">
                  <c:v>-1.65</c:v>
                </c:pt>
                <c:pt idx="47">
                  <c:v>-1.67</c:v>
                </c:pt>
                <c:pt idx="48">
                  <c:v>-1.7</c:v>
                </c:pt>
                <c:pt idx="49">
                  <c:v>-1.72</c:v>
                </c:pt>
                <c:pt idx="50">
                  <c:v>-1.75</c:v>
                </c:pt>
                <c:pt idx="51">
                  <c:v>-1.77</c:v>
                </c:pt>
                <c:pt idx="52">
                  <c:v>-1.8</c:v>
                </c:pt>
                <c:pt idx="53">
                  <c:v>-1.82</c:v>
                </c:pt>
                <c:pt idx="54">
                  <c:v>-1.85</c:v>
                </c:pt>
                <c:pt idx="55">
                  <c:v>-1.87</c:v>
                </c:pt>
                <c:pt idx="56">
                  <c:v>-1.9</c:v>
                </c:pt>
                <c:pt idx="57">
                  <c:v>-1.92</c:v>
                </c:pt>
                <c:pt idx="58">
                  <c:v>-1.95</c:v>
                </c:pt>
                <c:pt idx="59">
                  <c:v>-1.97</c:v>
                </c:pt>
                <c:pt idx="60">
                  <c:v>-2</c:v>
                </c:pt>
                <c:pt idx="61">
                  <c:v>-2.02</c:v>
                </c:pt>
                <c:pt idx="62">
                  <c:v>-2.0499999999999998</c:v>
                </c:pt>
                <c:pt idx="63">
                  <c:v>-2.0699999999999998</c:v>
                </c:pt>
                <c:pt idx="64">
                  <c:v>-2.1</c:v>
                </c:pt>
                <c:pt idx="65">
                  <c:v>-2.12</c:v>
                </c:pt>
                <c:pt idx="66">
                  <c:v>-2.15</c:v>
                </c:pt>
                <c:pt idx="67">
                  <c:v>-2.17</c:v>
                </c:pt>
                <c:pt idx="68">
                  <c:v>-2.2000000000000002</c:v>
                </c:pt>
                <c:pt idx="69">
                  <c:v>-2.2200000000000002</c:v>
                </c:pt>
                <c:pt idx="70">
                  <c:v>-2.25</c:v>
                </c:pt>
                <c:pt idx="71">
                  <c:v>-2.27</c:v>
                </c:pt>
                <c:pt idx="72">
                  <c:v>-2.2999999999999998</c:v>
                </c:pt>
                <c:pt idx="73">
                  <c:v>-2.3199999999999998</c:v>
                </c:pt>
                <c:pt idx="74">
                  <c:v>-2.35</c:v>
                </c:pt>
                <c:pt idx="75">
                  <c:v>-2.38</c:v>
                </c:pt>
                <c:pt idx="76">
                  <c:v>-2.4</c:v>
                </c:pt>
                <c:pt idx="77">
                  <c:v>-2.4300000000000002</c:v>
                </c:pt>
                <c:pt idx="78">
                  <c:v>-2.4500000000000002</c:v>
                </c:pt>
                <c:pt idx="79">
                  <c:v>-2.48</c:v>
                </c:pt>
                <c:pt idx="80">
                  <c:v>-2.5</c:v>
                </c:pt>
                <c:pt idx="81">
                  <c:v>-2.5299999999999998</c:v>
                </c:pt>
                <c:pt idx="82">
                  <c:v>-2.5499999999999998</c:v>
                </c:pt>
                <c:pt idx="83">
                  <c:v>-2.58</c:v>
                </c:pt>
                <c:pt idx="84">
                  <c:v>-2.6</c:v>
                </c:pt>
                <c:pt idx="85">
                  <c:v>-2.63</c:v>
                </c:pt>
                <c:pt idx="86">
                  <c:v>-2.65</c:v>
                </c:pt>
                <c:pt idx="87">
                  <c:v>-2.68</c:v>
                </c:pt>
                <c:pt idx="88">
                  <c:v>-2.7</c:v>
                </c:pt>
                <c:pt idx="89">
                  <c:v>-2.73</c:v>
                </c:pt>
                <c:pt idx="90">
                  <c:v>-2.75</c:v>
                </c:pt>
                <c:pt idx="91">
                  <c:v>-2.78</c:v>
                </c:pt>
                <c:pt idx="92">
                  <c:v>-2.8</c:v>
                </c:pt>
                <c:pt idx="93">
                  <c:v>-2.83</c:v>
                </c:pt>
                <c:pt idx="94">
                  <c:v>-2.85</c:v>
                </c:pt>
                <c:pt idx="95">
                  <c:v>-2.88</c:v>
                </c:pt>
                <c:pt idx="96">
                  <c:v>-2.9</c:v>
                </c:pt>
                <c:pt idx="97">
                  <c:v>-2.93</c:v>
                </c:pt>
                <c:pt idx="98">
                  <c:v>-2.95</c:v>
                </c:pt>
                <c:pt idx="99">
                  <c:v>-2.98</c:v>
                </c:pt>
                <c:pt idx="100">
                  <c:v>-3</c:v>
                </c:pt>
                <c:pt idx="101">
                  <c:v>-3.03</c:v>
                </c:pt>
                <c:pt idx="102">
                  <c:v>-3.05</c:v>
                </c:pt>
                <c:pt idx="103">
                  <c:v>-3.08</c:v>
                </c:pt>
                <c:pt idx="104">
                  <c:v>-3.1</c:v>
                </c:pt>
                <c:pt idx="105">
                  <c:v>-3.13</c:v>
                </c:pt>
                <c:pt idx="106">
                  <c:v>-3.15</c:v>
                </c:pt>
                <c:pt idx="107">
                  <c:v>-3.18</c:v>
                </c:pt>
                <c:pt idx="108">
                  <c:v>-3.2</c:v>
                </c:pt>
                <c:pt idx="109">
                  <c:v>-3.23</c:v>
                </c:pt>
                <c:pt idx="110">
                  <c:v>-3.25</c:v>
                </c:pt>
                <c:pt idx="111">
                  <c:v>-3.28</c:v>
                </c:pt>
                <c:pt idx="112">
                  <c:v>-3.3</c:v>
                </c:pt>
                <c:pt idx="113">
                  <c:v>-3.33</c:v>
                </c:pt>
                <c:pt idx="114">
                  <c:v>-3.35</c:v>
                </c:pt>
                <c:pt idx="115">
                  <c:v>-3.38</c:v>
                </c:pt>
                <c:pt idx="116">
                  <c:v>-3.4</c:v>
                </c:pt>
                <c:pt idx="117">
                  <c:v>-3.43</c:v>
                </c:pt>
                <c:pt idx="118">
                  <c:v>-3.45</c:v>
                </c:pt>
                <c:pt idx="119">
                  <c:v>-3.48</c:v>
                </c:pt>
                <c:pt idx="120">
                  <c:v>-3.5</c:v>
                </c:pt>
                <c:pt idx="121">
                  <c:v>-3.53</c:v>
                </c:pt>
                <c:pt idx="122">
                  <c:v>-3.55</c:v>
                </c:pt>
                <c:pt idx="123">
                  <c:v>-3.58</c:v>
                </c:pt>
                <c:pt idx="124">
                  <c:v>-3.6</c:v>
                </c:pt>
                <c:pt idx="125">
                  <c:v>-3.63</c:v>
                </c:pt>
                <c:pt idx="126">
                  <c:v>-3.65</c:v>
                </c:pt>
                <c:pt idx="127">
                  <c:v>-3.68</c:v>
                </c:pt>
                <c:pt idx="128">
                  <c:v>-3.7</c:v>
                </c:pt>
                <c:pt idx="129">
                  <c:v>-3.73</c:v>
                </c:pt>
                <c:pt idx="130">
                  <c:v>-3.75</c:v>
                </c:pt>
                <c:pt idx="131">
                  <c:v>-3.78</c:v>
                </c:pt>
                <c:pt idx="132">
                  <c:v>-3.8</c:v>
                </c:pt>
                <c:pt idx="133">
                  <c:v>-3.83</c:v>
                </c:pt>
                <c:pt idx="134">
                  <c:v>-3.85</c:v>
                </c:pt>
                <c:pt idx="135">
                  <c:v>-3.88</c:v>
                </c:pt>
                <c:pt idx="136">
                  <c:v>-3.9</c:v>
                </c:pt>
                <c:pt idx="137">
                  <c:v>-3.93</c:v>
                </c:pt>
                <c:pt idx="138">
                  <c:v>-3.95</c:v>
                </c:pt>
                <c:pt idx="139">
                  <c:v>-3.98</c:v>
                </c:pt>
                <c:pt idx="140">
                  <c:v>-4</c:v>
                </c:pt>
                <c:pt idx="141">
                  <c:v>-4.03</c:v>
                </c:pt>
                <c:pt idx="142">
                  <c:v>-4.05</c:v>
                </c:pt>
                <c:pt idx="143">
                  <c:v>-4.08</c:v>
                </c:pt>
                <c:pt idx="144">
                  <c:v>-4.0999999999999996</c:v>
                </c:pt>
                <c:pt idx="145">
                  <c:v>-4.13</c:v>
                </c:pt>
                <c:pt idx="146">
                  <c:v>-4.1500000000000004</c:v>
                </c:pt>
                <c:pt idx="147">
                  <c:v>-4.18</c:v>
                </c:pt>
                <c:pt idx="148">
                  <c:v>-4.2</c:v>
                </c:pt>
                <c:pt idx="149">
                  <c:v>-4.2300000000000004</c:v>
                </c:pt>
                <c:pt idx="150">
                  <c:v>-4.25</c:v>
                </c:pt>
                <c:pt idx="151">
                  <c:v>-4.28</c:v>
                </c:pt>
                <c:pt idx="152">
                  <c:v>-4.3</c:v>
                </c:pt>
                <c:pt idx="153">
                  <c:v>-4.33</c:v>
                </c:pt>
                <c:pt idx="154">
                  <c:v>-4.3499999999999996</c:v>
                </c:pt>
                <c:pt idx="155">
                  <c:v>-4.38</c:v>
                </c:pt>
                <c:pt idx="156">
                  <c:v>-4.4000000000000004</c:v>
                </c:pt>
                <c:pt idx="157">
                  <c:v>-4.43</c:v>
                </c:pt>
                <c:pt idx="158">
                  <c:v>-4.45</c:v>
                </c:pt>
                <c:pt idx="159">
                  <c:v>-4.4800000000000004</c:v>
                </c:pt>
                <c:pt idx="160">
                  <c:v>-4.5</c:v>
                </c:pt>
                <c:pt idx="161">
                  <c:v>-4.53</c:v>
                </c:pt>
                <c:pt idx="162">
                  <c:v>-4.55</c:v>
                </c:pt>
                <c:pt idx="163">
                  <c:v>-4.58</c:v>
                </c:pt>
                <c:pt idx="164">
                  <c:v>-4.5999999999999996</c:v>
                </c:pt>
                <c:pt idx="165">
                  <c:v>-4.63</c:v>
                </c:pt>
                <c:pt idx="166">
                  <c:v>-4.6500000000000004</c:v>
                </c:pt>
                <c:pt idx="167">
                  <c:v>-4.68</c:v>
                </c:pt>
                <c:pt idx="168">
                  <c:v>-4.7</c:v>
                </c:pt>
                <c:pt idx="169">
                  <c:v>-4.7300000000000004</c:v>
                </c:pt>
                <c:pt idx="170">
                  <c:v>-4.75</c:v>
                </c:pt>
                <c:pt idx="171">
                  <c:v>-4.78</c:v>
                </c:pt>
                <c:pt idx="172">
                  <c:v>-4.8</c:v>
                </c:pt>
                <c:pt idx="173">
                  <c:v>-4.83</c:v>
                </c:pt>
                <c:pt idx="174">
                  <c:v>-4.8499999999999996</c:v>
                </c:pt>
                <c:pt idx="175">
                  <c:v>-4.88</c:v>
                </c:pt>
                <c:pt idx="176">
                  <c:v>-4.9000000000000004</c:v>
                </c:pt>
                <c:pt idx="177">
                  <c:v>-4.93</c:v>
                </c:pt>
                <c:pt idx="178">
                  <c:v>-4.95</c:v>
                </c:pt>
                <c:pt idx="179">
                  <c:v>-4.9800000000000004</c:v>
                </c:pt>
                <c:pt idx="180">
                  <c:v>-5</c:v>
                </c:pt>
                <c:pt idx="181">
                  <c:v>-5.03</c:v>
                </c:pt>
                <c:pt idx="182">
                  <c:v>-5.05</c:v>
                </c:pt>
                <c:pt idx="183">
                  <c:v>-5.08</c:v>
                </c:pt>
                <c:pt idx="184">
                  <c:v>-5.0999999999999996</c:v>
                </c:pt>
                <c:pt idx="185">
                  <c:v>-5.13</c:v>
                </c:pt>
                <c:pt idx="186">
                  <c:v>-5.15</c:v>
                </c:pt>
                <c:pt idx="187">
                  <c:v>-5.18</c:v>
                </c:pt>
                <c:pt idx="188">
                  <c:v>-5.2</c:v>
                </c:pt>
                <c:pt idx="189">
                  <c:v>-5.23</c:v>
                </c:pt>
                <c:pt idx="190">
                  <c:v>-5.25</c:v>
                </c:pt>
                <c:pt idx="191">
                  <c:v>-5.28</c:v>
                </c:pt>
                <c:pt idx="192">
                  <c:v>-5.3</c:v>
                </c:pt>
                <c:pt idx="193">
                  <c:v>-5.33</c:v>
                </c:pt>
                <c:pt idx="194">
                  <c:v>-5.35</c:v>
                </c:pt>
                <c:pt idx="195">
                  <c:v>-5.38</c:v>
                </c:pt>
                <c:pt idx="196">
                  <c:v>-5.4</c:v>
                </c:pt>
                <c:pt idx="197">
                  <c:v>-5.43</c:v>
                </c:pt>
                <c:pt idx="198">
                  <c:v>-5.45</c:v>
                </c:pt>
                <c:pt idx="199">
                  <c:v>-5.48</c:v>
                </c:pt>
                <c:pt idx="200">
                  <c:v>-5.5</c:v>
                </c:pt>
                <c:pt idx="201">
                  <c:v>-5.53</c:v>
                </c:pt>
                <c:pt idx="202">
                  <c:v>-5.55</c:v>
                </c:pt>
                <c:pt idx="203">
                  <c:v>-5.58</c:v>
                </c:pt>
                <c:pt idx="204">
                  <c:v>-5.6</c:v>
                </c:pt>
                <c:pt idx="205">
                  <c:v>-5.63</c:v>
                </c:pt>
                <c:pt idx="206">
                  <c:v>-5.65</c:v>
                </c:pt>
                <c:pt idx="207">
                  <c:v>-5.68</c:v>
                </c:pt>
                <c:pt idx="208">
                  <c:v>-5.7</c:v>
                </c:pt>
                <c:pt idx="209">
                  <c:v>-5.73</c:v>
                </c:pt>
                <c:pt idx="210">
                  <c:v>-5.75</c:v>
                </c:pt>
                <c:pt idx="211">
                  <c:v>-5.78</c:v>
                </c:pt>
                <c:pt idx="212">
                  <c:v>-5.8</c:v>
                </c:pt>
                <c:pt idx="213">
                  <c:v>-5.83</c:v>
                </c:pt>
                <c:pt idx="214">
                  <c:v>-5.85</c:v>
                </c:pt>
                <c:pt idx="215">
                  <c:v>-5.88</c:v>
                </c:pt>
                <c:pt idx="216">
                  <c:v>-5.9</c:v>
                </c:pt>
                <c:pt idx="217">
                  <c:v>-5.93</c:v>
                </c:pt>
                <c:pt idx="218">
                  <c:v>-5.95</c:v>
                </c:pt>
                <c:pt idx="219">
                  <c:v>-5.98</c:v>
                </c:pt>
                <c:pt idx="220">
                  <c:v>-6</c:v>
                </c:pt>
                <c:pt idx="221">
                  <c:v>-6.03</c:v>
                </c:pt>
                <c:pt idx="222">
                  <c:v>-6.05</c:v>
                </c:pt>
                <c:pt idx="223">
                  <c:v>-6.08</c:v>
                </c:pt>
                <c:pt idx="224">
                  <c:v>-6.1</c:v>
                </c:pt>
                <c:pt idx="225">
                  <c:v>-6.13</c:v>
                </c:pt>
                <c:pt idx="226">
                  <c:v>-6.15</c:v>
                </c:pt>
                <c:pt idx="227">
                  <c:v>-6.18</c:v>
                </c:pt>
                <c:pt idx="228">
                  <c:v>-6.2</c:v>
                </c:pt>
                <c:pt idx="229">
                  <c:v>-6.23</c:v>
                </c:pt>
                <c:pt idx="230">
                  <c:v>-6.25</c:v>
                </c:pt>
                <c:pt idx="231">
                  <c:v>-6.28</c:v>
                </c:pt>
                <c:pt idx="232">
                  <c:v>-6.3</c:v>
                </c:pt>
                <c:pt idx="233">
                  <c:v>-6.33</c:v>
                </c:pt>
                <c:pt idx="234">
                  <c:v>-6.35</c:v>
                </c:pt>
                <c:pt idx="235">
                  <c:v>-6.38</c:v>
                </c:pt>
                <c:pt idx="236">
                  <c:v>-6.4</c:v>
                </c:pt>
                <c:pt idx="237">
                  <c:v>-6.43</c:v>
                </c:pt>
                <c:pt idx="238">
                  <c:v>-6.45</c:v>
                </c:pt>
                <c:pt idx="239">
                  <c:v>-6.48</c:v>
                </c:pt>
                <c:pt idx="240">
                  <c:v>-6.5</c:v>
                </c:pt>
                <c:pt idx="241">
                  <c:v>-6.53</c:v>
                </c:pt>
                <c:pt idx="242">
                  <c:v>-6.55</c:v>
                </c:pt>
                <c:pt idx="243">
                  <c:v>-6.58</c:v>
                </c:pt>
                <c:pt idx="244">
                  <c:v>-6.6</c:v>
                </c:pt>
                <c:pt idx="245">
                  <c:v>-6.63</c:v>
                </c:pt>
                <c:pt idx="246">
                  <c:v>-6.65</c:v>
                </c:pt>
                <c:pt idx="247">
                  <c:v>-6.68</c:v>
                </c:pt>
                <c:pt idx="248">
                  <c:v>-6.7</c:v>
                </c:pt>
                <c:pt idx="249">
                  <c:v>-6.73</c:v>
                </c:pt>
                <c:pt idx="250">
                  <c:v>-6.75</c:v>
                </c:pt>
                <c:pt idx="251">
                  <c:v>-6.78</c:v>
                </c:pt>
                <c:pt idx="252">
                  <c:v>-6.8</c:v>
                </c:pt>
                <c:pt idx="253">
                  <c:v>-6.83</c:v>
                </c:pt>
                <c:pt idx="254">
                  <c:v>-6.85</c:v>
                </c:pt>
                <c:pt idx="255">
                  <c:v>-6.88</c:v>
                </c:pt>
                <c:pt idx="256">
                  <c:v>-6.9</c:v>
                </c:pt>
                <c:pt idx="257">
                  <c:v>-6.93</c:v>
                </c:pt>
                <c:pt idx="258">
                  <c:v>-6.95</c:v>
                </c:pt>
                <c:pt idx="259">
                  <c:v>-6.98</c:v>
                </c:pt>
                <c:pt idx="260">
                  <c:v>-7</c:v>
                </c:pt>
                <c:pt idx="261">
                  <c:v>-7.03</c:v>
                </c:pt>
                <c:pt idx="262">
                  <c:v>-7.05</c:v>
                </c:pt>
                <c:pt idx="263">
                  <c:v>-7.08</c:v>
                </c:pt>
                <c:pt idx="264">
                  <c:v>-7.1</c:v>
                </c:pt>
                <c:pt idx="265">
                  <c:v>-7.13</c:v>
                </c:pt>
                <c:pt idx="266">
                  <c:v>-7.15</c:v>
                </c:pt>
                <c:pt idx="267">
                  <c:v>-7.18</c:v>
                </c:pt>
                <c:pt idx="268">
                  <c:v>-7.2</c:v>
                </c:pt>
                <c:pt idx="269">
                  <c:v>-7.23</c:v>
                </c:pt>
                <c:pt idx="270">
                  <c:v>-7.25</c:v>
                </c:pt>
                <c:pt idx="271">
                  <c:v>-7.28</c:v>
                </c:pt>
                <c:pt idx="272">
                  <c:v>-7.3</c:v>
                </c:pt>
                <c:pt idx="273">
                  <c:v>-7.33</c:v>
                </c:pt>
                <c:pt idx="274">
                  <c:v>-7.35</c:v>
                </c:pt>
                <c:pt idx="275">
                  <c:v>-7.38</c:v>
                </c:pt>
                <c:pt idx="276">
                  <c:v>-7.4</c:v>
                </c:pt>
                <c:pt idx="277">
                  <c:v>-7.43</c:v>
                </c:pt>
                <c:pt idx="278">
                  <c:v>-7.45</c:v>
                </c:pt>
                <c:pt idx="279">
                  <c:v>-7.48</c:v>
                </c:pt>
                <c:pt idx="280">
                  <c:v>-7.5</c:v>
                </c:pt>
                <c:pt idx="281">
                  <c:v>-7.53</c:v>
                </c:pt>
                <c:pt idx="282">
                  <c:v>-7.55</c:v>
                </c:pt>
                <c:pt idx="283">
                  <c:v>-7.58</c:v>
                </c:pt>
                <c:pt idx="284">
                  <c:v>-7.6</c:v>
                </c:pt>
                <c:pt idx="285">
                  <c:v>-7.63</c:v>
                </c:pt>
                <c:pt idx="286">
                  <c:v>-7.65</c:v>
                </c:pt>
                <c:pt idx="287">
                  <c:v>-7.68</c:v>
                </c:pt>
                <c:pt idx="288">
                  <c:v>-7.7</c:v>
                </c:pt>
                <c:pt idx="289">
                  <c:v>-7.73</c:v>
                </c:pt>
                <c:pt idx="290">
                  <c:v>-7.75</c:v>
                </c:pt>
                <c:pt idx="291">
                  <c:v>-7.78</c:v>
                </c:pt>
                <c:pt idx="292">
                  <c:v>-7.8</c:v>
                </c:pt>
                <c:pt idx="293">
                  <c:v>-7.83</c:v>
                </c:pt>
                <c:pt idx="294">
                  <c:v>-7.85</c:v>
                </c:pt>
                <c:pt idx="295">
                  <c:v>-7.88</c:v>
                </c:pt>
                <c:pt idx="296">
                  <c:v>-7.9</c:v>
                </c:pt>
                <c:pt idx="297">
                  <c:v>-7.93</c:v>
                </c:pt>
                <c:pt idx="298">
                  <c:v>-7.95</c:v>
                </c:pt>
                <c:pt idx="299">
                  <c:v>-7.98</c:v>
                </c:pt>
                <c:pt idx="300">
                  <c:v>-8</c:v>
                </c:pt>
                <c:pt idx="301">
                  <c:v>-8.0299999999999994</c:v>
                </c:pt>
                <c:pt idx="302">
                  <c:v>-8.0500000000000007</c:v>
                </c:pt>
                <c:pt idx="303">
                  <c:v>-8.08</c:v>
                </c:pt>
                <c:pt idx="304">
                  <c:v>-8.1</c:v>
                </c:pt>
                <c:pt idx="305">
                  <c:v>-8.1300000000000008</c:v>
                </c:pt>
                <c:pt idx="306">
                  <c:v>-8.15</c:v>
                </c:pt>
                <c:pt idx="307">
                  <c:v>-8.18</c:v>
                </c:pt>
                <c:pt idx="308">
                  <c:v>-8.1999999999999993</c:v>
                </c:pt>
                <c:pt idx="309">
                  <c:v>-8.23</c:v>
                </c:pt>
                <c:pt idx="310">
                  <c:v>-8.25</c:v>
                </c:pt>
                <c:pt idx="311">
                  <c:v>-8.2799999999999994</c:v>
                </c:pt>
                <c:pt idx="312">
                  <c:v>-8.3000000000000007</c:v>
                </c:pt>
                <c:pt idx="313">
                  <c:v>-8.33</c:v>
                </c:pt>
                <c:pt idx="314">
                  <c:v>-8.35</c:v>
                </c:pt>
                <c:pt idx="315">
                  <c:v>-8.3800000000000008</c:v>
                </c:pt>
                <c:pt idx="316">
                  <c:v>-8.4</c:v>
                </c:pt>
                <c:pt idx="317">
                  <c:v>-8.43</c:v>
                </c:pt>
                <c:pt idx="318">
                  <c:v>-8.4499999999999993</c:v>
                </c:pt>
                <c:pt idx="319">
                  <c:v>-8.48</c:v>
                </c:pt>
                <c:pt idx="320">
                  <c:v>-8.5</c:v>
                </c:pt>
                <c:pt idx="321">
                  <c:v>-8.5299999999999994</c:v>
                </c:pt>
                <c:pt idx="322">
                  <c:v>-8.5500000000000007</c:v>
                </c:pt>
                <c:pt idx="323">
                  <c:v>-8.58</c:v>
                </c:pt>
                <c:pt idx="324">
                  <c:v>-8.6</c:v>
                </c:pt>
                <c:pt idx="325">
                  <c:v>-8.6300000000000008</c:v>
                </c:pt>
                <c:pt idx="326">
                  <c:v>-8.65</c:v>
                </c:pt>
                <c:pt idx="327">
                  <c:v>-8.68</c:v>
                </c:pt>
                <c:pt idx="328">
                  <c:v>-8.6999999999999993</c:v>
                </c:pt>
                <c:pt idx="329">
                  <c:v>-8.73</c:v>
                </c:pt>
                <c:pt idx="330">
                  <c:v>-8.75</c:v>
                </c:pt>
                <c:pt idx="331">
                  <c:v>-8.7799999999999994</c:v>
                </c:pt>
                <c:pt idx="332">
                  <c:v>-8.8000000000000007</c:v>
                </c:pt>
                <c:pt idx="333">
                  <c:v>-8.83</c:v>
                </c:pt>
                <c:pt idx="334">
                  <c:v>-8.85</c:v>
                </c:pt>
                <c:pt idx="335">
                  <c:v>-8.8800000000000008</c:v>
                </c:pt>
                <c:pt idx="336">
                  <c:v>-8.9</c:v>
                </c:pt>
                <c:pt idx="337">
                  <c:v>-8.93</c:v>
                </c:pt>
                <c:pt idx="338">
                  <c:v>-8.9499999999999993</c:v>
                </c:pt>
                <c:pt idx="339">
                  <c:v>-8.98</c:v>
                </c:pt>
                <c:pt idx="340">
                  <c:v>-9</c:v>
                </c:pt>
                <c:pt idx="341">
                  <c:v>-9.0299999999999994</c:v>
                </c:pt>
                <c:pt idx="342">
                  <c:v>-9.0500000000000007</c:v>
                </c:pt>
                <c:pt idx="343">
                  <c:v>-9.08</c:v>
                </c:pt>
                <c:pt idx="344">
                  <c:v>-9.1</c:v>
                </c:pt>
                <c:pt idx="345">
                  <c:v>-9.1300000000000008</c:v>
                </c:pt>
                <c:pt idx="346">
                  <c:v>-9.15</c:v>
                </c:pt>
                <c:pt idx="347">
                  <c:v>-9.18</c:v>
                </c:pt>
                <c:pt idx="348">
                  <c:v>-9.1999999999999993</c:v>
                </c:pt>
                <c:pt idx="349">
                  <c:v>-9.23</c:v>
                </c:pt>
                <c:pt idx="350">
                  <c:v>-9.25</c:v>
                </c:pt>
                <c:pt idx="351">
                  <c:v>-9.2799999999999994</c:v>
                </c:pt>
                <c:pt idx="352">
                  <c:v>-9.3000000000000007</c:v>
                </c:pt>
                <c:pt idx="353">
                  <c:v>-9.33</c:v>
                </c:pt>
                <c:pt idx="354">
                  <c:v>-9.35</c:v>
                </c:pt>
                <c:pt idx="355">
                  <c:v>-9.3800000000000008</c:v>
                </c:pt>
                <c:pt idx="356">
                  <c:v>-9.4</c:v>
                </c:pt>
                <c:pt idx="357">
                  <c:v>-9.42</c:v>
                </c:pt>
                <c:pt idx="358">
                  <c:v>-9.4499999999999993</c:v>
                </c:pt>
                <c:pt idx="359">
                  <c:v>-9.4700000000000006</c:v>
                </c:pt>
                <c:pt idx="360">
                  <c:v>-9.5</c:v>
                </c:pt>
                <c:pt idx="361">
                  <c:v>-9.52</c:v>
                </c:pt>
                <c:pt idx="362">
                  <c:v>-9.5500000000000007</c:v>
                </c:pt>
                <c:pt idx="363">
                  <c:v>-9.57</c:v>
                </c:pt>
                <c:pt idx="364">
                  <c:v>-9.6</c:v>
                </c:pt>
                <c:pt idx="365">
                  <c:v>-9.6199999999999992</c:v>
                </c:pt>
                <c:pt idx="366">
                  <c:v>-9.65</c:v>
                </c:pt>
                <c:pt idx="367">
                  <c:v>-9.67</c:v>
                </c:pt>
                <c:pt idx="368">
                  <c:v>-9.6999999999999993</c:v>
                </c:pt>
                <c:pt idx="369">
                  <c:v>-9.7200000000000006</c:v>
                </c:pt>
                <c:pt idx="370">
                  <c:v>-9.75</c:v>
                </c:pt>
                <c:pt idx="371">
                  <c:v>-9.77</c:v>
                </c:pt>
                <c:pt idx="372">
                  <c:v>-9.8000000000000007</c:v>
                </c:pt>
                <c:pt idx="373">
                  <c:v>-9.82</c:v>
                </c:pt>
                <c:pt idx="374">
                  <c:v>-9.85</c:v>
                </c:pt>
                <c:pt idx="375">
                  <c:v>-9.8699999999999992</c:v>
                </c:pt>
                <c:pt idx="376">
                  <c:v>-9.9</c:v>
                </c:pt>
                <c:pt idx="377">
                  <c:v>-9.92</c:v>
                </c:pt>
                <c:pt idx="378">
                  <c:v>-9.9499999999999993</c:v>
                </c:pt>
                <c:pt idx="379">
                  <c:v>-9.9700000000000006</c:v>
                </c:pt>
                <c:pt idx="380">
                  <c:v>-10</c:v>
                </c:pt>
                <c:pt idx="381">
                  <c:v>-10.02</c:v>
                </c:pt>
                <c:pt idx="382">
                  <c:v>-10.050000000000001</c:v>
                </c:pt>
                <c:pt idx="383">
                  <c:v>-10.07</c:v>
                </c:pt>
                <c:pt idx="384">
                  <c:v>-10.1</c:v>
                </c:pt>
                <c:pt idx="385">
                  <c:v>-10.119999999999999</c:v>
                </c:pt>
                <c:pt idx="386">
                  <c:v>-10.15</c:v>
                </c:pt>
                <c:pt idx="387">
                  <c:v>-10.17</c:v>
                </c:pt>
                <c:pt idx="388">
                  <c:v>-10.199999999999999</c:v>
                </c:pt>
                <c:pt idx="389">
                  <c:v>-10.220000000000001</c:v>
                </c:pt>
                <c:pt idx="390">
                  <c:v>-10.25</c:v>
                </c:pt>
                <c:pt idx="391">
                  <c:v>-10.27</c:v>
                </c:pt>
                <c:pt idx="392">
                  <c:v>-10.3</c:v>
                </c:pt>
                <c:pt idx="393">
                  <c:v>-10.32</c:v>
                </c:pt>
                <c:pt idx="394">
                  <c:v>-10.35</c:v>
                </c:pt>
                <c:pt idx="395">
                  <c:v>-10.37</c:v>
                </c:pt>
                <c:pt idx="396">
                  <c:v>-10.4</c:v>
                </c:pt>
                <c:pt idx="397">
                  <c:v>-10.42</c:v>
                </c:pt>
                <c:pt idx="398">
                  <c:v>-10.45</c:v>
                </c:pt>
                <c:pt idx="399">
                  <c:v>-10.47</c:v>
                </c:pt>
                <c:pt idx="400">
                  <c:v>-10.5</c:v>
                </c:pt>
                <c:pt idx="401">
                  <c:v>-10.52</c:v>
                </c:pt>
                <c:pt idx="402">
                  <c:v>-10.55</c:v>
                </c:pt>
                <c:pt idx="403">
                  <c:v>-10.57</c:v>
                </c:pt>
                <c:pt idx="404">
                  <c:v>-10.6</c:v>
                </c:pt>
                <c:pt idx="405">
                  <c:v>-10.62</c:v>
                </c:pt>
                <c:pt idx="406">
                  <c:v>-10.65</c:v>
                </c:pt>
                <c:pt idx="407">
                  <c:v>-10.67</c:v>
                </c:pt>
                <c:pt idx="408">
                  <c:v>-10.7</c:v>
                </c:pt>
                <c:pt idx="409">
                  <c:v>-10.72</c:v>
                </c:pt>
                <c:pt idx="410">
                  <c:v>-10.75</c:v>
                </c:pt>
                <c:pt idx="411">
                  <c:v>-10.77</c:v>
                </c:pt>
                <c:pt idx="412">
                  <c:v>-10.8</c:v>
                </c:pt>
                <c:pt idx="413">
                  <c:v>-10.82</c:v>
                </c:pt>
                <c:pt idx="414">
                  <c:v>-10.85</c:v>
                </c:pt>
                <c:pt idx="415">
                  <c:v>-10.87</c:v>
                </c:pt>
                <c:pt idx="416">
                  <c:v>-10.9</c:v>
                </c:pt>
                <c:pt idx="417">
                  <c:v>-10.92</c:v>
                </c:pt>
                <c:pt idx="418">
                  <c:v>-10.95</c:v>
                </c:pt>
                <c:pt idx="419">
                  <c:v>-10.97</c:v>
                </c:pt>
                <c:pt idx="420">
                  <c:v>-11</c:v>
                </c:pt>
                <c:pt idx="421">
                  <c:v>-11.02</c:v>
                </c:pt>
                <c:pt idx="422">
                  <c:v>-11.05</c:v>
                </c:pt>
                <c:pt idx="423">
                  <c:v>-11.07</c:v>
                </c:pt>
                <c:pt idx="424">
                  <c:v>-11.1</c:v>
                </c:pt>
                <c:pt idx="425">
                  <c:v>-11.12</c:v>
                </c:pt>
                <c:pt idx="426">
                  <c:v>-11.15</c:v>
                </c:pt>
                <c:pt idx="427">
                  <c:v>-11.17</c:v>
                </c:pt>
                <c:pt idx="428">
                  <c:v>-11.2</c:v>
                </c:pt>
                <c:pt idx="429">
                  <c:v>-11.22</c:v>
                </c:pt>
                <c:pt idx="430">
                  <c:v>-11.25</c:v>
                </c:pt>
                <c:pt idx="431">
                  <c:v>-11.27</c:v>
                </c:pt>
                <c:pt idx="432">
                  <c:v>-11.3</c:v>
                </c:pt>
                <c:pt idx="433">
                  <c:v>-11.32</c:v>
                </c:pt>
                <c:pt idx="434">
                  <c:v>-11.35</c:v>
                </c:pt>
                <c:pt idx="435">
                  <c:v>-11.37</c:v>
                </c:pt>
                <c:pt idx="436">
                  <c:v>-11.4</c:v>
                </c:pt>
                <c:pt idx="437">
                  <c:v>-11.42</c:v>
                </c:pt>
                <c:pt idx="438">
                  <c:v>-11.45</c:v>
                </c:pt>
                <c:pt idx="439">
                  <c:v>-11.47</c:v>
                </c:pt>
                <c:pt idx="440">
                  <c:v>-11.5</c:v>
                </c:pt>
                <c:pt idx="441">
                  <c:v>-11.52</c:v>
                </c:pt>
                <c:pt idx="442">
                  <c:v>-11.55</c:v>
                </c:pt>
                <c:pt idx="443">
                  <c:v>-11.57</c:v>
                </c:pt>
                <c:pt idx="444">
                  <c:v>-11.6</c:v>
                </c:pt>
                <c:pt idx="445">
                  <c:v>-11.62</c:v>
                </c:pt>
                <c:pt idx="446">
                  <c:v>-11.65</c:v>
                </c:pt>
                <c:pt idx="447">
                  <c:v>-11.67</c:v>
                </c:pt>
                <c:pt idx="448">
                  <c:v>-11.7</c:v>
                </c:pt>
                <c:pt idx="449">
                  <c:v>-11.72</c:v>
                </c:pt>
                <c:pt idx="450">
                  <c:v>-11.75</c:v>
                </c:pt>
                <c:pt idx="451">
                  <c:v>-11.77</c:v>
                </c:pt>
                <c:pt idx="452">
                  <c:v>-11.8</c:v>
                </c:pt>
                <c:pt idx="453">
                  <c:v>-11.82</c:v>
                </c:pt>
                <c:pt idx="454">
                  <c:v>-11.85</c:v>
                </c:pt>
                <c:pt idx="455">
                  <c:v>-11.87</c:v>
                </c:pt>
                <c:pt idx="456">
                  <c:v>-11.9</c:v>
                </c:pt>
                <c:pt idx="457">
                  <c:v>-11.92</c:v>
                </c:pt>
                <c:pt idx="458">
                  <c:v>-11.95</c:v>
                </c:pt>
                <c:pt idx="459">
                  <c:v>-11.97</c:v>
                </c:pt>
                <c:pt idx="460">
                  <c:v>-12</c:v>
                </c:pt>
                <c:pt idx="461">
                  <c:v>-12.02</c:v>
                </c:pt>
                <c:pt idx="462">
                  <c:v>-12.05</c:v>
                </c:pt>
                <c:pt idx="463">
                  <c:v>-12.07</c:v>
                </c:pt>
                <c:pt idx="464">
                  <c:v>-12.1</c:v>
                </c:pt>
                <c:pt idx="465">
                  <c:v>-12.12</c:v>
                </c:pt>
                <c:pt idx="466">
                  <c:v>-12.15</c:v>
                </c:pt>
                <c:pt idx="467">
                  <c:v>-12.17</c:v>
                </c:pt>
                <c:pt idx="468">
                  <c:v>-12.2</c:v>
                </c:pt>
                <c:pt idx="469">
                  <c:v>-12.22</c:v>
                </c:pt>
                <c:pt idx="470">
                  <c:v>-12.25</c:v>
                </c:pt>
                <c:pt idx="471">
                  <c:v>-12.27</c:v>
                </c:pt>
                <c:pt idx="472">
                  <c:v>-12.3</c:v>
                </c:pt>
                <c:pt idx="473">
                  <c:v>-12.32</c:v>
                </c:pt>
                <c:pt idx="474">
                  <c:v>-12.35</c:v>
                </c:pt>
                <c:pt idx="475">
                  <c:v>-12.37</c:v>
                </c:pt>
                <c:pt idx="476">
                  <c:v>-12.4</c:v>
                </c:pt>
                <c:pt idx="477">
                  <c:v>-12.42</c:v>
                </c:pt>
                <c:pt idx="478">
                  <c:v>-12.45</c:v>
                </c:pt>
                <c:pt idx="479">
                  <c:v>-12.47</c:v>
                </c:pt>
                <c:pt idx="480">
                  <c:v>-12.5</c:v>
                </c:pt>
                <c:pt idx="481">
                  <c:v>-12.52</c:v>
                </c:pt>
                <c:pt idx="482">
                  <c:v>-12.55</c:v>
                </c:pt>
                <c:pt idx="483">
                  <c:v>-12.57</c:v>
                </c:pt>
                <c:pt idx="484">
                  <c:v>-12.6</c:v>
                </c:pt>
                <c:pt idx="485">
                  <c:v>-12.62</c:v>
                </c:pt>
                <c:pt idx="486">
                  <c:v>-12.65</c:v>
                </c:pt>
                <c:pt idx="487">
                  <c:v>-12.67</c:v>
                </c:pt>
                <c:pt idx="488">
                  <c:v>-12.7</c:v>
                </c:pt>
                <c:pt idx="489">
                  <c:v>-12.72</c:v>
                </c:pt>
                <c:pt idx="490">
                  <c:v>-12.75</c:v>
                </c:pt>
                <c:pt idx="491">
                  <c:v>-12.77</c:v>
                </c:pt>
                <c:pt idx="492">
                  <c:v>-12.8</c:v>
                </c:pt>
                <c:pt idx="493">
                  <c:v>-12.82</c:v>
                </c:pt>
                <c:pt idx="494">
                  <c:v>-12.85</c:v>
                </c:pt>
                <c:pt idx="495">
                  <c:v>-12.87</c:v>
                </c:pt>
                <c:pt idx="496">
                  <c:v>-12.9</c:v>
                </c:pt>
                <c:pt idx="497">
                  <c:v>-12.92</c:v>
                </c:pt>
                <c:pt idx="498">
                  <c:v>-12.95</c:v>
                </c:pt>
                <c:pt idx="499">
                  <c:v>-12.97</c:v>
                </c:pt>
                <c:pt idx="500">
                  <c:v>-13</c:v>
                </c:pt>
                <c:pt idx="501">
                  <c:v>-13.02</c:v>
                </c:pt>
                <c:pt idx="502">
                  <c:v>-13.05</c:v>
                </c:pt>
                <c:pt idx="503">
                  <c:v>-13.07</c:v>
                </c:pt>
                <c:pt idx="504">
                  <c:v>-13.1</c:v>
                </c:pt>
                <c:pt idx="505">
                  <c:v>-13.12</c:v>
                </c:pt>
                <c:pt idx="506">
                  <c:v>-13.15</c:v>
                </c:pt>
                <c:pt idx="507">
                  <c:v>-13.17</c:v>
                </c:pt>
                <c:pt idx="508">
                  <c:v>-13.2</c:v>
                </c:pt>
                <c:pt idx="509">
                  <c:v>-13.22</c:v>
                </c:pt>
                <c:pt idx="510">
                  <c:v>-13.25</c:v>
                </c:pt>
                <c:pt idx="511">
                  <c:v>-13.27</c:v>
                </c:pt>
                <c:pt idx="512">
                  <c:v>-13.3</c:v>
                </c:pt>
                <c:pt idx="513">
                  <c:v>-13.32</c:v>
                </c:pt>
                <c:pt idx="514">
                  <c:v>-13.35</c:v>
                </c:pt>
                <c:pt idx="515">
                  <c:v>-13.37</c:v>
                </c:pt>
                <c:pt idx="516">
                  <c:v>-13.4</c:v>
                </c:pt>
                <c:pt idx="517">
                  <c:v>-13.42</c:v>
                </c:pt>
                <c:pt idx="518">
                  <c:v>-13.45</c:v>
                </c:pt>
                <c:pt idx="519">
                  <c:v>-13.47</c:v>
                </c:pt>
                <c:pt idx="520">
                  <c:v>-13.5</c:v>
                </c:pt>
                <c:pt idx="521">
                  <c:v>-13.52</c:v>
                </c:pt>
                <c:pt idx="522">
                  <c:v>-13.55</c:v>
                </c:pt>
                <c:pt idx="523">
                  <c:v>-13.57</c:v>
                </c:pt>
                <c:pt idx="524">
                  <c:v>-13.6</c:v>
                </c:pt>
                <c:pt idx="525">
                  <c:v>-13.62</c:v>
                </c:pt>
                <c:pt idx="526">
                  <c:v>-13.65</c:v>
                </c:pt>
                <c:pt idx="527">
                  <c:v>-13.67</c:v>
                </c:pt>
                <c:pt idx="528">
                  <c:v>-13.7</c:v>
                </c:pt>
                <c:pt idx="529">
                  <c:v>-13.72</c:v>
                </c:pt>
                <c:pt idx="530">
                  <c:v>-13.75</c:v>
                </c:pt>
                <c:pt idx="531">
                  <c:v>-13.77</c:v>
                </c:pt>
                <c:pt idx="532">
                  <c:v>-13.8</c:v>
                </c:pt>
                <c:pt idx="533">
                  <c:v>-13.82</c:v>
                </c:pt>
                <c:pt idx="534">
                  <c:v>-13.85</c:v>
                </c:pt>
                <c:pt idx="535">
                  <c:v>-13.87</c:v>
                </c:pt>
                <c:pt idx="536">
                  <c:v>-13.9</c:v>
                </c:pt>
                <c:pt idx="537">
                  <c:v>-13.92</c:v>
                </c:pt>
                <c:pt idx="538">
                  <c:v>-13.95</c:v>
                </c:pt>
                <c:pt idx="539">
                  <c:v>-13.97</c:v>
                </c:pt>
                <c:pt idx="540">
                  <c:v>-14</c:v>
                </c:pt>
                <c:pt idx="541">
                  <c:v>-14.02</c:v>
                </c:pt>
                <c:pt idx="542">
                  <c:v>-14.05</c:v>
                </c:pt>
                <c:pt idx="543">
                  <c:v>-14.07</c:v>
                </c:pt>
                <c:pt idx="544">
                  <c:v>-14.1</c:v>
                </c:pt>
                <c:pt idx="545">
                  <c:v>-14.12</c:v>
                </c:pt>
                <c:pt idx="546">
                  <c:v>-14.15</c:v>
                </c:pt>
                <c:pt idx="547">
                  <c:v>-14.17</c:v>
                </c:pt>
                <c:pt idx="548">
                  <c:v>-14.2</c:v>
                </c:pt>
                <c:pt idx="549">
                  <c:v>-14.22</c:v>
                </c:pt>
                <c:pt idx="550">
                  <c:v>-14.25</c:v>
                </c:pt>
                <c:pt idx="551">
                  <c:v>-14.27</c:v>
                </c:pt>
                <c:pt idx="552">
                  <c:v>-14.3</c:v>
                </c:pt>
                <c:pt idx="553">
                  <c:v>-14.32</c:v>
                </c:pt>
                <c:pt idx="554">
                  <c:v>-14.35</c:v>
                </c:pt>
                <c:pt idx="555">
                  <c:v>-14.37</c:v>
                </c:pt>
                <c:pt idx="556">
                  <c:v>-14.4</c:v>
                </c:pt>
                <c:pt idx="557">
                  <c:v>-14.42</c:v>
                </c:pt>
                <c:pt idx="558">
                  <c:v>-14.45</c:v>
                </c:pt>
                <c:pt idx="559">
                  <c:v>-14.47</c:v>
                </c:pt>
                <c:pt idx="560">
                  <c:v>-14.5</c:v>
                </c:pt>
                <c:pt idx="561">
                  <c:v>-14.52</c:v>
                </c:pt>
                <c:pt idx="562">
                  <c:v>-14.55</c:v>
                </c:pt>
                <c:pt idx="563">
                  <c:v>-14.57</c:v>
                </c:pt>
                <c:pt idx="564">
                  <c:v>-14.6</c:v>
                </c:pt>
                <c:pt idx="565">
                  <c:v>-14.62</c:v>
                </c:pt>
                <c:pt idx="566">
                  <c:v>-14.65</c:v>
                </c:pt>
                <c:pt idx="567">
                  <c:v>-14.67</c:v>
                </c:pt>
                <c:pt idx="568">
                  <c:v>-14.7</c:v>
                </c:pt>
                <c:pt idx="569">
                  <c:v>-14.72</c:v>
                </c:pt>
                <c:pt idx="570">
                  <c:v>-14.75</c:v>
                </c:pt>
                <c:pt idx="571">
                  <c:v>-14.77</c:v>
                </c:pt>
                <c:pt idx="572">
                  <c:v>-14.8</c:v>
                </c:pt>
                <c:pt idx="573">
                  <c:v>-14.82</c:v>
                </c:pt>
                <c:pt idx="574">
                  <c:v>-14.85</c:v>
                </c:pt>
                <c:pt idx="575">
                  <c:v>-14.87</c:v>
                </c:pt>
                <c:pt idx="576">
                  <c:v>-14.9</c:v>
                </c:pt>
                <c:pt idx="577">
                  <c:v>-14.92</c:v>
                </c:pt>
                <c:pt idx="578">
                  <c:v>-14.95</c:v>
                </c:pt>
                <c:pt idx="579">
                  <c:v>-14.97</c:v>
                </c:pt>
                <c:pt idx="580">
                  <c:v>-15</c:v>
                </c:pt>
                <c:pt idx="581">
                  <c:v>-15.02</c:v>
                </c:pt>
                <c:pt idx="582">
                  <c:v>-15.05</c:v>
                </c:pt>
                <c:pt idx="583">
                  <c:v>-15.07</c:v>
                </c:pt>
                <c:pt idx="584">
                  <c:v>-15.1</c:v>
                </c:pt>
                <c:pt idx="585">
                  <c:v>-15.12</c:v>
                </c:pt>
                <c:pt idx="586">
                  <c:v>-15.15</c:v>
                </c:pt>
                <c:pt idx="587">
                  <c:v>-15.17</c:v>
                </c:pt>
                <c:pt idx="588">
                  <c:v>-15.2</c:v>
                </c:pt>
                <c:pt idx="589">
                  <c:v>-15.22</c:v>
                </c:pt>
                <c:pt idx="590">
                  <c:v>-15.25</c:v>
                </c:pt>
                <c:pt idx="591">
                  <c:v>-15.27</c:v>
                </c:pt>
                <c:pt idx="592">
                  <c:v>-15.3</c:v>
                </c:pt>
                <c:pt idx="593">
                  <c:v>-15.32</c:v>
                </c:pt>
                <c:pt idx="594">
                  <c:v>-15.35</c:v>
                </c:pt>
                <c:pt idx="595">
                  <c:v>-15.37</c:v>
                </c:pt>
                <c:pt idx="596">
                  <c:v>-15.4</c:v>
                </c:pt>
                <c:pt idx="597">
                  <c:v>-15.42</c:v>
                </c:pt>
                <c:pt idx="598">
                  <c:v>-15.45</c:v>
                </c:pt>
                <c:pt idx="599">
                  <c:v>-15.47</c:v>
                </c:pt>
                <c:pt idx="600">
                  <c:v>-15.5</c:v>
                </c:pt>
                <c:pt idx="601">
                  <c:v>-15.52</c:v>
                </c:pt>
                <c:pt idx="602">
                  <c:v>-15.55</c:v>
                </c:pt>
                <c:pt idx="603">
                  <c:v>-15.57</c:v>
                </c:pt>
                <c:pt idx="604">
                  <c:v>-15.6</c:v>
                </c:pt>
                <c:pt idx="605">
                  <c:v>-15.62</c:v>
                </c:pt>
                <c:pt idx="606">
                  <c:v>-15.65</c:v>
                </c:pt>
                <c:pt idx="607">
                  <c:v>-15.67</c:v>
                </c:pt>
                <c:pt idx="608">
                  <c:v>-15.7</c:v>
                </c:pt>
                <c:pt idx="609">
                  <c:v>-15.72</c:v>
                </c:pt>
                <c:pt idx="610">
                  <c:v>-15.75</c:v>
                </c:pt>
                <c:pt idx="611">
                  <c:v>-15.77</c:v>
                </c:pt>
                <c:pt idx="612">
                  <c:v>-15.8</c:v>
                </c:pt>
                <c:pt idx="613">
                  <c:v>-15.82</c:v>
                </c:pt>
                <c:pt idx="614">
                  <c:v>-15.85</c:v>
                </c:pt>
                <c:pt idx="615">
                  <c:v>-15.87</c:v>
                </c:pt>
                <c:pt idx="616">
                  <c:v>-15.9</c:v>
                </c:pt>
                <c:pt idx="617">
                  <c:v>-15.92</c:v>
                </c:pt>
                <c:pt idx="618">
                  <c:v>-15.95</c:v>
                </c:pt>
                <c:pt idx="619">
                  <c:v>-15.97</c:v>
                </c:pt>
                <c:pt idx="620">
                  <c:v>-16</c:v>
                </c:pt>
                <c:pt idx="621">
                  <c:v>-16.02</c:v>
                </c:pt>
                <c:pt idx="622">
                  <c:v>-16.05</c:v>
                </c:pt>
                <c:pt idx="623">
                  <c:v>-16.07</c:v>
                </c:pt>
                <c:pt idx="624">
                  <c:v>-16.100000000000001</c:v>
                </c:pt>
                <c:pt idx="625">
                  <c:v>-16.12</c:v>
                </c:pt>
                <c:pt idx="626">
                  <c:v>-16.149999999999999</c:v>
                </c:pt>
                <c:pt idx="627">
                  <c:v>-16.170000000000002</c:v>
                </c:pt>
                <c:pt idx="628">
                  <c:v>-16.2</c:v>
                </c:pt>
                <c:pt idx="629">
                  <c:v>-16.22</c:v>
                </c:pt>
                <c:pt idx="630">
                  <c:v>-16.25</c:v>
                </c:pt>
                <c:pt idx="631">
                  <c:v>-16.27</c:v>
                </c:pt>
                <c:pt idx="632">
                  <c:v>-16.3</c:v>
                </c:pt>
                <c:pt idx="633">
                  <c:v>-16.32</c:v>
                </c:pt>
                <c:pt idx="634">
                  <c:v>-16.350000000000001</c:v>
                </c:pt>
                <c:pt idx="635">
                  <c:v>-16.37</c:v>
                </c:pt>
                <c:pt idx="636">
                  <c:v>-16.399999999999999</c:v>
                </c:pt>
                <c:pt idx="637">
                  <c:v>-16.420000000000002</c:v>
                </c:pt>
                <c:pt idx="638">
                  <c:v>-16.45</c:v>
                </c:pt>
                <c:pt idx="639">
                  <c:v>-16.47</c:v>
                </c:pt>
                <c:pt idx="640">
                  <c:v>-16.5</c:v>
                </c:pt>
                <c:pt idx="641">
                  <c:v>-16.52</c:v>
                </c:pt>
                <c:pt idx="642">
                  <c:v>-16.55</c:v>
                </c:pt>
                <c:pt idx="643">
                  <c:v>-16.57</c:v>
                </c:pt>
                <c:pt idx="644">
                  <c:v>-16.600000000000001</c:v>
                </c:pt>
                <c:pt idx="645">
                  <c:v>-16.62</c:v>
                </c:pt>
                <c:pt idx="646">
                  <c:v>-16.649999999999999</c:v>
                </c:pt>
                <c:pt idx="647">
                  <c:v>-16.670000000000002</c:v>
                </c:pt>
                <c:pt idx="648">
                  <c:v>-16.7</c:v>
                </c:pt>
                <c:pt idx="649">
                  <c:v>-16.72</c:v>
                </c:pt>
                <c:pt idx="650">
                  <c:v>-16.75</c:v>
                </c:pt>
                <c:pt idx="651">
                  <c:v>-16.77</c:v>
                </c:pt>
                <c:pt idx="652">
                  <c:v>-16.8</c:v>
                </c:pt>
                <c:pt idx="653">
                  <c:v>-16.82</c:v>
                </c:pt>
                <c:pt idx="654">
                  <c:v>-16.850000000000001</c:v>
                </c:pt>
                <c:pt idx="655">
                  <c:v>-16.87</c:v>
                </c:pt>
                <c:pt idx="656">
                  <c:v>-16.899999999999999</c:v>
                </c:pt>
                <c:pt idx="657">
                  <c:v>-16.920000000000002</c:v>
                </c:pt>
                <c:pt idx="658">
                  <c:v>-16.95</c:v>
                </c:pt>
                <c:pt idx="659">
                  <c:v>-16.97</c:v>
                </c:pt>
                <c:pt idx="660">
                  <c:v>-17</c:v>
                </c:pt>
                <c:pt idx="661">
                  <c:v>-17.02</c:v>
                </c:pt>
                <c:pt idx="662">
                  <c:v>-17.05</c:v>
                </c:pt>
                <c:pt idx="663">
                  <c:v>-17.07</c:v>
                </c:pt>
                <c:pt idx="664">
                  <c:v>-17.100000000000001</c:v>
                </c:pt>
                <c:pt idx="665">
                  <c:v>-17.12</c:v>
                </c:pt>
                <c:pt idx="666">
                  <c:v>-17.149999999999999</c:v>
                </c:pt>
                <c:pt idx="667">
                  <c:v>-17.170000000000002</c:v>
                </c:pt>
                <c:pt idx="668">
                  <c:v>-17.2</c:v>
                </c:pt>
                <c:pt idx="669">
                  <c:v>-17.22</c:v>
                </c:pt>
                <c:pt idx="670">
                  <c:v>-17.25</c:v>
                </c:pt>
                <c:pt idx="671">
                  <c:v>-17.27</c:v>
                </c:pt>
                <c:pt idx="672">
                  <c:v>-17.3</c:v>
                </c:pt>
                <c:pt idx="673">
                  <c:v>-17.32</c:v>
                </c:pt>
                <c:pt idx="674">
                  <c:v>-17.350000000000001</c:v>
                </c:pt>
                <c:pt idx="675">
                  <c:v>-17.37</c:v>
                </c:pt>
                <c:pt idx="676">
                  <c:v>-17.399999999999999</c:v>
                </c:pt>
                <c:pt idx="677">
                  <c:v>-17.420000000000002</c:v>
                </c:pt>
                <c:pt idx="678">
                  <c:v>-17.45</c:v>
                </c:pt>
                <c:pt idx="679">
                  <c:v>-17.47</c:v>
                </c:pt>
                <c:pt idx="680">
                  <c:v>-17.5</c:v>
                </c:pt>
                <c:pt idx="681">
                  <c:v>-17.52</c:v>
                </c:pt>
                <c:pt idx="682">
                  <c:v>-17.55</c:v>
                </c:pt>
                <c:pt idx="683">
                  <c:v>-17.57</c:v>
                </c:pt>
                <c:pt idx="684">
                  <c:v>-17.600000000000001</c:v>
                </c:pt>
                <c:pt idx="685">
                  <c:v>-17.62</c:v>
                </c:pt>
                <c:pt idx="686">
                  <c:v>-17.649999999999999</c:v>
                </c:pt>
                <c:pt idx="687">
                  <c:v>-17.670000000000002</c:v>
                </c:pt>
                <c:pt idx="688">
                  <c:v>-17.7</c:v>
                </c:pt>
                <c:pt idx="689">
                  <c:v>-17.72</c:v>
                </c:pt>
                <c:pt idx="690">
                  <c:v>-17.75</c:v>
                </c:pt>
                <c:pt idx="691">
                  <c:v>-17.77</c:v>
                </c:pt>
                <c:pt idx="692">
                  <c:v>-17.8</c:v>
                </c:pt>
                <c:pt idx="693">
                  <c:v>-17.82</c:v>
                </c:pt>
                <c:pt idx="694">
                  <c:v>-17.850000000000001</c:v>
                </c:pt>
                <c:pt idx="695">
                  <c:v>-17.87</c:v>
                </c:pt>
                <c:pt idx="696">
                  <c:v>-17.899999999999999</c:v>
                </c:pt>
                <c:pt idx="697">
                  <c:v>-17.920000000000002</c:v>
                </c:pt>
                <c:pt idx="698">
                  <c:v>-17.95</c:v>
                </c:pt>
                <c:pt idx="699">
                  <c:v>-17.97</c:v>
                </c:pt>
                <c:pt idx="700">
                  <c:v>-18</c:v>
                </c:pt>
                <c:pt idx="701">
                  <c:v>-18.02</c:v>
                </c:pt>
                <c:pt idx="702">
                  <c:v>-18.05</c:v>
                </c:pt>
                <c:pt idx="703">
                  <c:v>-18.07</c:v>
                </c:pt>
                <c:pt idx="704">
                  <c:v>-18.100000000000001</c:v>
                </c:pt>
                <c:pt idx="705">
                  <c:v>-18.12</c:v>
                </c:pt>
                <c:pt idx="706">
                  <c:v>-18.149999999999999</c:v>
                </c:pt>
                <c:pt idx="707">
                  <c:v>-18.170000000000002</c:v>
                </c:pt>
                <c:pt idx="708">
                  <c:v>-18.2</c:v>
                </c:pt>
                <c:pt idx="709">
                  <c:v>-18.22</c:v>
                </c:pt>
                <c:pt idx="710">
                  <c:v>-18.25</c:v>
                </c:pt>
                <c:pt idx="711">
                  <c:v>-18.27</c:v>
                </c:pt>
                <c:pt idx="712">
                  <c:v>-18.3</c:v>
                </c:pt>
                <c:pt idx="713">
                  <c:v>-18.32</c:v>
                </c:pt>
                <c:pt idx="714">
                  <c:v>-18.350000000000001</c:v>
                </c:pt>
                <c:pt idx="715">
                  <c:v>-18.37</c:v>
                </c:pt>
                <c:pt idx="716">
                  <c:v>-18.399999999999999</c:v>
                </c:pt>
                <c:pt idx="717">
                  <c:v>-18.420000000000002</c:v>
                </c:pt>
                <c:pt idx="718">
                  <c:v>-18.45</c:v>
                </c:pt>
                <c:pt idx="719">
                  <c:v>-18.47</c:v>
                </c:pt>
                <c:pt idx="720">
                  <c:v>-18.5</c:v>
                </c:pt>
                <c:pt idx="721">
                  <c:v>-18.52</c:v>
                </c:pt>
                <c:pt idx="722">
                  <c:v>-18.55</c:v>
                </c:pt>
                <c:pt idx="723">
                  <c:v>-18.57</c:v>
                </c:pt>
                <c:pt idx="724">
                  <c:v>-18.600000000000001</c:v>
                </c:pt>
                <c:pt idx="725">
                  <c:v>-18.62</c:v>
                </c:pt>
                <c:pt idx="726">
                  <c:v>-18.649999999999999</c:v>
                </c:pt>
                <c:pt idx="727">
                  <c:v>-18.670000000000002</c:v>
                </c:pt>
                <c:pt idx="728">
                  <c:v>-18.7</c:v>
                </c:pt>
                <c:pt idx="729">
                  <c:v>-18.72</c:v>
                </c:pt>
                <c:pt idx="730">
                  <c:v>-18.75</c:v>
                </c:pt>
                <c:pt idx="731">
                  <c:v>-18.77</c:v>
                </c:pt>
                <c:pt idx="732">
                  <c:v>-18.8</c:v>
                </c:pt>
                <c:pt idx="733">
                  <c:v>-18.82</c:v>
                </c:pt>
                <c:pt idx="734">
                  <c:v>-18.850000000000001</c:v>
                </c:pt>
                <c:pt idx="735">
                  <c:v>-18.87</c:v>
                </c:pt>
                <c:pt idx="736">
                  <c:v>-18.899999999999999</c:v>
                </c:pt>
                <c:pt idx="737">
                  <c:v>-18.920000000000002</c:v>
                </c:pt>
                <c:pt idx="738">
                  <c:v>-18.95</c:v>
                </c:pt>
                <c:pt idx="739">
                  <c:v>-18.97</c:v>
                </c:pt>
                <c:pt idx="740">
                  <c:v>-19</c:v>
                </c:pt>
                <c:pt idx="741">
                  <c:v>-19.02</c:v>
                </c:pt>
                <c:pt idx="742">
                  <c:v>-19.05</c:v>
                </c:pt>
                <c:pt idx="743">
                  <c:v>-19.07</c:v>
                </c:pt>
                <c:pt idx="744">
                  <c:v>-19.100000000000001</c:v>
                </c:pt>
                <c:pt idx="745">
                  <c:v>-19.12</c:v>
                </c:pt>
                <c:pt idx="746">
                  <c:v>-19.149999999999999</c:v>
                </c:pt>
                <c:pt idx="747">
                  <c:v>-19.170000000000002</c:v>
                </c:pt>
                <c:pt idx="748">
                  <c:v>-19.2</c:v>
                </c:pt>
                <c:pt idx="749">
                  <c:v>-19.22</c:v>
                </c:pt>
                <c:pt idx="750">
                  <c:v>-19.25</c:v>
                </c:pt>
                <c:pt idx="751">
                  <c:v>-19.27</c:v>
                </c:pt>
                <c:pt idx="752">
                  <c:v>-19.3</c:v>
                </c:pt>
                <c:pt idx="753">
                  <c:v>-19.32</c:v>
                </c:pt>
                <c:pt idx="754">
                  <c:v>-19.350000000000001</c:v>
                </c:pt>
                <c:pt idx="755">
                  <c:v>-19.37</c:v>
                </c:pt>
                <c:pt idx="756">
                  <c:v>-19.399999999999999</c:v>
                </c:pt>
                <c:pt idx="757">
                  <c:v>-19.420000000000002</c:v>
                </c:pt>
                <c:pt idx="758">
                  <c:v>-19.45</c:v>
                </c:pt>
                <c:pt idx="759">
                  <c:v>-19.47</c:v>
                </c:pt>
                <c:pt idx="760">
                  <c:v>-19.5</c:v>
                </c:pt>
                <c:pt idx="761">
                  <c:v>-19.52</c:v>
                </c:pt>
                <c:pt idx="762">
                  <c:v>-19.55</c:v>
                </c:pt>
                <c:pt idx="763">
                  <c:v>-19.57</c:v>
                </c:pt>
                <c:pt idx="764">
                  <c:v>-19.600000000000001</c:v>
                </c:pt>
                <c:pt idx="765">
                  <c:v>-19.62</c:v>
                </c:pt>
                <c:pt idx="766">
                  <c:v>-19.649999999999999</c:v>
                </c:pt>
                <c:pt idx="767">
                  <c:v>-19.670000000000002</c:v>
                </c:pt>
                <c:pt idx="768">
                  <c:v>-19.7</c:v>
                </c:pt>
                <c:pt idx="769">
                  <c:v>-19.72</c:v>
                </c:pt>
                <c:pt idx="770">
                  <c:v>-19.75</c:v>
                </c:pt>
                <c:pt idx="771">
                  <c:v>-19.77</c:v>
                </c:pt>
                <c:pt idx="772">
                  <c:v>-19.8</c:v>
                </c:pt>
                <c:pt idx="773">
                  <c:v>-19.82</c:v>
                </c:pt>
                <c:pt idx="774">
                  <c:v>-19.850000000000001</c:v>
                </c:pt>
                <c:pt idx="775">
                  <c:v>-19.87</c:v>
                </c:pt>
                <c:pt idx="776">
                  <c:v>-19.899999999999999</c:v>
                </c:pt>
                <c:pt idx="777">
                  <c:v>-19.920000000000002</c:v>
                </c:pt>
                <c:pt idx="778">
                  <c:v>-19.95</c:v>
                </c:pt>
                <c:pt idx="779">
                  <c:v>-19.97</c:v>
                </c:pt>
                <c:pt idx="780">
                  <c:v>-20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FC-4DB3-8B57-A1105BA30A38}"/>
            </c:ext>
          </c:extLst>
        </c:ser>
        <c:ser>
          <c:idx val="0"/>
          <c:order val="1"/>
          <c:tx>
            <c:v>BH-05</c:v>
          </c:tx>
          <c:spPr>
            <a:ln w="19050"/>
          </c:spPr>
          <c:marker>
            <c:symbol val="none"/>
          </c:marker>
          <c:xVal>
            <c:numRef>
              <c:f>'All boreholes'!$AR$95:$AR$115</c:f>
              <c:numCache>
                <c:formatCode>0.00</c:formatCode>
                <c:ptCount val="21"/>
              </c:numCache>
            </c:numRef>
          </c:xVal>
          <c:yVal>
            <c:numRef>
              <c:f>'All boreholes'!$H$95:$H$115</c:f>
              <c:numCache>
                <c:formatCode>0.000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FC-4DB3-8B57-A1105BA30A38}"/>
            </c:ext>
          </c:extLst>
        </c:ser>
        <c:ser>
          <c:idx val="1"/>
          <c:order val="2"/>
          <c:tx>
            <c:v>Characteristic Line FOS=1.2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'Comparison with LiquefyPro'!$BS$22:$BS$23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'Comparison with LiquefyPro'!$BT$22:$BT$23</c:f>
              <c:numCache>
                <c:formatCode>General</c:formatCode>
                <c:ptCount val="2"/>
                <c:pt idx="0">
                  <c:v>-5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FC-4DB3-8B57-A1105BA30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74320"/>
        <c:axId val="1"/>
      </c:scatterChart>
      <c:valAx>
        <c:axId val="97857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Factor of Safety against Liquefaction for Mw = 6.2 (0.19g PGA)</a:t>
                </a:r>
              </a:p>
            </c:rich>
          </c:tx>
          <c:layout>
            <c:manualLayout>
              <c:xMode val="edge"/>
              <c:yMode val="edge"/>
              <c:x val="0.11437270341207348"/>
              <c:y val="6.2203249874664544E-2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2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 algn="ctr" rtl="0">
                  <a:def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Elevation (mDMD)</a:t>
                </a:r>
              </a:p>
            </c:rich>
          </c:tx>
          <c:layout>
            <c:manualLayout>
              <c:xMode val="edge"/>
              <c:yMode val="edge"/>
              <c:x val="3.806955380577428E-2"/>
              <c:y val="0.3588752248665546"/>
            </c:manualLayout>
          </c:layout>
          <c:overlay val="0"/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5743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157838900335342"/>
          <c:y val="0.30451295512744025"/>
          <c:w val="0.44349726343581697"/>
          <c:h val="0.60526649105577635"/>
        </c:manualLayout>
      </c:layout>
      <c:overlay val="0"/>
      <c:txPr>
        <a:bodyPr/>
        <a:lstStyle/>
        <a:p>
          <a:pPr algn="ctr" rtl="0">
            <a:defRPr lang="en-US" sz="9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83712928398344"/>
          <c:y val="0.13017844433740081"/>
          <c:w val="0.60795789441866788"/>
          <c:h val="0.80048311312530951"/>
        </c:manualLayout>
      </c:layout>
      <c:scatterChart>
        <c:scatterStyle val="smoothMarker"/>
        <c:varyColors val="0"/>
        <c:ser>
          <c:idx val="2"/>
          <c:order val="0"/>
          <c:tx>
            <c:v>BH-03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 boreholes'!$AR$54:$AR$73</c:f>
              <c:numCache>
                <c:formatCode>0.00</c:formatCode>
                <c:ptCount val="20"/>
              </c:numCache>
            </c:numRef>
          </c:xVal>
          <c:yVal>
            <c:numRef>
              <c:f>'All boreholes'!$H$54:$H$73</c:f>
              <c:numCache>
                <c:formatCode>0.000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D4-41C3-B565-B0AAFF7C2D44}"/>
            </c:ext>
          </c:extLst>
        </c:ser>
        <c:ser>
          <c:idx val="5"/>
          <c:order val="1"/>
          <c:tx>
            <c:v>Seed (1983)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'Comparison with Settle 3D'!$B$37:$B$48</c:f>
              <c:numCache>
                <c:formatCode>General</c:formatCode>
                <c:ptCount val="12"/>
                <c:pt idx="0">
                  <c:v>0.51281319846212914</c:v>
                </c:pt>
                <c:pt idx="1">
                  <c:v>0.46075244209224575</c:v>
                </c:pt>
                <c:pt idx="2">
                  <c:v>1.8282596540123333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xVal>
          <c:yVal>
            <c:numRef>
              <c:f>'Comparison with Settle 3D'!$E$37:$E$48</c:f>
              <c:numCache>
                <c:formatCode>0.000</c:formatCode>
                <c:ptCount val="12"/>
                <c:pt idx="0">
                  <c:v>12.499999999999998</c:v>
                </c:pt>
                <c:pt idx="1">
                  <c:v>11.499999999999998</c:v>
                </c:pt>
                <c:pt idx="2">
                  <c:v>10.499999999999998</c:v>
                </c:pt>
                <c:pt idx="3">
                  <c:v>9.4999999999999982</c:v>
                </c:pt>
                <c:pt idx="4">
                  <c:v>8.4999999999999982</c:v>
                </c:pt>
                <c:pt idx="5">
                  <c:v>7.4999999999999982</c:v>
                </c:pt>
                <c:pt idx="6">
                  <c:v>6.3999999999999986</c:v>
                </c:pt>
                <c:pt idx="7">
                  <c:v>5.3999999999999986</c:v>
                </c:pt>
                <c:pt idx="8">
                  <c:v>4.4999999999999982</c:v>
                </c:pt>
                <c:pt idx="9">
                  <c:v>3.4999999999999982</c:v>
                </c:pt>
                <c:pt idx="10">
                  <c:v>2.4999999999999982</c:v>
                </c:pt>
                <c:pt idx="11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D4-41C3-B565-B0AAFF7C2D44}"/>
            </c:ext>
          </c:extLst>
        </c:ser>
        <c:ser>
          <c:idx val="0"/>
          <c:order val="2"/>
          <c:tx>
            <c:v>NCEER (1997)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'Comparison with Settle 3D'!$F$37:$F$48</c:f>
              <c:numCache>
                <c:formatCode>General</c:formatCode>
                <c:ptCount val="12"/>
                <c:pt idx="0">
                  <c:v>0.68894115726126726</c:v>
                </c:pt>
                <c:pt idx="1">
                  <c:v>0.61899990409359318</c:v>
                </c:pt>
                <c:pt idx="2">
                  <c:v>1.8477269363603419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xVal>
          <c:yVal>
            <c:numRef>
              <c:f>'Comparison with Settle 3D'!$I$37:$I$48</c:f>
              <c:numCache>
                <c:formatCode>0.000</c:formatCode>
                <c:ptCount val="12"/>
                <c:pt idx="0">
                  <c:v>12.499999999999998</c:v>
                </c:pt>
                <c:pt idx="1">
                  <c:v>11.499999999999998</c:v>
                </c:pt>
                <c:pt idx="2">
                  <c:v>10.499999999999998</c:v>
                </c:pt>
                <c:pt idx="3">
                  <c:v>9.4999999999999982</c:v>
                </c:pt>
                <c:pt idx="4">
                  <c:v>8.4999999999999982</c:v>
                </c:pt>
                <c:pt idx="5">
                  <c:v>7.4999999999999982</c:v>
                </c:pt>
                <c:pt idx="6">
                  <c:v>6.3999999999999986</c:v>
                </c:pt>
                <c:pt idx="7">
                  <c:v>5.3999999999999986</c:v>
                </c:pt>
                <c:pt idx="8">
                  <c:v>4.4999999999999982</c:v>
                </c:pt>
                <c:pt idx="9">
                  <c:v>3.4999999999999982</c:v>
                </c:pt>
                <c:pt idx="10">
                  <c:v>2.4999999999999982</c:v>
                </c:pt>
                <c:pt idx="11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D4-41C3-B565-B0AAFF7C2D44}"/>
            </c:ext>
          </c:extLst>
        </c:ser>
        <c:ser>
          <c:idx val="1"/>
          <c:order val="3"/>
          <c:tx>
            <c:v>Idriss &amp; Boulanger (2004)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'Comparison with Settle 3D'!$J$37:$J$48</c:f>
              <c:numCache>
                <c:formatCode>General</c:formatCode>
                <c:ptCount val="12"/>
                <c:pt idx="0">
                  <c:v>0.71905432560311278</c:v>
                </c:pt>
                <c:pt idx="1">
                  <c:v>0.64605598590710545</c:v>
                </c:pt>
                <c:pt idx="2">
                  <c:v>1.7694464348773877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xVal>
          <c:yVal>
            <c:numRef>
              <c:f>'Comparison with Settle 3D'!$M$37:$M$48</c:f>
              <c:numCache>
                <c:formatCode>0.000</c:formatCode>
                <c:ptCount val="12"/>
                <c:pt idx="0">
                  <c:v>12.499999999999998</c:v>
                </c:pt>
                <c:pt idx="1">
                  <c:v>11.499999999999998</c:v>
                </c:pt>
                <c:pt idx="2">
                  <c:v>10.499999999999998</c:v>
                </c:pt>
                <c:pt idx="3">
                  <c:v>9.4999999999999982</c:v>
                </c:pt>
                <c:pt idx="4">
                  <c:v>8.4999999999999982</c:v>
                </c:pt>
                <c:pt idx="5">
                  <c:v>7.4999999999999982</c:v>
                </c:pt>
                <c:pt idx="6">
                  <c:v>6.3999999999999986</c:v>
                </c:pt>
                <c:pt idx="7">
                  <c:v>5.3999999999999986</c:v>
                </c:pt>
                <c:pt idx="8">
                  <c:v>4.4999999999999982</c:v>
                </c:pt>
                <c:pt idx="9">
                  <c:v>3.4999999999999982</c:v>
                </c:pt>
                <c:pt idx="10">
                  <c:v>2.4999999999999982</c:v>
                </c:pt>
                <c:pt idx="11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D4-41C3-B565-B0AAFF7C2D44}"/>
            </c:ext>
          </c:extLst>
        </c:ser>
        <c:ser>
          <c:idx val="3"/>
          <c:order val="4"/>
          <c:tx>
            <c:v>Characteristic Line of FOS=1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'Liq-Graphs'!$AA$72:$AA$73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'Liq-Graphs'!$AB$72:$AB$73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D4-41C3-B565-B0AAFF7C2D44}"/>
            </c:ext>
          </c:extLst>
        </c:ser>
        <c:ser>
          <c:idx val="4"/>
          <c:order val="5"/>
          <c:tx>
            <c:v>Characteristic Line of FOS=1.2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'Liq-Graphs'!$AA$75:$AA$76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'Liq-Graphs'!$AB$75:$AB$76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2D4-41C3-B565-B0AAFF7C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74680"/>
        <c:axId val="1"/>
      </c:scatterChart>
      <c:valAx>
        <c:axId val="978574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Factor of Safety against Liquefaction for</a:t>
                </a:r>
                <a:r>
                  <a:rPr lang="en-GB" baseline="0"/>
                  <a:t> Mw = 6.2 (0.19g PGA)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28210460123405623"/>
              <c:y val="4.42525934258217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5746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428619802019089"/>
          <c:y val="0.23640191512682557"/>
          <c:w val="0.26352306334725489"/>
          <c:h val="0.68828522191792574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BH-01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74841351438271"/>
          <c:y val="0.25012766829970329"/>
          <c:w val="0.51431767320526001"/>
          <c:h val="0.56397245717631261"/>
        </c:manualLayout>
      </c:layout>
      <c:scatterChart>
        <c:scatterStyle val="smoothMarker"/>
        <c:varyColors val="0"/>
        <c:ser>
          <c:idx val="0"/>
          <c:order val="0"/>
          <c:tx>
            <c:v>Seed and Idriss (1982)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methods'!$M$10:$M$29</c:f>
              <c:numCache>
                <c:formatCode>General</c:formatCode>
                <c:ptCount val="20"/>
                <c:pt idx="0">
                  <c:v>0.26925663569959896</c:v>
                </c:pt>
                <c:pt idx="1">
                  <c:v>0.15534602017547491</c:v>
                </c:pt>
                <c:pt idx="2">
                  <c:v>#N/A</c:v>
                </c:pt>
                <c:pt idx="3">
                  <c:v>0.17921083327359838</c:v>
                </c:pt>
                <c:pt idx="4">
                  <c:v>0.25979036337001565</c:v>
                </c:pt>
                <c:pt idx="5">
                  <c:v>0.12114765626916942</c:v>
                </c:pt>
                <c:pt idx="6">
                  <c:v>0.1169544963018376</c:v>
                </c:pt>
                <c:pt idx="7">
                  <c:v>7.9779928514101872E-2</c:v>
                </c:pt>
                <c:pt idx="8">
                  <c:v>0.10402363627809963</c:v>
                </c:pt>
                <c:pt idx="9">
                  <c:v>0.14702604510480097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'MSF as per different methods'!$C$10:$C$29</c:f>
              <c:numCache>
                <c:formatCode>General</c:formatCode>
                <c:ptCount val="20"/>
                <c:pt idx="0">
                  <c:v>-0.62</c:v>
                </c:pt>
                <c:pt idx="1">
                  <c:v>-1.1200000000000001</c:v>
                </c:pt>
                <c:pt idx="2">
                  <c:v>-1.62</c:v>
                </c:pt>
                <c:pt idx="3">
                  <c:v>-2.12</c:v>
                </c:pt>
                <c:pt idx="4">
                  <c:v>-2.62</c:v>
                </c:pt>
                <c:pt idx="5">
                  <c:v>-3.12</c:v>
                </c:pt>
                <c:pt idx="6">
                  <c:v>-4.12</c:v>
                </c:pt>
                <c:pt idx="7">
                  <c:v>-5.12</c:v>
                </c:pt>
                <c:pt idx="8">
                  <c:v>-6.12</c:v>
                </c:pt>
                <c:pt idx="9">
                  <c:v>-7.12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D0-49F8-83F4-55F7E0136A5F}"/>
            </c:ext>
          </c:extLst>
        </c:ser>
        <c:ser>
          <c:idx val="1"/>
          <c:order val="1"/>
          <c:tx>
            <c:v>Idriss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methods'!$X$10:$X$29</c:f>
              <c:numCache>
                <c:formatCode>General</c:formatCode>
                <c:ptCount val="20"/>
                <c:pt idx="0">
                  <c:v>0.3455607726754214</c:v>
                </c:pt>
                <c:pt idx="1">
                  <c:v>0.19936923977531767</c:v>
                </c:pt>
                <c:pt idx="2">
                  <c:v>#N/A</c:v>
                </c:pt>
                <c:pt idx="3">
                  <c:v>0.22999705785123944</c:v>
                </c:pt>
                <c:pt idx="4">
                  <c:v>0.33341187104457615</c:v>
                </c:pt>
                <c:pt idx="5">
                  <c:v>0.1554794651556767</c:v>
                </c:pt>
                <c:pt idx="6">
                  <c:v>0.15009801338755979</c:v>
                </c:pt>
                <c:pt idx="7">
                  <c:v>0.10238861400645506</c:v>
                </c:pt>
                <c:pt idx="8">
                  <c:v>0.1335027010025909</c:v>
                </c:pt>
                <c:pt idx="9">
                  <c:v>0.18869148245062933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'MSF as per different methods'!$C$10:$C$29</c:f>
              <c:numCache>
                <c:formatCode>General</c:formatCode>
                <c:ptCount val="20"/>
                <c:pt idx="0">
                  <c:v>-0.62</c:v>
                </c:pt>
                <c:pt idx="1">
                  <c:v>-1.1200000000000001</c:v>
                </c:pt>
                <c:pt idx="2">
                  <c:v>-1.62</c:v>
                </c:pt>
                <c:pt idx="3">
                  <c:v>-2.12</c:v>
                </c:pt>
                <c:pt idx="4">
                  <c:v>-2.62</c:v>
                </c:pt>
                <c:pt idx="5">
                  <c:v>-3.12</c:v>
                </c:pt>
                <c:pt idx="6">
                  <c:v>-4.12</c:v>
                </c:pt>
                <c:pt idx="7">
                  <c:v>-5.12</c:v>
                </c:pt>
                <c:pt idx="8">
                  <c:v>-6.12</c:v>
                </c:pt>
                <c:pt idx="9">
                  <c:v>-7.12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D0-49F8-83F4-55F7E0136A5F}"/>
            </c:ext>
          </c:extLst>
        </c:ser>
        <c:ser>
          <c:idx val="2"/>
          <c:order val="2"/>
          <c:tx>
            <c:v>Average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methods'!$AA$10:$AA$29</c:f>
              <c:numCache>
                <c:formatCode>General</c:formatCode>
                <c:ptCount val="20"/>
                <c:pt idx="0">
                  <c:v>0.30740870418751015</c:v>
                </c:pt>
                <c:pt idx="1">
                  <c:v>0.17735762997539631</c:v>
                </c:pt>
                <c:pt idx="2">
                  <c:v>#N/A</c:v>
                </c:pt>
                <c:pt idx="3">
                  <c:v>0.2046039455624189</c:v>
                </c:pt>
                <c:pt idx="4">
                  <c:v>0.29660111720729593</c:v>
                </c:pt>
                <c:pt idx="5">
                  <c:v>0.13831356071242307</c:v>
                </c:pt>
                <c:pt idx="6">
                  <c:v>0.13352625484469871</c:v>
                </c:pt>
                <c:pt idx="7">
                  <c:v>9.108427126027846E-2</c:v>
                </c:pt>
                <c:pt idx="8">
                  <c:v>0.11876316864034527</c:v>
                </c:pt>
                <c:pt idx="9">
                  <c:v>0.16785876377771516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'MSF as per different methods'!$C$10:$C$29</c:f>
              <c:numCache>
                <c:formatCode>General</c:formatCode>
                <c:ptCount val="20"/>
                <c:pt idx="0">
                  <c:v>-0.62</c:v>
                </c:pt>
                <c:pt idx="1">
                  <c:v>-1.1200000000000001</c:v>
                </c:pt>
                <c:pt idx="2">
                  <c:v>-1.62</c:v>
                </c:pt>
                <c:pt idx="3">
                  <c:v>-2.12</c:v>
                </c:pt>
                <c:pt idx="4">
                  <c:v>-2.62</c:v>
                </c:pt>
                <c:pt idx="5">
                  <c:v>-3.12</c:v>
                </c:pt>
                <c:pt idx="6">
                  <c:v>-4.12</c:v>
                </c:pt>
                <c:pt idx="7">
                  <c:v>-5.12</c:v>
                </c:pt>
                <c:pt idx="8">
                  <c:v>-6.12</c:v>
                </c:pt>
                <c:pt idx="9">
                  <c:v>-7.12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D0-49F8-83F4-55F7E0136A5F}"/>
            </c:ext>
          </c:extLst>
        </c:ser>
        <c:ser>
          <c:idx val="3"/>
          <c:order val="3"/>
          <c:tx>
            <c:v>Characteristic Line FOS=1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'MSF as per different methods'!$AM$50:$AM$51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'MSF as per different methods'!$AN$50:$AN$51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D0-49F8-83F4-55F7E0136A5F}"/>
            </c:ext>
          </c:extLst>
        </c:ser>
        <c:ser>
          <c:idx val="4"/>
          <c:order val="4"/>
          <c:tx>
            <c:v>Characteristic Line FOS=1.2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methods'!$AM$53:$AM$54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'MSF as per different methods'!$AN$53:$AN$54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FD0-49F8-83F4-55F7E0136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52720"/>
        <c:axId val="1"/>
      </c:scatterChart>
      <c:valAx>
        <c:axId val="97855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Factor of Safety against</a:t>
                </a:r>
                <a:r>
                  <a:rPr lang="en-GB" baseline="0"/>
                  <a:t> Liquefaction for Mw = 6.2 (0.19g PGA)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12377200092635481"/>
              <c:y val="0.105766725202515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5527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9715508207687809"/>
          <c:y val="0.31056088995105025"/>
          <c:w val="0.48956492815204028"/>
          <c:h val="0.51863668621825398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BH-02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36145711297023"/>
          <c:y val="0.25271751057978503"/>
          <c:w val="0.52767292797240362"/>
          <c:h val="0.56381055097388799"/>
        </c:manualLayout>
      </c:layout>
      <c:scatterChart>
        <c:scatterStyle val="smoothMarker"/>
        <c:varyColors val="0"/>
        <c:ser>
          <c:idx val="0"/>
          <c:order val="0"/>
          <c:tx>
            <c:v>Seed and Idriss(1982)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methods'!$M$30:$M$50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'MSF as per different methods'!$C$30:$C$50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F1-4D16-B8D2-F953A3CC3025}"/>
            </c:ext>
          </c:extLst>
        </c:ser>
        <c:ser>
          <c:idx val="1"/>
          <c:order val="1"/>
          <c:tx>
            <c:v>Idriss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methods'!$X$30:$X$50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'MSF as per different methods'!$C$30:$C$50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F1-4D16-B8D2-F953A3CC3025}"/>
            </c:ext>
          </c:extLst>
        </c:ser>
        <c:ser>
          <c:idx val="2"/>
          <c:order val="2"/>
          <c:tx>
            <c:v>Average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methods'!$AA$30:$AA$50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'MSF as per different methods'!$C$30:$C$50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F1-4D16-B8D2-F953A3CC3025}"/>
            </c:ext>
          </c:extLst>
        </c:ser>
        <c:ser>
          <c:idx val="3"/>
          <c:order val="3"/>
          <c:tx>
            <c:v>Characteristic Line FOS=1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'MSF as per different methods'!$AM$50:$AM$51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'MSF as per different methods'!$AN$50:$AN$51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F1-4D16-B8D2-F953A3CC3025}"/>
            </c:ext>
          </c:extLst>
        </c:ser>
        <c:ser>
          <c:idx val="4"/>
          <c:order val="4"/>
          <c:tx>
            <c:v>Characteristic Line FOS=1.2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methods'!$AM$53:$AM$54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'MSF as per different methods'!$AN$53:$AN$54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1F1-4D16-B8D2-F953A3CC3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61000"/>
        <c:axId val="1"/>
      </c:scatterChart>
      <c:valAx>
        <c:axId val="978561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Factor of Safety against</a:t>
                </a:r>
                <a:r>
                  <a:rPr lang="en-GB" baseline="0"/>
                  <a:t> Liquefaction for Mw = 6.2 (0.19g PGA)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14212541034411513"/>
              <c:y val="0.102520220686699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561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0094184990632074"/>
          <c:y val="0.29276503883788318"/>
          <c:w val="0.48587592960838633"/>
          <c:h val="0.54934563467333131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BH-03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36145711297023"/>
          <c:y val="0.25271751057978503"/>
          <c:w val="0.52767292797240362"/>
          <c:h val="0.56381055097388799"/>
        </c:manualLayout>
      </c:layout>
      <c:scatterChart>
        <c:scatterStyle val="smoothMarker"/>
        <c:varyColors val="0"/>
        <c:ser>
          <c:idx val="0"/>
          <c:order val="0"/>
          <c:tx>
            <c:v>Seed and Idriss (1982)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methods'!$M$51:$M$70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'MSF as per different methods'!$C$51:$C$70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FE-4746-8306-CF42C33D473F}"/>
            </c:ext>
          </c:extLst>
        </c:ser>
        <c:ser>
          <c:idx val="1"/>
          <c:order val="1"/>
          <c:tx>
            <c:v>Idriss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methods'!$X$51:$X$70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'MSF as per different methods'!$C$51:$C$70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FE-4746-8306-CF42C33D473F}"/>
            </c:ext>
          </c:extLst>
        </c:ser>
        <c:ser>
          <c:idx val="2"/>
          <c:order val="2"/>
          <c:tx>
            <c:v>Average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methods'!$AA$51:$AA$70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'MSF as per different methods'!$C$51:$C$70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FE-4746-8306-CF42C33D473F}"/>
            </c:ext>
          </c:extLst>
        </c:ser>
        <c:ser>
          <c:idx val="3"/>
          <c:order val="3"/>
          <c:tx>
            <c:v>Characteristic Line FOS=1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'MSF as per different methods'!$AM$50:$AM$51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'MSF as per different methods'!$AN$50:$AN$51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FE-4746-8306-CF42C33D473F}"/>
            </c:ext>
          </c:extLst>
        </c:ser>
        <c:ser>
          <c:idx val="4"/>
          <c:order val="4"/>
          <c:tx>
            <c:v>Characteristic Line FOS=1.2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methods'!$AM$53:$AM$54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'MSF as per different methods'!$AN$53:$AN$54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FE-4746-8306-CF42C33D4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61360"/>
        <c:axId val="1"/>
      </c:scatterChart>
      <c:valAx>
        <c:axId val="97856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Factor of Safety against</a:t>
                </a:r>
                <a:r>
                  <a:rPr lang="en-GB" baseline="0"/>
                  <a:t> Liquefaction for Mw = 6.2 (0.19g PGA)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14212541117949776"/>
              <c:y val="0.102520220686699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5613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0188015988472146"/>
          <c:y val="0.28859107689131464"/>
          <c:w val="0.48496285112456233"/>
          <c:h val="0.56040360280057611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BH-04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36145711297023"/>
          <c:y val="0.25271751057978503"/>
          <c:w val="0.52039241397193692"/>
          <c:h val="0.56381055097388799"/>
        </c:manualLayout>
      </c:layout>
      <c:scatterChart>
        <c:scatterStyle val="smoothMarker"/>
        <c:varyColors val="0"/>
        <c:ser>
          <c:idx val="0"/>
          <c:order val="0"/>
          <c:tx>
            <c:v>Seed and Idriss (1982)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methods'!$M$71:$M$91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'MSF as per different methods'!$C$71:$C$91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AF-4B16-A65E-D247FB1C4E66}"/>
            </c:ext>
          </c:extLst>
        </c:ser>
        <c:ser>
          <c:idx val="1"/>
          <c:order val="1"/>
          <c:tx>
            <c:v>Idriss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methods'!$X$71:$X$91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'MSF as per different methods'!$C$71:$C$91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AF-4B16-A65E-D247FB1C4E66}"/>
            </c:ext>
          </c:extLst>
        </c:ser>
        <c:ser>
          <c:idx val="2"/>
          <c:order val="2"/>
          <c:tx>
            <c:v>Average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methods'!$AA$71:$AA$91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'MSF as per different methods'!$C$71:$C$91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AF-4B16-A65E-D247FB1C4E66}"/>
            </c:ext>
          </c:extLst>
        </c:ser>
        <c:ser>
          <c:idx val="3"/>
          <c:order val="3"/>
          <c:tx>
            <c:v>Characteristic Line FOS=1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'MSF as per different methods'!$AM$50:$AM$51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'MSF as per different methods'!$AN$50:$AN$51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AF-4B16-A65E-D247FB1C4E66}"/>
            </c:ext>
          </c:extLst>
        </c:ser>
        <c:ser>
          <c:idx val="4"/>
          <c:order val="4"/>
          <c:tx>
            <c:v>Characteristic Line FOS=1.2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methods'!$AM$53:$AM$54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'MSF as per different methods'!$AN$53:$AN$54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AF-4B16-A65E-D247FB1C4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53440"/>
        <c:axId val="1"/>
      </c:scatterChart>
      <c:valAx>
        <c:axId val="97855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Factor of Safety against</a:t>
                </a:r>
                <a:r>
                  <a:rPr lang="en-GB" baseline="0"/>
                  <a:t> Liquefaction for Mw = 6.2 (0.19g PGA)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14212541117949776"/>
              <c:y val="0.102520220686699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5534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0188015988472146"/>
          <c:y val="0.28859107689131464"/>
          <c:w val="0.48496285112456233"/>
          <c:h val="0.56040360280057611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BH-05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36145711297023"/>
          <c:y val="0.25271751057978503"/>
          <c:w val="0.51311189997147033"/>
          <c:h val="0.56381055097388799"/>
        </c:manualLayout>
      </c:layout>
      <c:scatterChart>
        <c:scatterStyle val="smoothMarker"/>
        <c:varyColors val="0"/>
        <c:ser>
          <c:idx val="0"/>
          <c:order val="0"/>
          <c:tx>
            <c:v>Seed and Idriss (1982)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methods'!$M$92:$M$112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'MSF as per different methods'!$C$92:$C$112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20-4FF7-843B-0991E479070F}"/>
            </c:ext>
          </c:extLst>
        </c:ser>
        <c:ser>
          <c:idx val="1"/>
          <c:order val="1"/>
          <c:tx>
            <c:v>Idriss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methods'!$X$92:$X$112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'MSF as per different methods'!$C$92:$C$112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20-4FF7-843B-0991E479070F}"/>
            </c:ext>
          </c:extLst>
        </c:ser>
        <c:ser>
          <c:idx val="2"/>
          <c:order val="2"/>
          <c:tx>
            <c:v>Average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'MSF as per different methods'!$AA$92:$AA$112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'MSF as per different methods'!$C$92:$C$112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20-4FF7-843B-0991E479070F}"/>
            </c:ext>
          </c:extLst>
        </c:ser>
        <c:ser>
          <c:idx val="3"/>
          <c:order val="3"/>
          <c:tx>
            <c:v>Characteristic Line FOS=1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'MSF as per different methods'!$AM$50:$AM$51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'MSF as per different methods'!$AN$50:$AN$51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20-4FF7-843B-0991E479070F}"/>
            </c:ext>
          </c:extLst>
        </c:ser>
        <c:ser>
          <c:idx val="4"/>
          <c:order val="4"/>
          <c:tx>
            <c:v>Characteristic Line FOS=1.2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ysClr val="windowText" lastClr="0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D20-4FF7-843B-0991E479070F}"/>
              </c:ext>
            </c:extLst>
          </c:dPt>
          <c:xVal>
            <c:numRef>
              <c:f>'MSF as per different methods'!$AM$53:$AM$54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'MSF as per different methods'!$AN$53:$AN$54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D20-4FF7-843B-0991E4790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581136"/>
        <c:axId val="1"/>
      </c:scatterChart>
      <c:valAx>
        <c:axId val="912581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Factor of Safety against</a:t>
                </a:r>
                <a:r>
                  <a:rPr lang="en-GB" baseline="0"/>
                  <a:t> Liquefaction for Mw = 6.2 (0.19g PGA)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14212541117949776"/>
              <c:y val="0.102520220686699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Elevation (mDMD)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5811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0188015988472146"/>
          <c:y val="0.28859107689131464"/>
          <c:w val="0.48496285112456233"/>
          <c:h val="0.56040360280057611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171450</xdr:colOff>
      <xdr:row>23</xdr:row>
      <xdr:rowOff>38100</xdr:rowOff>
    </xdr:from>
    <xdr:to>
      <xdr:col>52</xdr:col>
      <xdr:colOff>685800</xdr:colOff>
      <xdr:row>27</xdr:row>
      <xdr:rowOff>25400</xdr:rowOff>
    </xdr:to>
    <xdr:pic>
      <xdr:nvPicPr>
        <xdr:cNvPr id="772160" name="Picture 1">
          <a:extLst>
            <a:ext uri="{FF2B5EF4-FFF2-40B4-BE49-F238E27FC236}">
              <a16:creationId xmlns:a16="http://schemas.microsoft.com/office/drawing/2014/main" id="{281A4148-5CC8-EB95-7B12-CEAC05310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65" t="13393" r="8919" b="28571"/>
        <a:stretch>
          <a:fillRect/>
        </a:stretch>
      </xdr:blipFill>
      <xdr:spPr bwMode="auto">
        <a:xfrm>
          <a:off x="12312650" y="3435350"/>
          <a:ext cx="3079750" cy="5969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29</xdr:row>
      <xdr:rowOff>6350</xdr:rowOff>
    </xdr:from>
    <xdr:to>
      <xdr:col>13</xdr:col>
      <xdr:colOff>266700</xdr:colOff>
      <xdr:row>45</xdr:row>
      <xdr:rowOff>114300</xdr:rowOff>
    </xdr:to>
    <xdr:grpSp>
      <xdr:nvGrpSpPr>
        <xdr:cNvPr id="772161" name="Group 2">
          <a:extLst>
            <a:ext uri="{FF2B5EF4-FFF2-40B4-BE49-F238E27FC236}">
              <a16:creationId xmlns:a16="http://schemas.microsoft.com/office/drawing/2014/main" id="{E537190E-9BB1-E922-3EFB-AEB646EECA0B}"/>
            </a:ext>
          </a:extLst>
        </xdr:cNvPr>
        <xdr:cNvGrpSpPr>
          <a:grpSpLocks/>
        </xdr:cNvGrpSpPr>
      </xdr:nvGrpSpPr>
      <xdr:grpSpPr bwMode="auto">
        <a:xfrm>
          <a:off x="486508" y="4325083"/>
          <a:ext cx="5668107" cy="2449390"/>
          <a:chOff x="609600" y="4752975"/>
          <a:chExt cx="5524500" cy="2571750"/>
        </a:xfrm>
      </xdr:grpSpPr>
      <xdr:pic>
        <xdr:nvPicPr>
          <xdr:cNvPr id="772162" name="Picture 1">
            <a:extLst>
              <a:ext uri="{FF2B5EF4-FFF2-40B4-BE49-F238E27FC236}">
                <a16:creationId xmlns:a16="http://schemas.microsoft.com/office/drawing/2014/main" id="{AE572337-D300-66E3-8E66-A5BFFC8145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9600" y="4752975"/>
            <a:ext cx="5524500" cy="257175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490401A4-15DA-BEFE-B6C9-4EDD33669A13}"/>
              </a:ext>
            </a:extLst>
          </xdr:cNvPr>
          <xdr:cNvSpPr/>
        </xdr:nvSpPr>
        <xdr:spPr>
          <a:xfrm>
            <a:off x="1936472" y="5314084"/>
            <a:ext cx="489827" cy="1843644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GB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31750</xdr:colOff>
      <xdr:row>8</xdr:row>
      <xdr:rowOff>25400</xdr:rowOff>
    </xdr:from>
    <xdr:to>
      <xdr:col>66</xdr:col>
      <xdr:colOff>219075</xdr:colOff>
      <xdr:row>64</xdr:row>
      <xdr:rowOff>38100</xdr:rowOff>
    </xdr:to>
    <xdr:pic>
      <xdr:nvPicPr>
        <xdr:cNvPr id="773253" name="Picture 1">
          <a:extLst>
            <a:ext uri="{FF2B5EF4-FFF2-40B4-BE49-F238E27FC236}">
              <a16:creationId xmlns:a16="http://schemas.microsoft.com/office/drawing/2014/main" id="{E010F17A-B325-6304-0310-16350E1320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0450" y="2019300"/>
          <a:ext cx="8115300" cy="897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152400</xdr:colOff>
      <xdr:row>119</xdr:row>
      <xdr:rowOff>88900</xdr:rowOff>
    </xdr:from>
    <xdr:to>
      <xdr:col>37</xdr:col>
      <xdr:colOff>47625</xdr:colOff>
      <xdr:row>125</xdr:row>
      <xdr:rowOff>9525</xdr:rowOff>
    </xdr:to>
    <xdr:pic>
      <xdr:nvPicPr>
        <xdr:cNvPr id="773254" name="Picture 2">
          <a:extLst>
            <a:ext uri="{FF2B5EF4-FFF2-40B4-BE49-F238E27FC236}">
              <a16:creationId xmlns:a16="http://schemas.microsoft.com/office/drawing/2014/main" id="{B6F5699E-1BB1-1368-B884-59DB6A8A73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0700" y="19354800"/>
          <a:ext cx="2260600" cy="793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127000</xdr:colOff>
      <xdr:row>115</xdr:row>
      <xdr:rowOff>101600</xdr:rowOff>
    </xdr:from>
    <xdr:to>
      <xdr:col>38</xdr:col>
      <xdr:colOff>47625</xdr:colOff>
      <xdr:row>120</xdr:row>
      <xdr:rowOff>0</xdr:rowOff>
    </xdr:to>
    <xdr:pic>
      <xdr:nvPicPr>
        <xdr:cNvPr id="773255" name="Picture 3">
          <a:extLst>
            <a:ext uri="{FF2B5EF4-FFF2-40B4-BE49-F238E27FC236}">
              <a16:creationId xmlns:a16="http://schemas.microsoft.com/office/drawing/2014/main" id="{19CD540C-66E9-2863-D600-935526F67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5300" y="18732500"/>
          <a:ext cx="2673350" cy="622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40</xdr:col>
      <xdr:colOff>285750</xdr:colOff>
      <xdr:row>115</xdr:row>
      <xdr:rowOff>25400</xdr:rowOff>
    </xdr:from>
    <xdr:to>
      <xdr:col>43</xdr:col>
      <xdr:colOff>0</xdr:colOff>
      <xdr:row>119</xdr:row>
      <xdr:rowOff>120650</xdr:rowOff>
    </xdr:to>
    <xdr:pic>
      <xdr:nvPicPr>
        <xdr:cNvPr id="773256" name="Picture 4">
          <a:extLst>
            <a:ext uri="{FF2B5EF4-FFF2-40B4-BE49-F238E27FC236}">
              <a16:creationId xmlns:a16="http://schemas.microsoft.com/office/drawing/2014/main" id="{19C96918-8ECE-512B-27B8-FB8D305DB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18150" y="18656300"/>
          <a:ext cx="202565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44</xdr:col>
      <xdr:colOff>12700</xdr:colOff>
      <xdr:row>3</xdr:row>
      <xdr:rowOff>12700</xdr:rowOff>
    </xdr:from>
    <xdr:to>
      <xdr:col>45</xdr:col>
      <xdr:colOff>371475</xdr:colOff>
      <xdr:row>3</xdr:row>
      <xdr:rowOff>171450</xdr:rowOff>
    </xdr:to>
    <xdr:pic>
      <xdr:nvPicPr>
        <xdr:cNvPr id="773257" name="Picture 1">
          <a:extLst>
            <a:ext uri="{FF2B5EF4-FFF2-40B4-BE49-F238E27FC236}">
              <a16:creationId xmlns:a16="http://schemas.microsoft.com/office/drawing/2014/main" id="{C006668C-F52E-6B93-2941-3DDF4C41D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21700" y="596900"/>
          <a:ext cx="1320800" cy="158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209550</xdr:colOff>
      <xdr:row>2</xdr:row>
      <xdr:rowOff>63500</xdr:rowOff>
    </xdr:from>
    <xdr:to>
      <xdr:col>5</xdr:col>
      <xdr:colOff>161925</xdr:colOff>
      <xdr:row>3</xdr:row>
      <xdr:rowOff>66675</xdr:rowOff>
    </xdr:to>
    <xdr:pic>
      <xdr:nvPicPr>
        <xdr:cNvPr id="773258" name="picLogoAtkinsRealis-HL-DG">
          <a:extLst>
            <a:ext uri="{FF2B5EF4-FFF2-40B4-BE49-F238E27FC236}">
              <a16:creationId xmlns:a16="http://schemas.microsoft.com/office/drawing/2014/main" id="{071B08D8-4ECC-EB08-68D2-A517D68CC88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550" y="482600"/>
          <a:ext cx="1314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54</xdr:col>
      <xdr:colOff>0</xdr:colOff>
      <xdr:row>118</xdr:row>
      <xdr:rowOff>0</xdr:rowOff>
    </xdr:from>
    <xdr:to>
      <xdr:col>67</xdr:col>
      <xdr:colOff>409575</xdr:colOff>
      <xdr:row>141</xdr:row>
      <xdr:rowOff>34925</xdr:rowOff>
    </xdr:to>
    <xdr:pic>
      <xdr:nvPicPr>
        <xdr:cNvPr id="773259" name="Picture 1">
          <a:extLst>
            <a:ext uri="{FF2B5EF4-FFF2-40B4-BE49-F238E27FC236}">
              <a16:creationId xmlns:a16="http://schemas.microsoft.com/office/drawing/2014/main" id="{331B1BB1-57C0-29C0-93CC-C4E287F9A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68700" y="19094450"/>
          <a:ext cx="9067800" cy="339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234950</xdr:colOff>
      <xdr:row>13</xdr:row>
      <xdr:rowOff>12700</xdr:rowOff>
    </xdr:from>
    <xdr:to>
      <xdr:col>34</xdr:col>
      <xdr:colOff>146050</xdr:colOff>
      <xdr:row>66</xdr:row>
      <xdr:rowOff>50800</xdr:rowOff>
    </xdr:to>
    <xdr:graphicFrame macro="">
      <xdr:nvGraphicFramePr>
        <xdr:cNvPr id="12465" name="Chart 1">
          <a:extLst>
            <a:ext uri="{FF2B5EF4-FFF2-40B4-BE49-F238E27FC236}">
              <a16:creationId xmlns:a16="http://schemas.microsoft.com/office/drawing/2014/main" id="{E5250E7C-D141-1B34-E629-300C7BEB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222250</xdr:colOff>
      <xdr:row>13</xdr:row>
      <xdr:rowOff>12700</xdr:rowOff>
    </xdr:from>
    <xdr:to>
      <xdr:col>6</xdr:col>
      <xdr:colOff>19050</xdr:colOff>
      <xdr:row>65</xdr:row>
      <xdr:rowOff>25400</xdr:rowOff>
    </xdr:to>
    <xdr:graphicFrame macro="">
      <xdr:nvGraphicFramePr>
        <xdr:cNvPr id="12466" name="Chart 1">
          <a:extLst>
            <a:ext uri="{FF2B5EF4-FFF2-40B4-BE49-F238E27FC236}">
              <a16:creationId xmlns:a16="http://schemas.microsoft.com/office/drawing/2014/main" id="{323B97A4-93B2-DA3D-EDF7-E51100E59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95250</xdr:colOff>
      <xdr:row>13</xdr:row>
      <xdr:rowOff>6350</xdr:rowOff>
    </xdr:from>
    <xdr:to>
      <xdr:col>12</xdr:col>
      <xdr:colOff>19050</xdr:colOff>
      <xdr:row>65</xdr:row>
      <xdr:rowOff>25400</xdr:rowOff>
    </xdr:to>
    <xdr:graphicFrame macro="">
      <xdr:nvGraphicFramePr>
        <xdr:cNvPr id="12467" name="Chart 2">
          <a:extLst>
            <a:ext uri="{FF2B5EF4-FFF2-40B4-BE49-F238E27FC236}">
              <a16:creationId xmlns:a16="http://schemas.microsoft.com/office/drawing/2014/main" id="{5FA0F610-3DDF-F955-B9D3-F8D5ADB6D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165100</xdr:colOff>
      <xdr:row>13</xdr:row>
      <xdr:rowOff>0</xdr:rowOff>
    </xdr:from>
    <xdr:to>
      <xdr:col>18</xdr:col>
      <xdr:colOff>146050</xdr:colOff>
      <xdr:row>65</xdr:row>
      <xdr:rowOff>44450</xdr:rowOff>
    </xdr:to>
    <xdr:graphicFrame macro="">
      <xdr:nvGraphicFramePr>
        <xdr:cNvPr id="12468" name="Chart 3">
          <a:extLst>
            <a:ext uri="{FF2B5EF4-FFF2-40B4-BE49-F238E27FC236}">
              <a16:creationId xmlns:a16="http://schemas.microsoft.com/office/drawing/2014/main" id="{236A502D-5B92-CF8A-A344-3858BFCCB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44450</xdr:colOff>
      <xdr:row>12</xdr:row>
      <xdr:rowOff>107950</xdr:rowOff>
    </xdr:from>
    <xdr:to>
      <xdr:col>25</xdr:col>
      <xdr:colOff>25400</xdr:colOff>
      <xdr:row>65</xdr:row>
      <xdr:rowOff>25400</xdr:rowOff>
    </xdr:to>
    <xdr:graphicFrame macro="">
      <xdr:nvGraphicFramePr>
        <xdr:cNvPr id="12469" name="Chart 4">
          <a:extLst>
            <a:ext uri="{FF2B5EF4-FFF2-40B4-BE49-F238E27FC236}">
              <a16:creationId xmlns:a16="http://schemas.microsoft.com/office/drawing/2014/main" id="{2AC948E1-18AE-13B6-0E89-E54E063990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158750</xdr:colOff>
      <xdr:row>1</xdr:row>
      <xdr:rowOff>101600</xdr:rowOff>
    </xdr:from>
    <xdr:to>
      <xdr:col>15</xdr:col>
      <xdr:colOff>44450</xdr:colOff>
      <xdr:row>17</xdr:row>
      <xdr:rowOff>95250</xdr:rowOff>
    </xdr:to>
    <xdr:graphicFrame macro="">
      <xdr:nvGraphicFramePr>
        <xdr:cNvPr id="325870" name="Chart 1">
          <a:extLst>
            <a:ext uri="{FF2B5EF4-FFF2-40B4-BE49-F238E27FC236}">
              <a16:creationId xmlns:a16="http://schemas.microsoft.com/office/drawing/2014/main" id="{C76B44FC-373A-E375-A0D5-F65620A821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2</xdr:row>
      <xdr:rowOff>0</xdr:rowOff>
    </xdr:from>
    <xdr:to>
      <xdr:col>29</xdr:col>
      <xdr:colOff>203200</xdr:colOff>
      <xdr:row>17</xdr:row>
      <xdr:rowOff>101600</xdr:rowOff>
    </xdr:to>
    <xdr:graphicFrame macro="">
      <xdr:nvGraphicFramePr>
        <xdr:cNvPr id="325871" name="Chart 1">
          <a:extLst>
            <a:ext uri="{FF2B5EF4-FFF2-40B4-BE49-F238E27FC236}">
              <a16:creationId xmlns:a16="http://schemas.microsoft.com/office/drawing/2014/main" id="{D445E9DF-D378-9250-9737-1F06F4F552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0</xdr:colOff>
      <xdr:row>2</xdr:row>
      <xdr:rowOff>0</xdr:rowOff>
    </xdr:from>
    <xdr:to>
      <xdr:col>44</xdr:col>
      <xdr:colOff>203200</xdr:colOff>
      <xdr:row>17</xdr:row>
      <xdr:rowOff>101600</xdr:rowOff>
    </xdr:to>
    <xdr:graphicFrame macro="">
      <xdr:nvGraphicFramePr>
        <xdr:cNvPr id="325872" name="Chart 2">
          <a:extLst>
            <a:ext uri="{FF2B5EF4-FFF2-40B4-BE49-F238E27FC236}">
              <a16:creationId xmlns:a16="http://schemas.microsoft.com/office/drawing/2014/main" id="{6FB460D0-5A31-770B-CA66-DA0743A490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0</xdr:colOff>
      <xdr:row>2</xdr:row>
      <xdr:rowOff>0</xdr:rowOff>
    </xdr:from>
    <xdr:to>
      <xdr:col>60</xdr:col>
      <xdr:colOff>203200</xdr:colOff>
      <xdr:row>17</xdr:row>
      <xdr:rowOff>101600</xdr:rowOff>
    </xdr:to>
    <xdr:graphicFrame macro="">
      <xdr:nvGraphicFramePr>
        <xdr:cNvPr id="325873" name="Chart 3">
          <a:extLst>
            <a:ext uri="{FF2B5EF4-FFF2-40B4-BE49-F238E27FC236}">
              <a16:creationId xmlns:a16="http://schemas.microsoft.com/office/drawing/2014/main" id="{D1A2E5F2-F09C-5305-3329-AA029BA2C8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69</xdr:col>
      <xdr:colOff>0</xdr:colOff>
      <xdr:row>2</xdr:row>
      <xdr:rowOff>0</xdr:rowOff>
    </xdr:from>
    <xdr:to>
      <xdr:col>76</xdr:col>
      <xdr:colOff>203200</xdr:colOff>
      <xdr:row>17</xdr:row>
      <xdr:rowOff>101600</xdr:rowOff>
    </xdr:to>
    <xdr:graphicFrame macro="">
      <xdr:nvGraphicFramePr>
        <xdr:cNvPr id="325874" name="Chart 4">
          <a:extLst>
            <a:ext uri="{FF2B5EF4-FFF2-40B4-BE49-F238E27FC236}">
              <a16:creationId xmlns:a16="http://schemas.microsoft.com/office/drawing/2014/main" id="{C2AAE41E-4594-D5BD-12AC-EE6C5767B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25400</xdr:rowOff>
    </xdr:from>
    <xdr:to>
      <xdr:col>12</xdr:col>
      <xdr:colOff>184150</xdr:colOff>
      <xdr:row>29</xdr:row>
      <xdr:rowOff>44450</xdr:rowOff>
    </xdr:to>
    <xdr:graphicFrame macro="">
      <xdr:nvGraphicFramePr>
        <xdr:cNvPr id="44130" name="Chart 2">
          <a:extLst>
            <a:ext uri="{FF2B5EF4-FFF2-40B4-BE49-F238E27FC236}">
              <a16:creationId xmlns:a16="http://schemas.microsoft.com/office/drawing/2014/main" id="{64C1F76E-F035-D0F2-4B5B-10EDCE8AB8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25400</xdr:colOff>
      <xdr:row>3</xdr:row>
      <xdr:rowOff>44450</xdr:rowOff>
    </xdr:from>
    <xdr:to>
      <xdr:col>36</xdr:col>
      <xdr:colOff>355600</xdr:colOff>
      <xdr:row>22</xdr:row>
      <xdr:rowOff>25400</xdr:rowOff>
    </xdr:to>
    <xdr:graphicFrame macro="">
      <xdr:nvGraphicFramePr>
        <xdr:cNvPr id="39481" name="Chart 2">
          <a:extLst>
            <a:ext uri="{FF2B5EF4-FFF2-40B4-BE49-F238E27FC236}">
              <a16:creationId xmlns:a16="http://schemas.microsoft.com/office/drawing/2014/main" id="{48072D9D-A64A-7DB2-A762-79AB80DA1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19050</xdr:colOff>
      <xdr:row>22</xdr:row>
      <xdr:rowOff>107950</xdr:rowOff>
    </xdr:from>
    <xdr:to>
      <xdr:col>36</xdr:col>
      <xdr:colOff>381000</xdr:colOff>
      <xdr:row>40</xdr:row>
      <xdr:rowOff>88900</xdr:rowOff>
    </xdr:to>
    <xdr:graphicFrame macro="">
      <xdr:nvGraphicFramePr>
        <xdr:cNvPr id="39482" name="Chart 3">
          <a:extLst>
            <a:ext uri="{FF2B5EF4-FFF2-40B4-BE49-F238E27FC236}">
              <a16:creationId xmlns:a16="http://schemas.microsoft.com/office/drawing/2014/main" id="{42FF657F-5C38-04B2-6FA4-BF48F5272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38</xdr:col>
      <xdr:colOff>0</xdr:colOff>
      <xdr:row>3</xdr:row>
      <xdr:rowOff>31750</xdr:rowOff>
    </xdr:from>
    <xdr:to>
      <xdr:col>46</xdr:col>
      <xdr:colOff>38100</xdr:colOff>
      <xdr:row>43</xdr:row>
      <xdr:rowOff>88900</xdr:rowOff>
    </xdr:to>
    <xdr:pic>
      <xdr:nvPicPr>
        <xdr:cNvPr id="39483" name="Picture 4">
          <a:extLst>
            <a:ext uri="{FF2B5EF4-FFF2-40B4-BE49-F238E27FC236}">
              <a16:creationId xmlns:a16="http://schemas.microsoft.com/office/drawing/2014/main" id="{3CBF6606-B51A-829B-CE82-913127FACE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93150" y="508000"/>
          <a:ext cx="4914900" cy="6419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28</xdr:col>
      <xdr:colOff>0</xdr:colOff>
      <xdr:row>43</xdr:row>
      <xdr:rowOff>0</xdr:rowOff>
    </xdr:from>
    <xdr:to>
      <xdr:col>36</xdr:col>
      <xdr:colOff>368300</xdr:colOff>
      <xdr:row>60</xdr:row>
      <xdr:rowOff>88900</xdr:rowOff>
    </xdr:to>
    <xdr:graphicFrame macro="">
      <xdr:nvGraphicFramePr>
        <xdr:cNvPr id="39484" name="Chart 5">
          <a:extLst>
            <a:ext uri="{FF2B5EF4-FFF2-40B4-BE49-F238E27FC236}">
              <a16:creationId xmlns:a16="http://schemas.microsoft.com/office/drawing/2014/main" id="{CAEA8067-B82F-1AD4-79D9-CF352F5C3C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0</xdr:colOff>
      <xdr:row>63</xdr:row>
      <xdr:rowOff>0</xdr:rowOff>
    </xdr:from>
    <xdr:to>
      <xdr:col>36</xdr:col>
      <xdr:colOff>368300</xdr:colOff>
      <xdr:row>80</xdr:row>
      <xdr:rowOff>88900</xdr:rowOff>
    </xdr:to>
    <xdr:graphicFrame macro="">
      <xdr:nvGraphicFramePr>
        <xdr:cNvPr id="39485" name="Chart 6">
          <a:extLst>
            <a:ext uri="{FF2B5EF4-FFF2-40B4-BE49-F238E27FC236}">
              <a16:creationId xmlns:a16="http://schemas.microsoft.com/office/drawing/2014/main" id="{BD25E941-8EC7-2311-A9BF-7F5B8F4FD3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0</xdr:colOff>
      <xdr:row>83</xdr:row>
      <xdr:rowOff>0</xdr:rowOff>
    </xdr:from>
    <xdr:to>
      <xdr:col>36</xdr:col>
      <xdr:colOff>368300</xdr:colOff>
      <xdr:row>100</xdr:row>
      <xdr:rowOff>88900</xdr:rowOff>
    </xdr:to>
    <xdr:graphicFrame macro="">
      <xdr:nvGraphicFramePr>
        <xdr:cNvPr id="39486" name="Chart 7">
          <a:extLst>
            <a:ext uri="{FF2B5EF4-FFF2-40B4-BE49-F238E27FC236}">
              <a16:creationId xmlns:a16="http://schemas.microsoft.com/office/drawing/2014/main" id="{AD9DEB11-4305-F30E-E4AB-724E5EC1E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DDF6A-9B85-4EC4-913A-796FE0C62F80}">
  <sheetPr>
    <pageSetUpPr fitToPage="1"/>
  </sheetPr>
  <dimension ref="B1:BA69"/>
  <sheetViews>
    <sheetView view="pageBreakPreview" topLeftCell="A4" zoomScale="130" zoomScaleNormal="115" zoomScaleSheetLayoutView="130" workbookViewId="0">
      <selection activeCell="N28" sqref="N28"/>
    </sheetView>
  </sheetViews>
  <sheetFormatPr defaultColWidth="9.1796875" defaultRowHeight="11.5"/>
  <cols>
    <col min="1" max="1" width="1.81640625" style="6" customWidth="1"/>
    <col min="2" max="2" width="7.1796875" style="6" customWidth="1"/>
    <col min="3" max="4" width="6.1796875" style="6" customWidth="1"/>
    <col min="5" max="5" width="10" style="6" customWidth="1"/>
    <col min="6" max="6" width="8.81640625" style="6" customWidth="1"/>
    <col min="7" max="7" width="4" style="6" bestFit="1" customWidth="1"/>
    <col min="8" max="8" width="5.81640625" style="6" bestFit="1" customWidth="1"/>
    <col min="9" max="10" width="7.54296875" style="6" customWidth="1"/>
    <col min="11" max="11" width="7.81640625" style="6" customWidth="1"/>
    <col min="12" max="13" width="7.54296875" style="6" customWidth="1"/>
    <col min="14" max="16" width="7.54296875" style="6" hidden="1" customWidth="1"/>
    <col min="17" max="17" width="5" style="6" hidden="1" customWidth="1"/>
    <col min="18" max="18" width="3.453125" style="6" hidden="1" customWidth="1"/>
    <col min="19" max="19" width="7.81640625" style="6" hidden="1" customWidth="1"/>
    <col min="20" max="20" width="7.1796875" style="6" hidden="1" customWidth="1"/>
    <col min="21" max="21" width="10.1796875" style="6" hidden="1" customWidth="1"/>
    <col min="22" max="22" width="5.1796875" style="6" hidden="1" customWidth="1"/>
    <col min="23" max="23" width="6.1796875" style="6" customWidth="1"/>
    <col min="24" max="25" width="5.1796875" style="6" customWidth="1"/>
    <col min="26" max="27" width="7.54296875" style="6" customWidth="1"/>
    <col min="28" max="29" width="5.453125" style="6" bestFit="1" customWidth="1"/>
    <col min="30" max="30" width="6.1796875" style="6" hidden="1" customWidth="1"/>
    <col min="31" max="31" width="5.453125" style="6" hidden="1" customWidth="1"/>
    <col min="32" max="32" width="6.1796875" style="6" bestFit="1" customWidth="1"/>
    <col min="33" max="33" width="5.453125" style="6" hidden="1" customWidth="1"/>
    <col min="34" max="34" width="6.1796875" style="6" hidden="1" customWidth="1"/>
    <col min="35" max="35" width="5.453125" style="6" hidden="1" customWidth="1"/>
    <col min="36" max="36" width="6.1796875" style="6" hidden="1" customWidth="1"/>
    <col min="37" max="38" width="6.81640625" style="6" hidden="1" customWidth="1"/>
    <col min="39" max="39" width="14.81640625" style="6" customWidth="1"/>
    <col min="40" max="43" width="6.81640625" style="6" hidden="1" customWidth="1"/>
    <col min="44" max="48" width="4.453125" style="6" customWidth="1"/>
    <col min="49" max="52" width="9.1796875" style="6"/>
    <col min="53" max="53" width="12.54296875" style="6" customWidth="1"/>
    <col min="54" max="16384" width="9.1796875" style="6"/>
  </cols>
  <sheetData>
    <row r="1" spans="2:53" ht="6.75" customHeight="1"/>
    <row r="2" spans="2:53">
      <c r="B2" s="13" t="s">
        <v>27</v>
      </c>
      <c r="C2" s="13"/>
    </row>
    <row r="3" spans="2:53" ht="12">
      <c r="B3" s="14" t="s">
        <v>77</v>
      </c>
      <c r="C3" s="14"/>
    </row>
    <row r="4" spans="2:53">
      <c r="AW4" s="298" t="s">
        <v>47</v>
      </c>
      <c r="AX4" s="298"/>
      <c r="AY4" s="298"/>
      <c r="AZ4" s="298"/>
      <c r="BA4" s="298"/>
    </row>
    <row r="5" spans="2:53" ht="13.5">
      <c r="B5" s="1" t="s">
        <v>4</v>
      </c>
      <c r="C5" s="1" t="s">
        <v>20</v>
      </c>
      <c r="D5" s="1" t="s">
        <v>5</v>
      </c>
      <c r="E5" s="2" t="s">
        <v>45</v>
      </c>
      <c r="F5" s="2" t="s">
        <v>46</v>
      </c>
      <c r="G5" s="3" t="s">
        <v>26</v>
      </c>
      <c r="H5" s="4"/>
      <c r="I5" s="1" t="s">
        <v>6</v>
      </c>
      <c r="J5" s="1" t="s">
        <v>48</v>
      </c>
      <c r="K5" s="1" t="s">
        <v>49</v>
      </c>
      <c r="L5" s="5" t="s">
        <v>50</v>
      </c>
      <c r="M5" s="5" t="s">
        <v>51</v>
      </c>
      <c r="N5" s="1" t="s">
        <v>52</v>
      </c>
      <c r="O5" s="1" t="s">
        <v>53</v>
      </c>
      <c r="P5" s="1" t="s">
        <v>54</v>
      </c>
      <c r="Q5" s="1" t="s">
        <v>55</v>
      </c>
      <c r="R5" s="1" t="s">
        <v>56</v>
      </c>
      <c r="S5" s="1" t="s">
        <v>57</v>
      </c>
      <c r="T5" s="1" t="s">
        <v>58</v>
      </c>
      <c r="U5" s="1" t="s">
        <v>21</v>
      </c>
      <c r="V5" s="1" t="s">
        <v>59</v>
      </c>
      <c r="W5" s="1" t="s">
        <v>3</v>
      </c>
      <c r="X5" s="1" t="s">
        <v>1</v>
      </c>
      <c r="Y5" s="1" t="s">
        <v>2</v>
      </c>
      <c r="Z5" s="1" t="s">
        <v>60</v>
      </c>
      <c r="AA5" s="1" t="s">
        <v>61</v>
      </c>
      <c r="AB5" s="1" t="s">
        <v>62</v>
      </c>
      <c r="AC5" s="1" t="s">
        <v>0</v>
      </c>
      <c r="AD5" s="1" t="s">
        <v>63</v>
      </c>
      <c r="AE5" s="1" t="s">
        <v>64</v>
      </c>
      <c r="AF5" s="1" t="s">
        <v>65</v>
      </c>
      <c r="AG5" s="1" t="s">
        <v>66</v>
      </c>
      <c r="AH5" s="1" t="s">
        <v>67</v>
      </c>
      <c r="AI5" s="1" t="s">
        <v>68</v>
      </c>
      <c r="AJ5" s="1" t="s">
        <v>69</v>
      </c>
      <c r="AK5" s="67"/>
      <c r="AL5" s="68"/>
      <c r="AM5" s="11" t="s">
        <v>23</v>
      </c>
      <c r="AN5" s="68"/>
      <c r="AO5" s="68"/>
      <c r="AP5" s="68"/>
      <c r="AQ5" s="69"/>
      <c r="AW5" s="1" t="s">
        <v>32</v>
      </c>
      <c r="AX5" s="1" t="s">
        <v>29</v>
      </c>
      <c r="AY5" s="1" t="s">
        <v>28</v>
      </c>
      <c r="AZ5" s="1" t="s">
        <v>31</v>
      </c>
      <c r="BA5" s="1" t="s">
        <v>70</v>
      </c>
    </row>
    <row r="6" spans="2:53" ht="14.5">
      <c r="B6" s="7"/>
      <c r="C6" s="7" t="s">
        <v>7</v>
      </c>
      <c r="D6" s="7" t="s">
        <v>7</v>
      </c>
      <c r="E6" s="8" t="s">
        <v>78</v>
      </c>
      <c r="F6" s="8" t="s">
        <v>79</v>
      </c>
      <c r="G6" s="8"/>
      <c r="H6" s="9"/>
      <c r="I6" s="7" t="s">
        <v>8</v>
      </c>
      <c r="J6" s="7" t="s">
        <v>71</v>
      </c>
      <c r="K6" s="7" t="s">
        <v>71</v>
      </c>
      <c r="L6" s="7" t="s">
        <v>72</v>
      </c>
      <c r="M6" s="7" t="s">
        <v>72</v>
      </c>
      <c r="N6" s="7" t="s">
        <v>9</v>
      </c>
      <c r="O6" s="7"/>
      <c r="P6" s="7"/>
      <c r="Q6" s="7"/>
      <c r="R6" s="7"/>
      <c r="S6" s="7">
        <v>1986</v>
      </c>
      <c r="T6" s="7">
        <v>1986</v>
      </c>
      <c r="U6" s="7" t="s">
        <v>73</v>
      </c>
      <c r="V6" s="7"/>
      <c r="W6" s="7" t="s">
        <v>9</v>
      </c>
      <c r="X6" s="7"/>
      <c r="Y6" s="7"/>
      <c r="Z6" s="7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1" t="s">
        <v>12</v>
      </c>
      <c r="AL6" s="11" t="s">
        <v>13</v>
      </c>
      <c r="AM6" s="11" t="s">
        <v>14</v>
      </c>
      <c r="AN6" s="11" t="s">
        <v>15</v>
      </c>
      <c r="AO6" s="11" t="s">
        <v>16</v>
      </c>
      <c r="AP6" s="11" t="s">
        <v>17</v>
      </c>
      <c r="AQ6" s="11" t="s">
        <v>18</v>
      </c>
      <c r="AW6" s="54" t="s">
        <v>74</v>
      </c>
      <c r="AX6" s="55" t="s">
        <v>30</v>
      </c>
      <c r="AY6" s="56"/>
      <c r="AZ6" s="56"/>
      <c r="BA6" s="12" t="s">
        <v>75</v>
      </c>
    </row>
    <row r="7" spans="2:53">
      <c r="B7" s="15" t="s">
        <v>33</v>
      </c>
      <c r="C7" s="16">
        <v>0</v>
      </c>
      <c r="D7" s="17">
        <v>0.5</v>
      </c>
      <c r="E7" s="18">
        <v>2.59</v>
      </c>
      <c r="F7" s="19">
        <f>E7-D7</f>
        <v>2.09</v>
      </c>
      <c r="G7" s="20" t="s">
        <v>10</v>
      </c>
      <c r="H7" s="21" t="s">
        <v>11</v>
      </c>
      <c r="I7" s="15">
        <v>28</v>
      </c>
      <c r="J7" s="15">
        <v>18</v>
      </c>
      <c r="K7" s="15">
        <v>18</v>
      </c>
      <c r="L7" s="22">
        <f>J7*C7+K7*(D7-C7)</f>
        <v>9</v>
      </c>
      <c r="M7" s="22">
        <f t="shared" ref="M7:M16" si="0">J7*C7+(K7-10)*(D7-C7)</f>
        <v>4</v>
      </c>
      <c r="N7" s="23">
        <v>60</v>
      </c>
      <c r="O7" s="15">
        <v>1.05</v>
      </c>
      <c r="P7" s="15">
        <v>1</v>
      </c>
      <c r="Q7" s="15">
        <f t="shared" ref="Q7:Q22" si="1">IF(D7&lt;4,0.75,IF(AND(D7&gt;=4,D7&lt;6),0.85,IF(AND(D7&gt;=6,D7&lt;10),0.95,IF(D7&gt;=10,1))))</f>
        <v>0.75</v>
      </c>
      <c r="R7" s="60">
        <f t="shared" ref="R7:R15" si="2">ROUND((I7*N7*O7*P7*Q7)/60,0)</f>
        <v>22</v>
      </c>
      <c r="S7" s="24">
        <f t="shared" ref="S7:S22" si="3">SQRT(1/(M7/100))</f>
        <v>5</v>
      </c>
      <c r="T7" s="24">
        <f t="shared" ref="T7:T22" si="4">2/(1+M7/100)</f>
        <v>1.9230769230769229</v>
      </c>
      <c r="U7" s="24">
        <f t="shared" ref="U7:U22" si="5">IF(T7&gt;1,1,T7)</f>
        <v>1</v>
      </c>
      <c r="V7" s="61">
        <f t="shared" ref="V7:V22" si="6">0.7/0.6*I7</f>
        <v>32.666666666666671</v>
      </c>
      <c r="W7" s="15">
        <v>3</v>
      </c>
      <c r="X7" s="22">
        <f>IF(W7&lt;5,0,EXP(1.76-(190/W7^2)))</f>
        <v>0</v>
      </c>
      <c r="Y7" s="22">
        <f>IF(W7&lt;5,1,0.99+(W7^1.5/1000))</f>
        <v>1</v>
      </c>
      <c r="Z7" s="25">
        <f>X7+Y7*V7</f>
        <v>32.666666666666671</v>
      </c>
      <c r="AA7" s="62">
        <v>4.4999999999999998E-2</v>
      </c>
      <c r="AB7" s="26">
        <f>IF(D7&lt;9.15,1-0.00765*D7,1.174-0.0267*D7)</f>
        <v>0.99617500000000003</v>
      </c>
      <c r="AC7" s="53">
        <f>0.65*AA7*(L7/M7)*AB7</f>
        <v>6.5560767187499994E-2</v>
      </c>
      <c r="AD7" s="26" t="e">
        <f>2.2*AH7</f>
        <v>#N/A</v>
      </c>
      <c r="AE7" s="53" t="e">
        <f>1.76*AH7</f>
        <v>#N/A</v>
      </c>
      <c r="AF7" s="53" t="e">
        <f>1.44*AH7</f>
        <v>#N/A</v>
      </c>
      <c r="AG7" s="53" t="e">
        <f>1.19*AH7</f>
        <v>#N/A</v>
      </c>
      <c r="AH7" s="53" t="e">
        <f>IF(AND(Z7&lt;=30,OR(H7="SAND",H7="GRAVEL")),(0.048+-0.004721*Z7+0.0006136*Z7^2+-0.00001673*Z7^3)/(1+-0.1248*Z7+0.009578*Z7^2+-0.0003285*Z7^3+0.000003714*Z7^4),#N/A)</f>
        <v>#N/A</v>
      </c>
      <c r="AI7" s="53" t="e">
        <f>0.94*AH7</f>
        <v>#N/A</v>
      </c>
      <c r="AJ7" s="53" t="e">
        <f>0.89*AH7</f>
        <v>#N/A</v>
      </c>
      <c r="AK7" s="27" t="str">
        <f t="shared" ref="AK7:AQ7" si="7">IF(ISNA(AD7),"not applicable",AD7/(1.2*$AC7))</f>
        <v>not applicable</v>
      </c>
      <c r="AL7" s="27" t="str">
        <f t="shared" si="7"/>
        <v>not applicable</v>
      </c>
      <c r="AM7" s="66" t="str">
        <f>IF(ISNA(AF7),"not applicable",AF7/(1.2*$AC7))</f>
        <v>not applicable</v>
      </c>
      <c r="AN7" s="27" t="str">
        <f t="shared" si="7"/>
        <v>not applicable</v>
      </c>
      <c r="AO7" s="27" t="str">
        <f t="shared" si="7"/>
        <v>not applicable</v>
      </c>
      <c r="AP7" s="27" t="str">
        <f t="shared" si="7"/>
        <v>not applicable</v>
      </c>
      <c r="AQ7" s="27" t="str">
        <f t="shared" si="7"/>
        <v>not applicable</v>
      </c>
      <c r="AW7" s="28">
        <f t="shared" ref="AW7:AW22" si="8">IF(OR(AM7&gt;1,AM7="not applicable"),0,1-AM7)</f>
        <v>0</v>
      </c>
      <c r="AX7" s="29">
        <f t="shared" ref="AX7:AX22" si="9">10-(0.5*D7)</f>
        <v>9.75</v>
      </c>
      <c r="AY7" s="29">
        <f>D7</f>
        <v>0.5</v>
      </c>
      <c r="AZ7" s="30">
        <f>AY7*AX7*AW7</f>
        <v>0</v>
      </c>
      <c r="BA7" s="299">
        <f>SUM(AZ7:AZ11)</f>
        <v>0</v>
      </c>
    </row>
    <row r="8" spans="2:53">
      <c r="B8" s="15" t="s">
        <v>33</v>
      </c>
      <c r="C8" s="16">
        <v>0</v>
      </c>
      <c r="D8" s="17">
        <v>1.5</v>
      </c>
      <c r="E8" s="18">
        <v>2.59</v>
      </c>
      <c r="F8" s="19">
        <f t="shared" ref="F8:F22" si="10">E8-D8</f>
        <v>1.0899999999999999</v>
      </c>
      <c r="G8" s="20" t="s">
        <v>10</v>
      </c>
      <c r="H8" s="21" t="s">
        <v>11</v>
      </c>
      <c r="I8" s="15">
        <v>17</v>
      </c>
      <c r="J8" s="15">
        <v>18</v>
      </c>
      <c r="K8" s="15">
        <v>18</v>
      </c>
      <c r="L8" s="22">
        <f>J8*C8+K8*(D8-C8)</f>
        <v>27</v>
      </c>
      <c r="M8" s="22">
        <f t="shared" si="0"/>
        <v>12</v>
      </c>
      <c r="N8" s="23">
        <v>60</v>
      </c>
      <c r="O8" s="15">
        <v>1.05</v>
      </c>
      <c r="P8" s="15">
        <v>1</v>
      </c>
      <c r="Q8" s="15">
        <f t="shared" si="1"/>
        <v>0.75</v>
      </c>
      <c r="R8" s="60">
        <f t="shared" si="2"/>
        <v>13</v>
      </c>
      <c r="S8" s="24">
        <f t="shared" si="3"/>
        <v>2.8867513459481291</v>
      </c>
      <c r="T8" s="24">
        <f t="shared" si="4"/>
        <v>1.7857142857142856</v>
      </c>
      <c r="U8" s="24">
        <f t="shared" si="5"/>
        <v>1</v>
      </c>
      <c r="V8" s="61">
        <f t="shared" si="6"/>
        <v>19.833333333333336</v>
      </c>
      <c r="W8" s="15">
        <v>3</v>
      </c>
      <c r="X8" s="22">
        <f t="shared" ref="X8:X16" si="11">IF(W8&lt;5,0,EXP(1.76-(190/W8^2)))</f>
        <v>0</v>
      </c>
      <c r="Y8" s="22">
        <f t="shared" ref="Y8:Y16" si="12">IF(W8&lt;5,1,0.99+(W8^1.5/1000))</f>
        <v>1</v>
      </c>
      <c r="Z8" s="25">
        <f t="shared" ref="Z8:Z16" si="13">X8+Y8*V8</f>
        <v>19.833333333333336</v>
      </c>
      <c r="AA8" s="62">
        <v>4.4999999999999998E-2</v>
      </c>
      <c r="AB8" s="26">
        <f t="shared" ref="AB8:AB22" si="14">IF(D8&lt;9.15,1-0.00765*D8,1.174-0.0267*D8)</f>
        <v>0.98852499999999999</v>
      </c>
      <c r="AC8" s="53">
        <f t="shared" ref="AC8:AC22" si="15">0.65*AA8*(L8/M8)*AB8</f>
        <v>6.5057301562499989E-2</v>
      </c>
      <c r="AD8" s="26">
        <f t="shared" ref="AD8:AD16" si="16">2.2*AH8</f>
        <v>0.47154466131944994</v>
      </c>
      <c r="AE8" s="53">
        <f>1.76*AH8</f>
        <v>0.37723572905555991</v>
      </c>
      <c r="AF8" s="53">
        <f t="shared" ref="AF8:AF16" si="17">1.44*AH8</f>
        <v>0.30864741468182172</v>
      </c>
      <c r="AG8" s="53">
        <f t="shared" ref="AG8:AG16" si="18">1.19*AH8</f>
        <v>0.25506279407733878</v>
      </c>
      <c r="AH8" s="53">
        <f t="shared" ref="AH8:AH22" si="19">IF(AND(Z8&lt;=30,OR(H8="SAND",H8="GRAVEL")),(0.048+-0.004721*Z8+0.0006136*Z8^2+-0.00001673*Z8^3)/(1+-0.1248*Z8+0.009578*Z8^2+-0.0003285*Z8^3+0.000003714*Z8^4),#N/A)</f>
        <v>0.21433848241793177</v>
      </c>
      <c r="AI8" s="53">
        <f t="shared" ref="AI8:AI16" si="20">0.94*AH8</f>
        <v>0.20147817347285585</v>
      </c>
      <c r="AJ8" s="53">
        <f t="shared" ref="AJ8:AJ16" si="21">0.89*AH8</f>
        <v>0.19076124935195929</v>
      </c>
      <c r="AK8" s="27">
        <f t="shared" ref="AK8:AK16" si="22">IF(ISNA(AD8),"not applicable",AD8/(1.2*$AC8))</f>
        <v>6.0401196329264826</v>
      </c>
      <c r="AL8" s="27">
        <f t="shared" ref="AL8:AL14" si="23">IF(ISNA(AE8),"not applicable",AE8/(1.2*$AC8))</f>
        <v>4.8320957063411853</v>
      </c>
      <c r="AM8" s="66">
        <f t="shared" ref="AM8:AM22" si="24">IF(ISNA(AF8),"not applicable",AF8/(1.2*$AC8))</f>
        <v>3.9535328506427883</v>
      </c>
      <c r="AN8" s="27">
        <f t="shared" ref="AN8:AN22" si="25">IF(ISNA(AG8),"not applicable",AG8/(1.2*$AC8))</f>
        <v>3.2671556196284151</v>
      </c>
      <c r="AO8" s="27">
        <f t="shared" ref="AO8:AO22" si="26">IF(ISNA(AH8),"not applicable",AH8/(1.2*$AC8))</f>
        <v>2.7455089240574919</v>
      </c>
      <c r="AP8" s="27">
        <f t="shared" ref="AP8:AP22" si="27">IF(ISNA(AI8),"not applicable",AI8/(1.2*$AC8))</f>
        <v>2.5807783886140423</v>
      </c>
      <c r="AQ8" s="27">
        <f t="shared" ref="AQ8:AQ22" si="28">IF(ISNA(AJ8),"not applicable",AJ8/(1.2*$AC8))</f>
        <v>2.4435029424111678</v>
      </c>
      <c r="AW8" s="57">
        <f t="shared" si="8"/>
        <v>0</v>
      </c>
      <c r="AX8" s="31">
        <f t="shared" si="9"/>
        <v>9.25</v>
      </c>
      <c r="AY8" s="31">
        <f>IF(D8-D7&lt;0,D8,D8-D7)</f>
        <v>1</v>
      </c>
      <c r="AZ8" s="32">
        <f t="shared" ref="AZ8:AZ22" si="29">AY8*AX8*AW8</f>
        <v>0</v>
      </c>
      <c r="BA8" s="300"/>
    </row>
    <row r="9" spans="2:53">
      <c r="B9" s="15" t="s">
        <v>33</v>
      </c>
      <c r="C9" s="16">
        <v>0</v>
      </c>
      <c r="D9" s="17">
        <v>2.5</v>
      </c>
      <c r="E9" s="18">
        <v>2.59</v>
      </c>
      <c r="F9" s="19">
        <f t="shared" si="10"/>
        <v>8.9999999999999858E-2</v>
      </c>
      <c r="G9" s="20" t="s">
        <v>10</v>
      </c>
      <c r="H9" s="21" t="s">
        <v>11</v>
      </c>
      <c r="I9" s="15">
        <v>41</v>
      </c>
      <c r="J9" s="15">
        <v>18</v>
      </c>
      <c r="K9" s="15">
        <v>18</v>
      </c>
      <c r="L9" s="22">
        <f t="shared" ref="L9:L16" si="30">J9*C9+K9*(D9-C9)</f>
        <v>45</v>
      </c>
      <c r="M9" s="22">
        <f t="shared" si="0"/>
        <v>20</v>
      </c>
      <c r="N9" s="23">
        <v>60</v>
      </c>
      <c r="O9" s="15">
        <v>1.05</v>
      </c>
      <c r="P9" s="15">
        <v>1</v>
      </c>
      <c r="Q9" s="15">
        <f t="shared" si="1"/>
        <v>0.75</v>
      </c>
      <c r="R9" s="60">
        <f t="shared" si="2"/>
        <v>32</v>
      </c>
      <c r="S9" s="24">
        <f t="shared" si="3"/>
        <v>2.2360679774997898</v>
      </c>
      <c r="T9" s="24">
        <f t="shared" si="4"/>
        <v>1.6666666666666667</v>
      </c>
      <c r="U9" s="24">
        <f t="shared" si="5"/>
        <v>1</v>
      </c>
      <c r="V9" s="61">
        <f t="shared" si="6"/>
        <v>47.833333333333336</v>
      </c>
      <c r="W9" s="15">
        <v>3</v>
      </c>
      <c r="X9" s="22">
        <f t="shared" si="11"/>
        <v>0</v>
      </c>
      <c r="Y9" s="22">
        <f t="shared" si="12"/>
        <v>1</v>
      </c>
      <c r="Z9" s="25">
        <f t="shared" si="13"/>
        <v>47.833333333333336</v>
      </c>
      <c r="AA9" s="62">
        <v>4.4999999999999998E-2</v>
      </c>
      <c r="AB9" s="26">
        <f t="shared" si="14"/>
        <v>0.98087500000000005</v>
      </c>
      <c r="AC9" s="53">
        <f t="shared" si="15"/>
        <v>6.4553835937499998E-2</v>
      </c>
      <c r="AD9" s="26" t="e">
        <f t="shared" si="16"/>
        <v>#N/A</v>
      </c>
      <c r="AE9" s="53" t="e">
        <f t="shared" ref="AE9:AE16" si="31">1.76*AH9</f>
        <v>#N/A</v>
      </c>
      <c r="AF9" s="53" t="e">
        <f t="shared" si="17"/>
        <v>#N/A</v>
      </c>
      <c r="AG9" s="53" t="e">
        <f t="shared" si="18"/>
        <v>#N/A</v>
      </c>
      <c r="AH9" s="53" t="e">
        <f t="shared" si="19"/>
        <v>#N/A</v>
      </c>
      <c r="AI9" s="53" t="e">
        <f t="shared" si="20"/>
        <v>#N/A</v>
      </c>
      <c r="AJ9" s="53" t="e">
        <f t="shared" si="21"/>
        <v>#N/A</v>
      </c>
      <c r="AK9" s="27" t="str">
        <f t="shared" si="22"/>
        <v>not applicable</v>
      </c>
      <c r="AL9" s="27" t="str">
        <f t="shared" si="23"/>
        <v>not applicable</v>
      </c>
      <c r="AM9" s="66" t="str">
        <f t="shared" si="24"/>
        <v>not applicable</v>
      </c>
      <c r="AN9" s="27" t="str">
        <f t="shared" si="25"/>
        <v>not applicable</v>
      </c>
      <c r="AO9" s="27" t="str">
        <f t="shared" si="26"/>
        <v>not applicable</v>
      </c>
      <c r="AP9" s="27" t="str">
        <f t="shared" si="27"/>
        <v>not applicable</v>
      </c>
      <c r="AQ9" s="27" t="str">
        <f t="shared" si="28"/>
        <v>not applicable</v>
      </c>
      <c r="AW9" s="57">
        <f t="shared" si="8"/>
        <v>0</v>
      </c>
      <c r="AX9" s="31">
        <f t="shared" si="9"/>
        <v>8.75</v>
      </c>
      <c r="AY9" s="31">
        <f>IF(D9-D8&lt;0,D9,D9-D8)</f>
        <v>1</v>
      </c>
      <c r="AZ9" s="32">
        <f t="shared" si="29"/>
        <v>0</v>
      </c>
      <c r="BA9" s="300"/>
    </row>
    <row r="10" spans="2:53">
      <c r="B10" s="15" t="s">
        <v>33</v>
      </c>
      <c r="C10" s="16">
        <v>0</v>
      </c>
      <c r="D10" s="17">
        <v>3.3</v>
      </c>
      <c r="E10" s="18">
        <v>2.59</v>
      </c>
      <c r="F10" s="19">
        <f t="shared" si="10"/>
        <v>-0.71</v>
      </c>
      <c r="G10" s="20" t="s">
        <v>10</v>
      </c>
      <c r="H10" s="21" t="s">
        <v>11</v>
      </c>
      <c r="I10" s="15">
        <v>31</v>
      </c>
      <c r="J10" s="15">
        <v>18</v>
      </c>
      <c r="K10" s="15">
        <v>18</v>
      </c>
      <c r="L10" s="22">
        <f t="shared" si="30"/>
        <v>59.4</v>
      </c>
      <c r="M10" s="22">
        <f t="shared" si="0"/>
        <v>26.4</v>
      </c>
      <c r="N10" s="23">
        <v>60</v>
      </c>
      <c r="O10" s="15">
        <v>1.05</v>
      </c>
      <c r="P10" s="15">
        <v>1</v>
      </c>
      <c r="Q10" s="15">
        <f t="shared" si="1"/>
        <v>0.75</v>
      </c>
      <c r="R10" s="60">
        <f t="shared" si="2"/>
        <v>24</v>
      </c>
      <c r="S10" s="24">
        <f t="shared" si="3"/>
        <v>1.9462473604038073</v>
      </c>
      <c r="T10" s="24">
        <f t="shared" si="4"/>
        <v>1.5822784810126582</v>
      </c>
      <c r="U10" s="24">
        <f t="shared" si="5"/>
        <v>1</v>
      </c>
      <c r="V10" s="61">
        <f t="shared" si="6"/>
        <v>36.166666666666671</v>
      </c>
      <c r="W10" s="15">
        <v>3</v>
      </c>
      <c r="X10" s="22">
        <f t="shared" si="11"/>
        <v>0</v>
      </c>
      <c r="Y10" s="22">
        <f t="shared" si="12"/>
        <v>1</v>
      </c>
      <c r="Z10" s="25">
        <f t="shared" si="13"/>
        <v>36.166666666666671</v>
      </c>
      <c r="AA10" s="62">
        <v>4.4999999999999998E-2</v>
      </c>
      <c r="AB10" s="26">
        <f t="shared" si="14"/>
        <v>0.97475500000000004</v>
      </c>
      <c r="AC10" s="53">
        <f t="shared" si="15"/>
        <v>6.4151063437500003E-2</v>
      </c>
      <c r="AD10" s="26" t="e">
        <f t="shared" si="16"/>
        <v>#N/A</v>
      </c>
      <c r="AE10" s="53" t="e">
        <f>1.76*AH10</f>
        <v>#N/A</v>
      </c>
      <c r="AF10" s="53" t="e">
        <f t="shared" si="17"/>
        <v>#N/A</v>
      </c>
      <c r="AG10" s="53" t="e">
        <f t="shared" si="18"/>
        <v>#N/A</v>
      </c>
      <c r="AH10" s="53" t="e">
        <f t="shared" si="19"/>
        <v>#N/A</v>
      </c>
      <c r="AI10" s="53" t="e">
        <f t="shared" si="20"/>
        <v>#N/A</v>
      </c>
      <c r="AJ10" s="53" t="e">
        <f t="shared" si="21"/>
        <v>#N/A</v>
      </c>
      <c r="AK10" s="27" t="str">
        <f t="shared" si="22"/>
        <v>not applicable</v>
      </c>
      <c r="AL10" s="27" t="str">
        <f t="shared" si="23"/>
        <v>not applicable</v>
      </c>
      <c r="AM10" s="66" t="str">
        <f t="shared" si="24"/>
        <v>not applicable</v>
      </c>
      <c r="AN10" s="27" t="str">
        <f t="shared" si="25"/>
        <v>not applicable</v>
      </c>
      <c r="AO10" s="27" t="str">
        <f t="shared" si="26"/>
        <v>not applicable</v>
      </c>
      <c r="AP10" s="27" t="str">
        <f t="shared" si="27"/>
        <v>not applicable</v>
      </c>
      <c r="AQ10" s="27" t="str">
        <f t="shared" si="28"/>
        <v>not applicable</v>
      </c>
      <c r="AW10" s="57">
        <f t="shared" si="8"/>
        <v>0</v>
      </c>
      <c r="AX10" s="31">
        <f t="shared" si="9"/>
        <v>8.35</v>
      </c>
      <c r="AY10" s="31">
        <f>IF(D10-D9&lt;0,D10,D10-D9)</f>
        <v>0.79999999999999982</v>
      </c>
      <c r="AZ10" s="32">
        <f t="shared" si="29"/>
        <v>0</v>
      </c>
      <c r="BA10" s="300"/>
    </row>
    <row r="11" spans="2:53">
      <c r="B11" s="15" t="s">
        <v>33</v>
      </c>
      <c r="C11" s="16">
        <v>0</v>
      </c>
      <c r="D11" s="17">
        <v>4</v>
      </c>
      <c r="E11" s="18">
        <v>2.59</v>
      </c>
      <c r="F11" s="19">
        <f>E11-D11</f>
        <v>-1.4100000000000001</v>
      </c>
      <c r="G11" s="20" t="s">
        <v>10</v>
      </c>
      <c r="H11" s="21" t="s">
        <v>11</v>
      </c>
      <c r="I11" s="15">
        <v>19</v>
      </c>
      <c r="J11" s="15">
        <v>18</v>
      </c>
      <c r="K11" s="15">
        <v>18</v>
      </c>
      <c r="L11" s="22">
        <f>J11*C11+K11*(D11-C11)</f>
        <v>72</v>
      </c>
      <c r="M11" s="22">
        <f>J11*C11+(K11-10)*(D11-C11)</f>
        <v>32</v>
      </c>
      <c r="N11" s="23">
        <v>60</v>
      </c>
      <c r="O11" s="15">
        <v>1.05</v>
      </c>
      <c r="P11" s="15">
        <v>1</v>
      </c>
      <c r="Q11" s="15">
        <f>IF(D11&lt;4,0.75,IF(AND(D11&gt;=4,D11&lt;6),0.85,IF(AND(D11&gt;=6,D11&lt;10),0.95,IF(D11&gt;=10,1))))</f>
        <v>0.85</v>
      </c>
      <c r="R11" s="60">
        <f>ROUND((I11*N11*O11*P11*Q11)/60,0)</f>
        <v>17</v>
      </c>
      <c r="S11" s="24">
        <f>SQRT(1/(M11/100))</f>
        <v>1.7677669529663689</v>
      </c>
      <c r="T11" s="24">
        <f>2/(1+M11/100)</f>
        <v>1.5151515151515151</v>
      </c>
      <c r="U11" s="24">
        <f>IF(T11&gt;1,1,T11)</f>
        <v>1</v>
      </c>
      <c r="V11" s="61">
        <f>0.7/0.6*I11</f>
        <v>22.166666666666668</v>
      </c>
      <c r="W11" s="15">
        <v>3</v>
      </c>
      <c r="X11" s="22">
        <f>IF(W11&lt;5,0,EXP(1.76-(190/W11^2)))</f>
        <v>0</v>
      </c>
      <c r="Y11" s="22">
        <f>IF(W11&lt;5,1,0.99+(W11^1.5/1000))</f>
        <v>1</v>
      </c>
      <c r="Z11" s="25">
        <f>X11+Y11*V11</f>
        <v>22.166666666666668</v>
      </c>
      <c r="AA11" s="62">
        <v>4.4999999999999998E-2</v>
      </c>
      <c r="AB11" s="26">
        <f>IF(D11&lt;9.15,1-0.00765*D11,1.174-0.0267*D11)</f>
        <v>0.96940000000000004</v>
      </c>
      <c r="AC11" s="53">
        <f>0.65*AA11*(L11/M11)*AB11</f>
        <v>6.3798637500000005E-2</v>
      </c>
      <c r="AD11" s="26">
        <f>2.2*AH11</f>
        <v>0.53285487015967881</v>
      </c>
      <c r="AE11" s="53">
        <f>1.76*AH11</f>
        <v>0.42628389612774298</v>
      </c>
      <c r="AF11" s="53">
        <f>1.44*AH11</f>
        <v>0.34877773319542604</v>
      </c>
      <c r="AG11" s="53">
        <f>1.19*AH11</f>
        <v>0.28822604340455349</v>
      </c>
      <c r="AH11" s="53">
        <f>IF(AND(Z11&lt;=30,OR(H11="SAND",H11="GRAVEL")),(0.048+-0.004721*Z11+0.0006136*Z11^2+-0.00001673*Z11^3)/(1+-0.1248*Z11+0.009578*Z11^2+-0.0003285*Z11^3+0.000003714*Z11^4),#N/A)</f>
        <v>0.24220675916349033</v>
      </c>
      <c r="AI11" s="53">
        <f>0.94*AH11</f>
        <v>0.22767435361368088</v>
      </c>
      <c r="AJ11" s="53">
        <f>0.89*AH11</f>
        <v>0.2155640156555064</v>
      </c>
      <c r="AK11" s="27">
        <f t="shared" ref="AK11:AQ11" si="32">IF(ISNA(AD11),"not applicable",AD11/(1.2*$AC11))</f>
        <v>6.9601129825549277</v>
      </c>
      <c r="AL11" s="27">
        <f t="shared" si="32"/>
        <v>5.5680903860439415</v>
      </c>
      <c r="AM11" s="66">
        <f t="shared" si="32"/>
        <v>4.5557103158541334</v>
      </c>
      <c r="AN11" s="27">
        <f t="shared" si="32"/>
        <v>3.7647883860183464</v>
      </c>
      <c r="AO11" s="27">
        <f t="shared" si="32"/>
        <v>3.1636877193431485</v>
      </c>
      <c r="AP11" s="27">
        <f t="shared" si="32"/>
        <v>2.973866456182559</v>
      </c>
      <c r="AQ11" s="27">
        <f t="shared" si="32"/>
        <v>2.8156820702154022</v>
      </c>
      <c r="AW11" s="58">
        <f t="shared" si="8"/>
        <v>0</v>
      </c>
      <c r="AX11" s="36">
        <f t="shared" si="9"/>
        <v>8</v>
      </c>
      <c r="AY11" s="36">
        <f>IF(D11-D10&lt;0,D11,D11-D10)</f>
        <v>0.70000000000000018</v>
      </c>
      <c r="AZ11" s="37">
        <f>AY11*AX11*AW11</f>
        <v>0</v>
      </c>
      <c r="BA11" s="301"/>
    </row>
    <row r="12" spans="2:53">
      <c r="B12" s="33" t="s">
        <v>80</v>
      </c>
      <c r="C12" s="33">
        <v>0</v>
      </c>
      <c r="D12" s="33">
        <v>1</v>
      </c>
      <c r="E12" s="33">
        <v>2.61</v>
      </c>
      <c r="F12" s="19">
        <f t="shared" si="10"/>
        <v>1.6099999999999999</v>
      </c>
      <c r="G12" s="41" t="s">
        <v>10</v>
      </c>
      <c r="H12" s="42" t="s">
        <v>11</v>
      </c>
      <c r="I12" s="33">
        <v>19</v>
      </c>
      <c r="J12" s="33">
        <v>18</v>
      </c>
      <c r="K12" s="33">
        <v>18</v>
      </c>
      <c r="L12" s="22">
        <f t="shared" si="30"/>
        <v>18</v>
      </c>
      <c r="M12" s="22">
        <f t="shared" si="0"/>
        <v>8</v>
      </c>
      <c r="N12" s="34">
        <v>60</v>
      </c>
      <c r="O12" s="33">
        <v>1.05</v>
      </c>
      <c r="P12" s="33">
        <v>1</v>
      </c>
      <c r="Q12" s="33">
        <f t="shared" si="1"/>
        <v>0.75</v>
      </c>
      <c r="R12" s="64">
        <f t="shared" si="2"/>
        <v>15</v>
      </c>
      <c r="S12" s="35">
        <f t="shared" si="3"/>
        <v>3.5355339059327378</v>
      </c>
      <c r="T12" s="35">
        <f t="shared" si="4"/>
        <v>1.8518518518518516</v>
      </c>
      <c r="U12" s="35">
        <f t="shared" si="5"/>
        <v>1</v>
      </c>
      <c r="V12" s="65">
        <f t="shared" si="6"/>
        <v>22.166666666666668</v>
      </c>
      <c r="W12" s="33">
        <v>3</v>
      </c>
      <c r="X12" s="22">
        <f t="shared" si="11"/>
        <v>0</v>
      </c>
      <c r="Y12" s="22">
        <f t="shared" si="12"/>
        <v>1</v>
      </c>
      <c r="Z12" s="25">
        <f t="shared" si="13"/>
        <v>22.166666666666668</v>
      </c>
      <c r="AA12" s="63">
        <v>4.4999999999999998E-2</v>
      </c>
      <c r="AB12" s="26">
        <f t="shared" si="14"/>
        <v>0.99234999999999995</v>
      </c>
      <c r="AC12" s="53">
        <f t="shared" si="15"/>
        <v>6.5309034374999991E-2</v>
      </c>
      <c r="AD12" s="26">
        <f t="shared" si="16"/>
        <v>0.53285487015967881</v>
      </c>
      <c r="AE12" s="53">
        <f t="shared" si="31"/>
        <v>0.42628389612774298</v>
      </c>
      <c r="AF12" s="53">
        <f t="shared" si="17"/>
        <v>0.34877773319542604</v>
      </c>
      <c r="AG12" s="53">
        <f t="shared" si="18"/>
        <v>0.28822604340455349</v>
      </c>
      <c r="AH12" s="53">
        <f t="shared" si="19"/>
        <v>0.24220675916349033</v>
      </c>
      <c r="AI12" s="53">
        <f t="shared" si="20"/>
        <v>0.22767435361368088</v>
      </c>
      <c r="AJ12" s="53">
        <f t="shared" si="21"/>
        <v>0.2155640156555064</v>
      </c>
      <c r="AK12" s="27">
        <f t="shared" si="22"/>
        <v>6.7991469998375047</v>
      </c>
      <c r="AL12" s="27">
        <f t="shared" si="23"/>
        <v>5.4393175998700034</v>
      </c>
      <c r="AM12" s="66">
        <f t="shared" si="24"/>
        <v>4.4503507635300021</v>
      </c>
      <c r="AN12" s="27">
        <f t="shared" si="25"/>
        <v>3.6777204226393772</v>
      </c>
      <c r="AO12" s="27">
        <f t="shared" si="26"/>
        <v>3.0905213635625017</v>
      </c>
      <c r="AP12" s="27">
        <f t="shared" si="27"/>
        <v>2.9050900817487513</v>
      </c>
      <c r="AQ12" s="27">
        <f t="shared" si="28"/>
        <v>2.7505640135706266</v>
      </c>
      <c r="AW12" s="57">
        <f t="shared" si="8"/>
        <v>0</v>
      </c>
      <c r="AX12" s="31">
        <f t="shared" si="9"/>
        <v>9.5</v>
      </c>
      <c r="AY12" s="31">
        <f>IF(D12-D10&lt;0,D12,D12-D10)</f>
        <v>1</v>
      </c>
      <c r="AZ12" s="32">
        <f t="shared" si="29"/>
        <v>0</v>
      </c>
      <c r="BA12" s="300">
        <f>SUM(AZ12:AZ15)</f>
        <v>0</v>
      </c>
    </row>
    <row r="13" spans="2:53">
      <c r="B13" s="33" t="s">
        <v>80</v>
      </c>
      <c r="C13" s="33">
        <v>0</v>
      </c>
      <c r="D13" s="33">
        <v>2</v>
      </c>
      <c r="E13" s="33">
        <v>2.61</v>
      </c>
      <c r="F13" s="19">
        <f t="shared" si="10"/>
        <v>0.60999999999999988</v>
      </c>
      <c r="G13" s="41" t="s">
        <v>10</v>
      </c>
      <c r="H13" s="42" t="s">
        <v>11</v>
      </c>
      <c r="I13" s="33">
        <v>21</v>
      </c>
      <c r="J13" s="33">
        <v>18</v>
      </c>
      <c r="K13" s="33">
        <v>18</v>
      </c>
      <c r="L13" s="22">
        <f t="shared" si="30"/>
        <v>36</v>
      </c>
      <c r="M13" s="22">
        <f t="shared" si="0"/>
        <v>16</v>
      </c>
      <c r="N13" s="34">
        <v>60</v>
      </c>
      <c r="O13" s="33">
        <v>1.05</v>
      </c>
      <c r="P13" s="33">
        <v>1</v>
      </c>
      <c r="Q13" s="33">
        <f t="shared" si="1"/>
        <v>0.75</v>
      </c>
      <c r="R13" s="64">
        <f t="shared" si="2"/>
        <v>17</v>
      </c>
      <c r="S13" s="35">
        <f t="shared" si="3"/>
        <v>2.5</v>
      </c>
      <c r="T13" s="35">
        <f t="shared" si="4"/>
        <v>1.7241379310344829</v>
      </c>
      <c r="U13" s="35">
        <f t="shared" si="5"/>
        <v>1</v>
      </c>
      <c r="V13" s="65">
        <f t="shared" si="6"/>
        <v>24.5</v>
      </c>
      <c r="W13" s="33">
        <v>3</v>
      </c>
      <c r="X13" s="22">
        <f t="shared" si="11"/>
        <v>0</v>
      </c>
      <c r="Y13" s="22">
        <f t="shared" si="12"/>
        <v>1</v>
      </c>
      <c r="Z13" s="25">
        <f t="shared" si="13"/>
        <v>24.5</v>
      </c>
      <c r="AA13" s="63">
        <v>4.4999999999999998E-2</v>
      </c>
      <c r="AB13" s="26">
        <f t="shared" si="14"/>
        <v>0.98470000000000002</v>
      </c>
      <c r="AC13" s="53">
        <f t="shared" si="15"/>
        <v>6.480556875E-2</v>
      </c>
      <c r="AD13" s="26">
        <f t="shared" si="16"/>
        <v>0.6044360146958575</v>
      </c>
      <c r="AE13" s="53">
        <f t="shared" si="31"/>
        <v>0.48354881175668596</v>
      </c>
      <c r="AF13" s="53">
        <f t="shared" si="17"/>
        <v>0.39563084598274306</v>
      </c>
      <c r="AG13" s="53">
        <f t="shared" si="18"/>
        <v>0.32694493522185014</v>
      </c>
      <c r="AH13" s="53">
        <f t="shared" si="19"/>
        <v>0.27474364304357157</v>
      </c>
      <c r="AI13" s="53">
        <f t="shared" si="20"/>
        <v>0.25825902446095728</v>
      </c>
      <c r="AJ13" s="53">
        <f t="shared" si="21"/>
        <v>0.24452184230877871</v>
      </c>
      <c r="AK13" s="27">
        <f t="shared" si="22"/>
        <v>7.7724289536956581</v>
      </c>
      <c r="AL13" s="27">
        <f t="shared" si="23"/>
        <v>6.2179431629565265</v>
      </c>
      <c r="AM13" s="66">
        <f t="shared" si="24"/>
        <v>5.0874080424189758</v>
      </c>
      <c r="AN13" s="27">
        <f t="shared" si="25"/>
        <v>4.2041774794990143</v>
      </c>
      <c r="AO13" s="27">
        <f t="shared" si="26"/>
        <v>3.5329222516798446</v>
      </c>
      <c r="AP13" s="27">
        <f t="shared" si="27"/>
        <v>3.3209469165790537</v>
      </c>
      <c r="AQ13" s="27">
        <f t="shared" si="28"/>
        <v>3.144300803995062</v>
      </c>
      <c r="AW13" s="57">
        <f t="shared" si="8"/>
        <v>0</v>
      </c>
      <c r="AX13" s="31">
        <f t="shared" si="9"/>
        <v>9</v>
      </c>
      <c r="AY13" s="31">
        <f t="shared" ref="AY13:AY22" si="33">IF(D13-D12&lt;0,D13,D13-D12)</f>
        <v>1</v>
      </c>
      <c r="AZ13" s="32">
        <f t="shared" si="29"/>
        <v>0</v>
      </c>
      <c r="BA13" s="300"/>
    </row>
    <row r="14" spans="2:53">
      <c r="B14" s="33" t="s">
        <v>80</v>
      </c>
      <c r="C14" s="33">
        <v>0</v>
      </c>
      <c r="D14" s="33">
        <v>3</v>
      </c>
      <c r="E14" s="33">
        <v>2.61</v>
      </c>
      <c r="F14" s="19">
        <f t="shared" si="10"/>
        <v>-0.39000000000000012</v>
      </c>
      <c r="G14" s="41" t="s">
        <v>10</v>
      </c>
      <c r="H14" s="42" t="s">
        <v>11</v>
      </c>
      <c r="I14" s="33">
        <v>29</v>
      </c>
      <c r="J14" s="33">
        <v>18</v>
      </c>
      <c r="K14" s="33">
        <v>18</v>
      </c>
      <c r="L14" s="22">
        <f t="shared" si="30"/>
        <v>54</v>
      </c>
      <c r="M14" s="22">
        <f t="shared" si="0"/>
        <v>24</v>
      </c>
      <c r="N14" s="34">
        <v>60</v>
      </c>
      <c r="O14" s="33">
        <v>1.05</v>
      </c>
      <c r="P14" s="33">
        <v>1</v>
      </c>
      <c r="Q14" s="33">
        <f t="shared" si="1"/>
        <v>0.75</v>
      </c>
      <c r="R14" s="64">
        <f t="shared" si="2"/>
        <v>23</v>
      </c>
      <c r="S14" s="35">
        <f t="shared" si="3"/>
        <v>2.0412414523193152</v>
      </c>
      <c r="T14" s="35">
        <f t="shared" si="4"/>
        <v>1.6129032258064517</v>
      </c>
      <c r="U14" s="35">
        <f t="shared" si="5"/>
        <v>1</v>
      </c>
      <c r="V14" s="65">
        <f t="shared" si="6"/>
        <v>33.833333333333336</v>
      </c>
      <c r="W14" s="33">
        <v>3</v>
      </c>
      <c r="X14" s="22">
        <f>IF(W14&lt;5,0,EXP(1.76-(190/W14^2)))</f>
        <v>0</v>
      </c>
      <c r="Y14" s="22">
        <f>IF(W14&lt;5,1,0.99+(W14^1.5/1000))</f>
        <v>1</v>
      </c>
      <c r="Z14" s="25">
        <f>X14+Y14*V14</f>
        <v>33.833333333333336</v>
      </c>
      <c r="AA14" s="63">
        <v>4.4999999999999998E-2</v>
      </c>
      <c r="AB14" s="26">
        <f t="shared" si="14"/>
        <v>0.97704999999999997</v>
      </c>
      <c r="AC14" s="53">
        <f t="shared" si="15"/>
        <v>6.4302103124999996E-2</v>
      </c>
      <c r="AD14" s="26" t="e">
        <f>2.2*AH14</f>
        <v>#N/A</v>
      </c>
      <c r="AE14" s="53" t="e">
        <f>1.76*AH14</f>
        <v>#N/A</v>
      </c>
      <c r="AF14" s="53" t="e">
        <f>1.44*AH14</f>
        <v>#N/A</v>
      </c>
      <c r="AG14" s="53" t="e">
        <f>1.19*AH14</f>
        <v>#N/A</v>
      </c>
      <c r="AH14" s="53" t="e">
        <f t="shared" si="19"/>
        <v>#N/A</v>
      </c>
      <c r="AI14" s="53" t="e">
        <f t="shared" si="20"/>
        <v>#N/A</v>
      </c>
      <c r="AJ14" s="53" t="e">
        <f t="shared" si="21"/>
        <v>#N/A</v>
      </c>
      <c r="AK14" s="27" t="str">
        <f>IF(ISNA(AD14),"not applicable",AD14/(1.2*$AC14))</f>
        <v>not applicable</v>
      </c>
      <c r="AL14" s="27" t="str">
        <f t="shared" si="23"/>
        <v>not applicable</v>
      </c>
      <c r="AM14" s="66" t="str">
        <f t="shared" si="24"/>
        <v>not applicable</v>
      </c>
      <c r="AN14" s="27" t="str">
        <f t="shared" si="25"/>
        <v>not applicable</v>
      </c>
      <c r="AO14" s="27" t="str">
        <f t="shared" si="26"/>
        <v>not applicable</v>
      </c>
      <c r="AP14" s="27" t="str">
        <f t="shared" si="27"/>
        <v>not applicable</v>
      </c>
      <c r="AQ14" s="27" t="str">
        <f t="shared" si="28"/>
        <v>not applicable</v>
      </c>
      <c r="AW14" s="57">
        <f t="shared" si="8"/>
        <v>0</v>
      </c>
      <c r="AX14" s="31">
        <f t="shared" si="9"/>
        <v>8.5</v>
      </c>
      <c r="AY14" s="31">
        <f t="shared" si="33"/>
        <v>1</v>
      </c>
      <c r="AZ14" s="32">
        <f>AY14*AX14*AW14</f>
        <v>0</v>
      </c>
      <c r="BA14" s="300"/>
    </row>
    <row r="15" spans="2:53">
      <c r="B15" s="33" t="s">
        <v>80</v>
      </c>
      <c r="C15" s="33">
        <v>0</v>
      </c>
      <c r="D15" s="33">
        <v>4</v>
      </c>
      <c r="E15" s="33">
        <v>2.61</v>
      </c>
      <c r="F15" s="19">
        <f t="shared" si="10"/>
        <v>-1.3900000000000001</v>
      </c>
      <c r="G15" s="41" t="s">
        <v>10</v>
      </c>
      <c r="H15" s="42" t="s">
        <v>11</v>
      </c>
      <c r="I15" s="33">
        <v>43</v>
      </c>
      <c r="J15" s="33">
        <v>18</v>
      </c>
      <c r="K15" s="33">
        <v>18</v>
      </c>
      <c r="L15" s="22">
        <f>J15*C15+K15*(D15-C15)</f>
        <v>72</v>
      </c>
      <c r="M15" s="22">
        <f>J15*C15+(K15-10)*(D15-C15)</f>
        <v>32</v>
      </c>
      <c r="N15" s="34">
        <v>60</v>
      </c>
      <c r="O15" s="33">
        <v>1.05</v>
      </c>
      <c r="P15" s="33">
        <v>1</v>
      </c>
      <c r="Q15" s="33">
        <f t="shared" si="1"/>
        <v>0.85</v>
      </c>
      <c r="R15" s="64">
        <f t="shared" si="2"/>
        <v>38</v>
      </c>
      <c r="S15" s="35">
        <f t="shared" si="3"/>
        <v>1.7677669529663689</v>
      </c>
      <c r="T15" s="35">
        <f t="shared" si="4"/>
        <v>1.5151515151515151</v>
      </c>
      <c r="U15" s="35">
        <f t="shared" si="5"/>
        <v>1</v>
      </c>
      <c r="V15" s="65">
        <f t="shared" si="6"/>
        <v>50.166666666666671</v>
      </c>
      <c r="W15" s="33">
        <v>3</v>
      </c>
      <c r="X15" s="22">
        <f>IF(W15&lt;5,0,EXP(1.76-(190/W15^2)))</f>
        <v>0</v>
      </c>
      <c r="Y15" s="22">
        <f>IF(W15&lt;5,1,0.99+(W15^1.5/1000))</f>
        <v>1</v>
      </c>
      <c r="Z15" s="25">
        <f>X15+Y15*V15</f>
        <v>50.166666666666671</v>
      </c>
      <c r="AA15" s="63">
        <v>4.4999999999999998E-2</v>
      </c>
      <c r="AB15" s="26">
        <f t="shared" si="14"/>
        <v>0.96940000000000004</v>
      </c>
      <c r="AC15" s="53">
        <f t="shared" si="15"/>
        <v>6.3798637500000005E-2</v>
      </c>
      <c r="AD15" s="26" t="e">
        <f>2.2*AH15</f>
        <v>#N/A</v>
      </c>
      <c r="AE15" s="53" t="e">
        <f>1.76*AH15</f>
        <v>#N/A</v>
      </c>
      <c r="AF15" s="53" t="e">
        <f>1.44*AH15</f>
        <v>#N/A</v>
      </c>
      <c r="AG15" s="53" t="e">
        <f>1.19*AH15</f>
        <v>#N/A</v>
      </c>
      <c r="AH15" s="53" t="e">
        <f t="shared" si="19"/>
        <v>#N/A</v>
      </c>
      <c r="AI15" s="53" t="e">
        <f t="shared" si="20"/>
        <v>#N/A</v>
      </c>
      <c r="AJ15" s="53" t="e">
        <f>0.89*AH15</f>
        <v>#N/A</v>
      </c>
      <c r="AK15" s="27" t="str">
        <f>IF(ISNA(AD15),"not applicable",AD15/(1.2*$AC15))</f>
        <v>not applicable</v>
      </c>
      <c r="AL15" s="27" t="str">
        <f t="shared" ref="AL15:AL22" si="34">IF(ISNA(AE15),"not applicable",AE15/(1.2*$AC15))</f>
        <v>not applicable</v>
      </c>
      <c r="AM15" s="66" t="str">
        <f t="shared" si="24"/>
        <v>not applicable</v>
      </c>
      <c r="AN15" s="27" t="str">
        <f t="shared" si="25"/>
        <v>not applicable</v>
      </c>
      <c r="AO15" s="27" t="str">
        <f t="shared" si="26"/>
        <v>not applicable</v>
      </c>
      <c r="AP15" s="27" t="str">
        <f t="shared" si="27"/>
        <v>not applicable</v>
      </c>
      <c r="AQ15" s="27" t="str">
        <f t="shared" si="28"/>
        <v>not applicable</v>
      </c>
      <c r="AW15" s="57">
        <f t="shared" si="8"/>
        <v>0</v>
      </c>
      <c r="AX15" s="31">
        <f t="shared" si="9"/>
        <v>8</v>
      </c>
      <c r="AY15" s="36">
        <f t="shared" si="33"/>
        <v>1</v>
      </c>
      <c r="AZ15" s="37">
        <f t="shared" si="29"/>
        <v>0</v>
      </c>
      <c r="BA15" s="301"/>
    </row>
    <row r="16" spans="2:53" s="43" customFormat="1">
      <c r="B16" s="15" t="s">
        <v>81</v>
      </c>
      <c r="C16" s="16">
        <v>0</v>
      </c>
      <c r="D16" s="17">
        <v>1</v>
      </c>
      <c r="E16" s="18">
        <v>2.62</v>
      </c>
      <c r="F16" s="19">
        <f t="shared" si="10"/>
        <v>1.62</v>
      </c>
      <c r="G16" s="20" t="s">
        <v>10</v>
      </c>
      <c r="H16" s="21" t="s">
        <v>11</v>
      </c>
      <c r="I16" s="15">
        <v>21</v>
      </c>
      <c r="J16" s="15">
        <v>18</v>
      </c>
      <c r="K16" s="15">
        <v>18</v>
      </c>
      <c r="L16" s="22">
        <f t="shared" si="30"/>
        <v>18</v>
      </c>
      <c r="M16" s="22">
        <f t="shared" si="0"/>
        <v>8</v>
      </c>
      <c r="N16" s="23">
        <v>60</v>
      </c>
      <c r="O16" s="15">
        <v>1.05</v>
      </c>
      <c r="P16" s="15">
        <v>1</v>
      </c>
      <c r="Q16" s="15">
        <f t="shared" si="1"/>
        <v>0.75</v>
      </c>
      <c r="R16" s="60">
        <v>10</v>
      </c>
      <c r="S16" s="24">
        <f t="shared" si="3"/>
        <v>3.5355339059327378</v>
      </c>
      <c r="T16" s="24">
        <f t="shared" si="4"/>
        <v>1.8518518518518516</v>
      </c>
      <c r="U16" s="24">
        <f t="shared" si="5"/>
        <v>1</v>
      </c>
      <c r="V16" s="61">
        <f t="shared" si="6"/>
        <v>24.5</v>
      </c>
      <c r="W16" s="15">
        <v>3</v>
      </c>
      <c r="X16" s="22">
        <f t="shared" si="11"/>
        <v>0</v>
      </c>
      <c r="Y16" s="22">
        <f t="shared" si="12"/>
        <v>1</v>
      </c>
      <c r="Z16" s="25">
        <f t="shared" si="13"/>
        <v>24.5</v>
      </c>
      <c r="AA16" s="62">
        <v>4.4999999999999998E-2</v>
      </c>
      <c r="AB16" s="26">
        <f t="shared" si="14"/>
        <v>0.99234999999999995</v>
      </c>
      <c r="AC16" s="53">
        <f t="shared" si="15"/>
        <v>6.5309034374999991E-2</v>
      </c>
      <c r="AD16" s="26">
        <f t="shared" si="16"/>
        <v>0.6044360146958575</v>
      </c>
      <c r="AE16" s="53">
        <f t="shared" si="31"/>
        <v>0.48354881175668596</v>
      </c>
      <c r="AF16" s="53">
        <f t="shared" si="17"/>
        <v>0.39563084598274306</v>
      </c>
      <c r="AG16" s="53">
        <f t="shared" si="18"/>
        <v>0.32694493522185014</v>
      </c>
      <c r="AH16" s="53">
        <f t="shared" si="19"/>
        <v>0.27474364304357157</v>
      </c>
      <c r="AI16" s="53">
        <f t="shared" si="20"/>
        <v>0.25825902446095728</v>
      </c>
      <c r="AJ16" s="53">
        <f t="shared" si="21"/>
        <v>0.24452184230877871</v>
      </c>
      <c r="AK16" s="27">
        <f t="shared" si="22"/>
        <v>7.7125115037074785</v>
      </c>
      <c r="AL16" s="27">
        <f t="shared" si="34"/>
        <v>6.1700092029659821</v>
      </c>
      <c r="AM16" s="66">
        <f t="shared" si="24"/>
        <v>5.0481893478812578</v>
      </c>
      <c r="AN16" s="27">
        <f t="shared" si="25"/>
        <v>4.1717675860963173</v>
      </c>
      <c r="AO16" s="27">
        <f t="shared" si="26"/>
        <v>3.5056870471397628</v>
      </c>
      <c r="AP16" s="27">
        <f t="shared" si="27"/>
        <v>3.2953458243113771</v>
      </c>
      <c r="AQ16" s="27">
        <f t="shared" si="28"/>
        <v>3.1200614719543891</v>
      </c>
      <c r="AW16" s="28">
        <f t="shared" si="8"/>
        <v>0</v>
      </c>
      <c r="AX16" s="29">
        <f t="shared" si="9"/>
        <v>9.5</v>
      </c>
      <c r="AY16" s="31">
        <f t="shared" si="33"/>
        <v>1</v>
      </c>
      <c r="AZ16" s="32">
        <f>AY16*AX16*AW16</f>
        <v>0</v>
      </c>
      <c r="BA16" s="299">
        <f>SUM(AZ16:AZ19)</f>
        <v>0</v>
      </c>
    </row>
    <row r="17" spans="2:53" s="43" customFormat="1">
      <c r="B17" s="15" t="s">
        <v>81</v>
      </c>
      <c r="C17" s="16">
        <v>0</v>
      </c>
      <c r="D17" s="17">
        <v>2</v>
      </c>
      <c r="E17" s="18">
        <v>2.62</v>
      </c>
      <c r="F17" s="19">
        <f t="shared" si="10"/>
        <v>0.62000000000000011</v>
      </c>
      <c r="G17" s="20" t="s">
        <v>10</v>
      </c>
      <c r="H17" s="21" t="s">
        <v>11</v>
      </c>
      <c r="I17" s="15">
        <v>19</v>
      </c>
      <c r="J17" s="15">
        <v>18</v>
      </c>
      <c r="K17" s="15">
        <v>18</v>
      </c>
      <c r="L17" s="22">
        <f t="shared" ref="L17:L22" si="35">J17*C17+K17*(D17-C17)</f>
        <v>36</v>
      </c>
      <c r="M17" s="22">
        <f t="shared" ref="M17:M22" si="36">J17*C17+(K17-10)*(D17-C17)</f>
        <v>16</v>
      </c>
      <c r="N17" s="23">
        <v>60</v>
      </c>
      <c r="O17" s="15">
        <v>1.05</v>
      </c>
      <c r="P17" s="15">
        <v>2</v>
      </c>
      <c r="Q17" s="15">
        <f t="shared" si="1"/>
        <v>0.75</v>
      </c>
      <c r="R17" s="60">
        <v>11</v>
      </c>
      <c r="S17" s="24">
        <f t="shared" si="3"/>
        <v>2.5</v>
      </c>
      <c r="T17" s="24">
        <f t="shared" si="4"/>
        <v>1.7241379310344829</v>
      </c>
      <c r="U17" s="24">
        <f t="shared" si="5"/>
        <v>1</v>
      </c>
      <c r="V17" s="61">
        <f t="shared" si="6"/>
        <v>22.166666666666668</v>
      </c>
      <c r="W17" s="15">
        <v>3</v>
      </c>
      <c r="X17" s="22">
        <f t="shared" ref="X17:X22" si="37">IF(W17&lt;5,0,EXP(1.76-(190/W17^2)))</f>
        <v>0</v>
      </c>
      <c r="Y17" s="22">
        <f t="shared" ref="Y17:Y22" si="38">IF(W17&lt;5,1,0.99+(W17^1.5/1000))</f>
        <v>1</v>
      </c>
      <c r="Z17" s="25">
        <f t="shared" ref="Z17:Z22" si="39">X17+Y17*V17</f>
        <v>22.166666666666668</v>
      </c>
      <c r="AA17" s="62">
        <v>4.4999999999999998E-2</v>
      </c>
      <c r="AB17" s="26">
        <f t="shared" si="14"/>
        <v>0.98470000000000002</v>
      </c>
      <c r="AC17" s="53">
        <f t="shared" si="15"/>
        <v>6.480556875E-2</v>
      </c>
      <c r="AD17" s="26">
        <f t="shared" ref="AD17:AD22" si="40">2.2*AH17</f>
        <v>0.53285487015967881</v>
      </c>
      <c r="AE17" s="53">
        <f t="shared" ref="AE17:AE22" si="41">1.76*AH17</f>
        <v>0.42628389612774298</v>
      </c>
      <c r="AF17" s="53">
        <f t="shared" ref="AF17:AF22" si="42">1.44*AH17</f>
        <v>0.34877773319542604</v>
      </c>
      <c r="AG17" s="53">
        <f t="shared" ref="AG17:AG22" si="43">1.19*AH17</f>
        <v>0.28822604340455349</v>
      </c>
      <c r="AH17" s="53">
        <f t="shared" si="19"/>
        <v>0.24220675916349033</v>
      </c>
      <c r="AI17" s="53">
        <f t="shared" ref="AI17:AI22" si="44">0.94*AH17</f>
        <v>0.22767435361368088</v>
      </c>
      <c r="AJ17" s="53">
        <f t="shared" ref="AJ17:AJ22" si="45">0.89*AH17</f>
        <v>0.2155640156555064</v>
      </c>
      <c r="AK17" s="27">
        <f t="shared" ref="AK17:AK22" si="46">IF(ISNA(AD17),"not applicable",AD17/(1.2*$AC17))</f>
        <v>6.851968645565905</v>
      </c>
      <c r="AL17" s="27">
        <f t="shared" si="34"/>
        <v>5.4815749164527237</v>
      </c>
      <c r="AM17" s="66">
        <f t="shared" si="24"/>
        <v>4.4849249316431372</v>
      </c>
      <c r="AN17" s="27">
        <f t="shared" si="25"/>
        <v>3.706292131010648</v>
      </c>
      <c r="AO17" s="27">
        <f t="shared" si="26"/>
        <v>3.1145312025299563</v>
      </c>
      <c r="AP17" s="27">
        <f t="shared" si="27"/>
        <v>2.9276593303781588</v>
      </c>
      <c r="AQ17" s="27">
        <f t="shared" si="28"/>
        <v>2.7719327702516612</v>
      </c>
      <c r="AW17" s="57">
        <f t="shared" si="8"/>
        <v>0</v>
      </c>
      <c r="AX17" s="31">
        <f t="shared" si="9"/>
        <v>9</v>
      </c>
      <c r="AY17" s="31">
        <f t="shared" si="33"/>
        <v>1</v>
      </c>
      <c r="AZ17" s="32">
        <f>AY17*AX17*AW17</f>
        <v>0</v>
      </c>
      <c r="BA17" s="300"/>
    </row>
    <row r="18" spans="2:53" s="43" customFormat="1">
      <c r="B18" s="15" t="s">
        <v>81</v>
      </c>
      <c r="C18" s="16">
        <v>0</v>
      </c>
      <c r="D18" s="17">
        <v>3</v>
      </c>
      <c r="E18" s="18">
        <v>2.62</v>
      </c>
      <c r="F18" s="19">
        <f t="shared" si="10"/>
        <v>-0.37999999999999989</v>
      </c>
      <c r="G18" s="20" t="s">
        <v>10</v>
      </c>
      <c r="H18" s="21" t="s">
        <v>11</v>
      </c>
      <c r="I18" s="15">
        <v>18</v>
      </c>
      <c r="J18" s="15">
        <v>18</v>
      </c>
      <c r="K18" s="15">
        <v>18</v>
      </c>
      <c r="L18" s="22">
        <f t="shared" si="35"/>
        <v>54</v>
      </c>
      <c r="M18" s="22">
        <f t="shared" si="36"/>
        <v>24</v>
      </c>
      <c r="N18" s="23">
        <v>60</v>
      </c>
      <c r="O18" s="15">
        <v>1.05</v>
      </c>
      <c r="P18" s="15">
        <v>3</v>
      </c>
      <c r="Q18" s="15">
        <f t="shared" si="1"/>
        <v>0.75</v>
      </c>
      <c r="R18" s="60">
        <v>12</v>
      </c>
      <c r="S18" s="24">
        <f t="shared" si="3"/>
        <v>2.0412414523193152</v>
      </c>
      <c r="T18" s="24">
        <f t="shared" si="4"/>
        <v>1.6129032258064517</v>
      </c>
      <c r="U18" s="24">
        <f t="shared" si="5"/>
        <v>1</v>
      </c>
      <c r="V18" s="61">
        <f t="shared" si="6"/>
        <v>21</v>
      </c>
      <c r="W18" s="15">
        <v>3</v>
      </c>
      <c r="X18" s="22">
        <f t="shared" si="37"/>
        <v>0</v>
      </c>
      <c r="Y18" s="22">
        <f t="shared" si="38"/>
        <v>1</v>
      </c>
      <c r="Z18" s="25">
        <f t="shared" si="39"/>
        <v>21</v>
      </c>
      <c r="AA18" s="62">
        <v>4.4999999999999998E-2</v>
      </c>
      <c r="AB18" s="26">
        <f t="shared" si="14"/>
        <v>0.97704999999999997</v>
      </c>
      <c r="AC18" s="53">
        <f t="shared" si="15"/>
        <v>6.4302103124999996E-2</v>
      </c>
      <c r="AD18" s="26">
        <f t="shared" si="40"/>
        <v>0.50128261237260829</v>
      </c>
      <c r="AE18" s="53">
        <f t="shared" si="41"/>
        <v>0.40102608989808658</v>
      </c>
      <c r="AF18" s="53">
        <f t="shared" si="42"/>
        <v>0.32811225537116173</v>
      </c>
      <c r="AG18" s="53">
        <f t="shared" si="43"/>
        <v>0.27114832214700169</v>
      </c>
      <c r="AH18" s="53">
        <f t="shared" si="19"/>
        <v>0.2278557328966401</v>
      </c>
      <c r="AI18" s="53">
        <f t="shared" si="44"/>
        <v>0.2141843889228417</v>
      </c>
      <c r="AJ18" s="53">
        <f t="shared" si="45"/>
        <v>0.20279160227800969</v>
      </c>
      <c r="AK18" s="27">
        <f t="shared" si="46"/>
        <v>6.4964517489956819</v>
      </c>
      <c r="AL18" s="27">
        <f t="shared" si="34"/>
        <v>5.1971613991965446</v>
      </c>
      <c r="AM18" s="66">
        <f t="shared" si="24"/>
        <v>4.2522229629789914</v>
      </c>
      <c r="AN18" s="27">
        <f t="shared" si="25"/>
        <v>3.513989809684027</v>
      </c>
      <c r="AO18" s="27">
        <f t="shared" si="26"/>
        <v>2.952932613179855</v>
      </c>
      <c r="AP18" s="27">
        <f t="shared" si="27"/>
        <v>2.7757566563890639</v>
      </c>
      <c r="AQ18" s="27">
        <f t="shared" si="28"/>
        <v>2.6281100257300709</v>
      </c>
      <c r="AW18" s="57">
        <f t="shared" si="8"/>
        <v>0</v>
      </c>
      <c r="AX18" s="31">
        <f t="shared" si="9"/>
        <v>8.5</v>
      </c>
      <c r="AY18" s="31">
        <f t="shared" si="33"/>
        <v>1</v>
      </c>
      <c r="AZ18" s="32">
        <f t="shared" si="29"/>
        <v>0</v>
      </c>
      <c r="BA18" s="300"/>
    </row>
    <row r="19" spans="2:53" s="43" customFormat="1">
      <c r="B19" s="15" t="s">
        <v>81</v>
      </c>
      <c r="C19" s="16">
        <v>0</v>
      </c>
      <c r="D19" s="17">
        <v>4</v>
      </c>
      <c r="E19" s="18">
        <v>2.62</v>
      </c>
      <c r="F19" s="19">
        <f t="shared" si="10"/>
        <v>-1.38</v>
      </c>
      <c r="G19" s="20" t="s">
        <v>10</v>
      </c>
      <c r="H19" s="21" t="s">
        <v>11</v>
      </c>
      <c r="I19" s="15">
        <v>32</v>
      </c>
      <c r="J19" s="15">
        <v>18</v>
      </c>
      <c r="K19" s="15">
        <v>18</v>
      </c>
      <c r="L19" s="22">
        <f t="shared" si="35"/>
        <v>72</v>
      </c>
      <c r="M19" s="22">
        <f t="shared" si="36"/>
        <v>32</v>
      </c>
      <c r="N19" s="23">
        <v>60</v>
      </c>
      <c r="O19" s="15">
        <v>1.05</v>
      </c>
      <c r="P19" s="15">
        <v>4</v>
      </c>
      <c r="Q19" s="15">
        <f t="shared" si="1"/>
        <v>0.85</v>
      </c>
      <c r="R19" s="60">
        <v>13</v>
      </c>
      <c r="S19" s="24">
        <f t="shared" si="3"/>
        <v>1.7677669529663689</v>
      </c>
      <c r="T19" s="24">
        <f t="shared" si="4"/>
        <v>1.5151515151515151</v>
      </c>
      <c r="U19" s="24">
        <f t="shared" si="5"/>
        <v>1</v>
      </c>
      <c r="V19" s="61">
        <f t="shared" si="6"/>
        <v>37.333333333333336</v>
      </c>
      <c r="W19" s="15">
        <v>3</v>
      </c>
      <c r="X19" s="22">
        <f t="shared" si="37"/>
        <v>0</v>
      </c>
      <c r="Y19" s="22">
        <f t="shared" si="38"/>
        <v>1</v>
      </c>
      <c r="Z19" s="25">
        <f t="shared" si="39"/>
        <v>37.333333333333336</v>
      </c>
      <c r="AA19" s="62">
        <v>4.4999999999999998E-2</v>
      </c>
      <c r="AB19" s="26">
        <f t="shared" si="14"/>
        <v>0.96940000000000004</v>
      </c>
      <c r="AC19" s="53">
        <f t="shared" si="15"/>
        <v>6.3798637500000005E-2</v>
      </c>
      <c r="AD19" s="26" t="e">
        <f t="shared" si="40"/>
        <v>#N/A</v>
      </c>
      <c r="AE19" s="53" t="e">
        <f t="shared" si="41"/>
        <v>#N/A</v>
      </c>
      <c r="AF19" s="53" t="e">
        <f t="shared" si="42"/>
        <v>#N/A</v>
      </c>
      <c r="AG19" s="53" t="e">
        <f t="shared" si="43"/>
        <v>#N/A</v>
      </c>
      <c r="AH19" s="53" t="e">
        <f t="shared" si="19"/>
        <v>#N/A</v>
      </c>
      <c r="AI19" s="53" t="e">
        <f t="shared" si="44"/>
        <v>#N/A</v>
      </c>
      <c r="AJ19" s="53" t="e">
        <f t="shared" si="45"/>
        <v>#N/A</v>
      </c>
      <c r="AK19" s="27" t="str">
        <f t="shared" si="46"/>
        <v>not applicable</v>
      </c>
      <c r="AL19" s="27" t="str">
        <f t="shared" si="34"/>
        <v>not applicable</v>
      </c>
      <c r="AM19" s="66" t="str">
        <f t="shared" si="24"/>
        <v>not applicable</v>
      </c>
      <c r="AN19" s="27" t="str">
        <f t="shared" si="25"/>
        <v>not applicable</v>
      </c>
      <c r="AO19" s="27" t="str">
        <f t="shared" si="26"/>
        <v>not applicable</v>
      </c>
      <c r="AP19" s="27" t="str">
        <f t="shared" si="27"/>
        <v>not applicable</v>
      </c>
      <c r="AQ19" s="27" t="str">
        <f t="shared" si="28"/>
        <v>not applicable</v>
      </c>
      <c r="AW19" s="58">
        <f t="shared" si="8"/>
        <v>0</v>
      </c>
      <c r="AX19" s="36">
        <f t="shared" si="9"/>
        <v>8</v>
      </c>
      <c r="AY19" s="36">
        <f t="shared" si="33"/>
        <v>1</v>
      </c>
      <c r="AZ19" s="37">
        <f t="shared" si="29"/>
        <v>0</v>
      </c>
      <c r="BA19" s="301"/>
    </row>
    <row r="20" spans="2:53">
      <c r="B20" s="33" t="s">
        <v>82</v>
      </c>
      <c r="C20" s="38">
        <v>0</v>
      </c>
      <c r="D20" s="39">
        <v>1</v>
      </c>
      <c r="E20" s="40">
        <v>2.15</v>
      </c>
      <c r="F20" s="19">
        <f t="shared" si="10"/>
        <v>1.1499999999999999</v>
      </c>
      <c r="G20" s="41" t="s">
        <v>10</v>
      </c>
      <c r="H20" s="42" t="s">
        <v>11</v>
      </c>
      <c r="I20" s="33">
        <v>17</v>
      </c>
      <c r="J20" s="33">
        <v>18</v>
      </c>
      <c r="K20" s="33">
        <v>18</v>
      </c>
      <c r="L20" s="22">
        <f t="shared" si="35"/>
        <v>18</v>
      </c>
      <c r="M20" s="22">
        <f t="shared" si="36"/>
        <v>8</v>
      </c>
      <c r="N20" s="34">
        <v>60</v>
      </c>
      <c r="O20" s="33">
        <v>1.05</v>
      </c>
      <c r="P20" s="33">
        <v>1</v>
      </c>
      <c r="Q20" s="50">
        <f t="shared" si="1"/>
        <v>0.75</v>
      </c>
      <c r="R20" s="51">
        <f>ROUND((I20*N20*O20*P20*Q20)/60,0)</f>
        <v>13</v>
      </c>
      <c r="S20" s="52">
        <f t="shared" si="3"/>
        <v>3.5355339059327378</v>
      </c>
      <c r="T20" s="52">
        <f t="shared" si="4"/>
        <v>1.8518518518518516</v>
      </c>
      <c r="U20" s="52">
        <f t="shared" si="5"/>
        <v>1</v>
      </c>
      <c r="V20" s="25">
        <f t="shared" si="6"/>
        <v>19.833333333333336</v>
      </c>
      <c r="W20" s="33">
        <v>3</v>
      </c>
      <c r="X20" s="22">
        <f t="shared" si="37"/>
        <v>0</v>
      </c>
      <c r="Y20" s="22">
        <f t="shared" si="38"/>
        <v>1</v>
      </c>
      <c r="Z20" s="25">
        <f t="shared" si="39"/>
        <v>19.833333333333336</v>
      </c>
      <c r="AA20" s="63">
        <v>4.4999999999999998E-2</v>
      </c>
      <c r="AB20" s="26">
        <f t="shared" si="14"/>
        <v>0.99234999999999995</v>
      </c>
      <c r="AC20" s="53">
        <f t="shared" si="15"/>
        <v>6.5309034374999991E-2</v>
      </c>
      <c r="AD20" s="26">
        <f t="shared" si="40"/>
        <v>0.47154466131944994</v>
      </c>
      <c r="AE20" s="53">
        <f t="shared" si="41"/>
        <v>0.37723572905555991</v>
      </c>
      <c r="AF20" s="53">
        <f t="shared" si="42"/>
        <v>0.30864741468182172</v>
      </c>
      <c r="AG20" s="53">
        <f t="shared" si="43"/>
        <v>0.25506279407733878</v>
      </c>
      <c r="AH20" s="53">
        <f t="shared" si="19"/>
        <v>0.21433848241793177</v>
      </c>
      <c r="AI20" s="53">
        <f t="shared" si="44"/>
        <v>0.20147817347285585</v>
      </c>
      <c r="AJ20" s="53">
        <f t="shared" si="45"/>
        <v>0.19076124935195929</v>
      </c>
      <c r="AK20" s="27">
        <f t="shared" si="46"/>
        <v>6.0168380713847451</v>
      </c>
      <c r="AL20" s="27">
        <f t="shared" si="34"/>
        <v>4.8134704571077949</v>
      </c>
      <c r="AM20" s="66">
        <f t="shared" si="24"/>
        <v>3.9382940103609232</v>
      </c>
      <c r="AN20" s="27">
        <f t="shared" si="25"/>
        <v>3.2545624113399296</v>
      </c>
      <c r="AO20" s="27">
        <f t="shared" si="26"/>
        <v>2.7349263960839747</v>
      </c>
      <c r="AP20" s="27">
        <f t="shared" si="27"/>
        <v>2.5708308123189361</v>
      </c>
      <c r="AQ20" s="27">
        <f t="shared" si="28"/>
        <v>2.4340844925147378</v>
      </c>
      <c r="AW20" s="57">
        <f t="shared" si="8"/>
        <v>0</v>
      </c>
      <c r="AX20" s="31">
        <f t="shared" si="9"/>
        <v>9.5</v>
      </c>
      <c r="AY20" s="31">
        <f t="shared" si="33"/>
        <v>1</v>
      </c>
      <c r="AZ20" s="32">
        <f t="shared" si="29"/>
        <v>0</v>
      </c>
      <c r="BA20" s="300">
        <f>SUM(AZ20:AZ22)</f>
        <v>0</v>
      </c>
    </row>
    <row r="21" spans="2:53">
      <c r="B21" s="33" t="s">
        <v>82</v>
      </c>
      <c r="C21" s="38">
        <v>0</v>
      </c>
      <c r="D21" s="39">
        <v>2</v>
      </c>
      <c r="E21" s="40">
        <v>2.15</v>
      </c>
      <c r="F21" s="19">
        <f t="shared" si="10"/>
        <v>0.14999999999999991</v>
      </c>
      <c r="G21" s="41" t="s">
        <v>10</v>
      </c>
      <c r="H21" s="42" t="s">
        <v>11</v>
      </c>
      <c r="I21" s="33">
        <v>22</v>
      </c>
      <c r="J21" s="33">
        <v>18</v>
      </c>
      <c r="K21" s="33">
        <v>18</v>
      </c>
      <c r="L21" s="22">
        <f t="shared" si="35"/>
        <v>36</v>
      </c>
      <c r="M21" s="22">
        <f t="shared" si="36"/>
        <v>16</v>
      </c>
      <c r="N21" s="34">
        <v>60</v>
      </c>
      <c r="O21" s="33">
        <v>1.05</v>
      </c>
      <c r="P21" s="33">
        <v>1</v>
      </c>
      <c r="Q21" s="50">
        <f t="shared" si="1"/>
        <v>0.75</v>
      </c>
      <c r="R21" s="51">
        <f>ROUND((I21*N21*O21*P21*Q21)/60,0)</f>
        <v>17</v>
      </c>
      <c r="S21" s="52">
        <f t="shared" si="3"/>
        <v>2.5</v>
      </c>
      <c r="T21" s="52">
        <f t="shared" si="4"/>
        <v>1.7241379310344829</v>
      </c>
      <c r="U21" s="52">
        <f t="shared" si="5"/>
        <v>1</v>
      </c>
      <c r="V21" s="25">
        <f t="shared" si="6"/>
        <v>25.666666666666668</v>
      </c>
      <c r="W21" s="33">
        <v>3</v>
      </c>
      <c r="X21" s="22">
        <f t="shared" si="37"/>
        <v>0</v>
      </c>
      <c r="Y21" s="22">
        <f t="shared" si="38"/>
        <v>1</v>
      </c>
      <c r="Z21" s="25">
        <f t="shared" si="39"/>
        <v>25.666666666666668</v>
      </c>
      <c r="AA21" s="63">
        <v>4.4999999999999998E-2</v>
      </c>
      <c r="AB21" s="26">
        <f t="shared" si="14"/>
        <v>0.98470000000000002</v>
      </c>
      <c r="AC21" s="53">
        <f t="shared" si="15"/>
        <v>6.480556875E-2</v>
      </c>
      <c r="AD21" s="26">
        <f t="shared" si="40"/>
        <v>0.64652670332909479</v>
      </c>
      <c r="AE21" s="53">
        <f t="shared" si="41"/>
        <v>0.51722136266327579</v>
      </c>
      <c r="AF21" s="53">
        <f t="shared" si="42"/>
        <v>0.42318111490631655</v>
      </c>
      <c r="AG21" s="53">
        <f t="shared" si="43"/>
        <v>0.34971217134619215</v>
      </c>
      <c r="AH21" s="53">
        <f t="shared" si="19"/>
        <v>0.2938757742404976</v>
      </c>
      <c r="AI21" s="53">
        <f t="shared" si="44"/>
        <v>0.27624322778606775</v>
      </c>
      <c r="AJ21" s="53">
        <f t="shared" si="45"/>
        <v>0.26154943907404288</v>
      </c>
      <c r="AK21" s="27">
        <f t="shared" si="46"/>
        <v>8.3136721606851971</v>
      </c>
      <c r="AL21" s="27">
        <f t="shared" si="34"/>
        <v>6.6509377285481577</v>
      </c>
      <c r="AM21" s="66">
        <f t="shared" si="24"/>
        <v>5.4416763233575836</v>
      </c>
      <c r="AN21" s="27">
        <f t="shared" si="25"/>
        <v>4.4969408505524475</v>
      </c>
      <c r="AO21" s="27">
        <f t="shared" si="26"/>
        <v>3.7789418912205441</v>
      </c>
      <c r="AP21" s="27">
        <f t="shared" si="27"/>
        <v>3.5522053777473115</v>
      </c>
      <c r="AQ21" s="27">
        <f t="shared" si="28"/>
        <v>3.3632582831862843</v>
      </c>
      <c r="AW21" s="57">
        <f t="shared" si="8"/>
        <v>0</v>
      </c>
      <c r="AX21" s="31">
        <f t="shared" si="9"/>
        <v>9</v>
      </c>
      <c r="AY21" s="31">
        <f t="shared" si="33"/>
        <v>1</v>
      </c>
      <c r="AZ21" s="32">
        <f t="shared" si="29"/>
        <v>0</v>
      </c>
      <c r="BA21" s="300"/>
    </row>
    <row r="22" spans="2:53">
      <c r="B22" s="33" t="s">
        <v>82</v>
      </c>
      <c r="C22" s="38">
        <v>0</v>
      </c>
      <c r="D22" s="39">
        <v>3</v>
      </c>
      <c r="E22" s="40">
        <v>2.15</v>
      </c>
      <c r="F22" s="19">
        <f t="shared" si="10"/>
        <v>-0.85000000000000009</v>
      </c>
      <c r="G22" s="41" t="s">
        <v>10</v>
      </c>
      <c r="H22" s="42" t="s">
        <v>11</v>
      </c>
      <c r="I22" s="33">
        <v>26</v>
      </c>
      <c r="J22" s="33">
        <v>18</v>
      </c>
      <c r="K22" s="33">
        <v>18</v>
      </c>
      <c r="L22" s="22">
        <f t="shared" si="35"/>
        <v>54</v>
      </c>
      <c r="M22" s="22">
        <f t="shared" si="36"/>
        <v>24</v>
      </c>
      <c r="N22" s="34">
        <v>60</v>
      </c>
      <c r="O22" s="33">
        <v>1.05</v>
      </c>
      <c r="P22" s="33">
        <v>1</v>
      </c>
      <c r="Q22" s="50">
        <f t="shared" si="1"/>
        <v>0.75</v>
      </c>
      <c r="R22" s="51">
        <f>ROUND((I22*N22*O22*P22*Q22)/60,0)</f>
        <v>20</v>
      </c>
      <c r="S22" s="52">
        <f t="shared" si="3"/>
        <v>2.0412414523193152</v>
      </c>
      <c r="T22" s="52">
        <f t="shared" si="4"/>
        <v>1.6129032258064517</v>
      </c>
      <c r="U22" s="52">
        <f t="shared" si="5"/>
        <v>1</v>
      </c>
      <c r="V22" s="25">
        <f t="shared" si="6"/>
        <v>30.333333333333336</v>
      </c>
      <c r="W22" s="33">
        <v>3</v>
      </c>
      <c r="X22" s="22">
        <f t="shared" si="37"/>
        <v>0</v>
      </c>
      <c r="Y22" s="22">
        <f t="shared" si="38"/>
        <v>1</v>
      </c>
      <c r="Z22" s="25">
        <f t="shared" si="39"/>
        <v>30.333333333333336</v>
      </c>
      <c r="AA22" s="63">
        <v>4.4999999999999998E-2</v>
      </c>
      <c r="AB22" s="26">
        <f t="shared" si="14"/>
        <v>0.97704999999999997</v>
      </c>
      <c r="AC22" s="53">
        <f t="shared" si="15"/>
        <v>6.4302103124999996E-2</v>
      </c>
      <c r="AD22" s="26" t="e">
        <f t="shared" si="40"/>
        <v>#N/A</v>
      </c>
      <c r="AE22" s="53" t="e">
        <f t="shared" si="41"/>
        <v>#N/A</v>
      </c>
      <c r="AF22" s="53" t="e">
        <f t="shared" si="42"/>
        <v>#N/A</v>
      </c>
      <c r="AG22" s="53" t="e">
        <f t="shared" si="43"/>
        <v>#N/A</v>
      </c>
      <c r="AH22" s="53" t="e">
        <f t="shared" si="19"/>
        <v>#N/A</v>
      </c>
      <c r="AI22" s="53" t="e">
        <f t="shared" si="44"/>
        <v>#N/A</v>
      </c>
      <c r="AJ22" s="53" t="e">
        <f t="shared" si="45"/>
        <v>#N/A</v>
      </c>
      <c r="AK22" s="27" t="str">
        <f t="shared" si="46"/>
        <v>not applicable</v>
      </c>
      <c r="AL22" s="27" t="str">
        <f t="shared" si="34"/>
        <v>not applicable</v>
      </c>
      <c r="AM22" s="66" t="str">
        <f t="shared" si="24"/>
        <v>not applicable</v>
      </c>
      <c r="AN22" s="27" t="str">
        <f t="shared" si="25"/>
        <v>not applicable</v>
      </c>
      <c r="AO22" s="27" t="str">
        <f t="shared" si="26"/>
        <v>not applicable</v>
      </c>
      <c r="AP22" s="27" t="str">
        <f t="shared" si="27"/>
        <v>not applicable</v>
      </c>
      <c r="AQ22" s="27" t="str">
        <f t="shared" si="28"/>
        <v>not applicable</v>
      </c>
      <c r="AW22" s="58">
        <f t="shared" si="8"/>
        <v>0</v>
      </c>
      <c r="AX22" s="36">
        <f t="shared" si="9"/>
        <v>8.5</v>
      </c>
      <c r="AY22" s="36">
        <f t="shared" si="33"/>
        <v>1</v>
      </c>
      <c r="AZ22" s="37">
        <f t="shared" si="29"/>
        <v>0</v>
      </c>
      <c r="BA22" s="301"/>
    </row>
    <row r="23" spans="2:53" ht="14.25" customHeight="1">
      <c r="B23" s="44" t="s">
        <v>25</v>
      </c>
      <c r="C23" s="13"/>
    </row>
    <row r="24" spans="2:53" ht="13.5">
      <c r="B24" s="59">
        <v>1</v>
      </c>
      <c r="C24" s="45" t="e">
        <v>#N/A</v>
      </c>
      <c r="D24" s="45" t="s">
        <v>19</v>
      </c>
      <c r="E24" s="46" t="s">
        <v>76</v>
      </c>
      <c r="F24" s="45"/>
    </row>
    <row r="25" spans="2:53">
      <c r="B25" s="59">
        <v>2</v>
      </c>
      <c r="C25" s="6" t="s">
        <v>83</v>
      </c>
    </row>
    <row r="26" spans="2:53">
      <c r="B26" s="59">
        <v>3</v>
      </c>
      <c r="C26" s="6" t="s">
        <v>22</v>
      </c>
    </row>
    <row r="27" spans="2:53">
      <c r="B27" s="59">
        <v>4</v>
      </c>
      <c r="C27" s="6" t="s">
        <v>24</v>
      </c>
    </row>
    <row r="28" spans="2:53">
      <c r="B28" s="59">
        <v>5</v>
      </c>
      <c r="C28" s="6" t="s">
        <v>84</v>
      </c>
    </row>
    <row r="49" spans="2:24">
      <c r="B49" s="1" t="s">
        <v>4</v>
      </c>
      <c r="C49" s="1" t="s">
        <v>20</v>
      </c>
      <c r="D49" s="1" t="s">
        <v>5</v>
      </c>
      <c r="E49" s="2"/>
      <c r="F49" s="2"/>
      <c r="G49" s="3" t="s">
        <v>26</v>
      </c>
      <c r="H49" s="4"/>
      <c r="I49" s="1" t="s">
        <v>6</v>
      </c>
      <c r="J49" s="11" t="s">
        <v>36</v>
      </c>
      <c r="K49" s="11" t="s">
        <v>42</v>
      </c>
      <c r="W49" s="47" t="s">
        <v>37</v>
      </c>
    </row>
    <row r="50" spans="2:24">
      <c r="B50" s="7"/>
      <c r="C50" s="7" t="s">
        <v>7</v>
      </c>
      <c r="D50" s="7" t="s">
        <v>7</v>
      </c>
      <c r="E50" s="8"/>
      <c r="F50" s="8"/>
      <c r="G50" s="8"/>
      <c r="H50" s="9"/>
      <c r="I50" s="7" t="s">
        <v>8</v>
      </c>
      <c r="J50" s="11" t="s">
        <v>44</v>
      </c>
      <c r="K50" s="11" t="s">
        <v>43</v>
      </c>
      <c r="W50" s="47" t="s">
        <v>38</v>
      </c>
      <c r="X50" s="6" t="s">
        <v>39</v>
      </c>
    </row>
    <row r="51" spans="2:24">
      <c r="B51" s="15" t="s">
        <v>34</v>
      </c>
      <c r="C51" s="16">
        <v>0</v>
      </c>
      <c r="D51" s="17">
        <v>1</v>
      </c>
      <c r="E51" s="18"/>
      <c r="F51" s="18"/>
      <c r="G51" s="20" t="s">
        <v>10</v>
      </c>
      <c r="H51" s="21" t="s">
        <v>11</v>
      </c>
      <c r="I51" s="15">
        <v>4</v>
      </c>
      <c r="J51" s="48">
        <f>I51</f>
        <v>4</v>
      </c>
      <c r="K51" s="49"/>
      <c r="W51" s="47" t="s">
        <v>40</v>
      </c>
      <c r="X51" s="6" t="s">
        <v>41</v>
      </c>
    </row>
    <row r="52" spans="2:24">
      <c r="B52" s="15" t="s">
        <v>34</v>
      </c>
      <c r="C52" s="16">
        <v>0</v>
      </c>
      <c r="D52" s="17">
        <v>1.5</v>
      </c>
      <c r="E52" s="18"/>
      <c r="F52" s="18"/>
      <c r="G52" s="20" t="s">
        <v>10</v>
      </c>
      <c r="H52" s="21" t="s">
        <v>11</v>
      </c>
      <c r="I52" s="15">
        <v>4</v>
      </c>
      <c r="J52" s="48">
        <f t="shared" ref="J52:J69" si="47">I52</f>
        <v>4</v>
      </c>
      <c r="K52" s="49">
        <f>2.5*5</f>
        <v>12.5</v>
      </c>
    </row>
    <row r="53" spans="2:24">
      <c r="B53" s="15" t="s">
        <v>34</v>
      </c>
      <c r="C53" s="16">
        <v>0</v>
      </c>
      <c r="D53" s="17">
        <v>2</v>
      </c>
      <c r="E53" s="18"/>
      <c r="F53" s="18"/>
      <c r="G53" s="20" t="s">
        <v>10</v>
      </c>
      <c r="H53" s="21" t="s">
        <v>11</v>
      </c>
      <c r="I53" s="15">
        <v>7</v>
      </c>
      <c r="J53" s="48">
        <f t="shared" si="47"/>
        <v>7</v>
      </c>
      <c r="K53" s="49">
        <f t="shared" ref="K53:K69" si="48">2.5*5</f>
        <v>12.5</v>
      </c>
    </row>
    <row r="54" spans="2:24">
      <c r="B54" s="15" t="s">
        <v>34</v>
      </c>
      <c r="C54" s="16">
        <v>0</v>
      </c>
      <c r="D54" s="17">
        <v>3</v>
      </c>
      <c r="E54" s="18"/>
      <c r="F54" s="18"/>
      <c r="G54" s="20" t="s">
        <v>10</v>
      </c>
      <c r="H54" s="21" t="s">
        <v>11</v>
      </c>
      <c r="I54" s="15">
        <v>5</v>
      </c>
      <c r="J54" s="48">
        <f t="shared" si="47"/>
        <v>5</v>
      </c>
      <c r="K54" s="49">
        <f t="shared" si="48"/>
        <v>12.5</v>
      </c>
    </row>
    <row r="55" spans="2:24">
      <c r="B55" s="15" t="s">
        <v>34</v>
      </c>
      <c r="C55" s="16">
        <v>0</v>
      </c>
      <c r="D55" s="17">
        <v>4.5</v>
      </c>
      <c r="E55" s="18"/>
      <c r="F55" s="18"/>
      <c r="G55" s="20" t="s">
        <v>10</v>
      </c>
      <c r="H55" s="21" t="s">
        <v>11</v>
      </c>
      <c r="I55" s="15">
        <v>4</v>
      </c>
      <c r="J55" s="48">
        <f t="shared" si="47"/>
        <v>4</v>
      </c>
      <c r="K55" s="49">
        <f t="shared" si="48"/>
        <v>12.5</v>
      </c>
    </row>
    <row r="56" spans="2:24">
      <c r="B56" s="15" t="s">
        <v>34</v>
      </c>
      <c r="C56" s="16">
        <v>0</v>
      </c>
      <c r="D56" s="17">
        <v>7.5</v>
      </c>
      <c r="E56" s="18"/>
      <c r="F56" s="18"/>
      <c r="G56" s="20" t="s">
        <v>10</v>
      </c>
      <c r="H56" s="21" t="s">
        <v>11</v>
      </c>
      <c r="I56" s="15">
        <v>6</v>
      </c>
      <c r="J56" s="48">
        <f t="shared" si="47"/>
        <v>6</v>
      </c>
      <c r="K56" s="49">
        <f t="shared" si="48"/>
        <v>12.5</v>
      </c>
    </row>
    <row r="57" spans="2:24">
      <c r="B57" s="15" t="s">
        <v>34</v>
      </c>
      <c r="C57" s="16">
        <v>0</v>
      </c>
      <c r="D57" s="17">
        <v>9</v>
      </c>
      <c r="E57" s="18"/>
      <c r="F57" s="18"/>
      <c r="G57" s="20" t="s">
        <v>10</v>
      </c>
      <c r="H57" s="21" t="s">
        <v>11</v>
      </c>
      <c r="I57" s="15">
        <v>2</v>
      </c>
      <c r="J57" s="48">
        <f t="shared" si="47"/>
        <v>2</v>
      </c>
      <c r="K57" s="49">
        <f t="shared" si="48"/>
        <v>12.5</v>
      </c>
    </row>
    <row r="58" spans="2:24">
      <c r="B58" s="15" t="s">
        <v>34</v>
      </c>
      <c r="C58" s="16">
        <v>0</v>
      </c>
      <c r="D58" s="17">
        <v>10</v>
      </c>
      <c r="E58" s="18"/>
      <c r="F58" s="18"/>
      <c r="G58" s="20" t="s">
        <v>10</v>
      </c>
      <c r="H58" s="21" t="s">
        <v>11</v>
      </c>
      <c r="I58" s="15">
        <v>27</v>
      </c>
      <c r="J58" s="48">
        <f t="shared" si="47"/>
        <v>27</v>
      </c>
      <c r="K58" s="49">
        <f t="shared" si="48"/>
        <v>12.5</v>
      </c>
    </row>
    <row r="59" spans="2:24">
      <c r="B59" s="15" t="s">
        <v>34</v>
      </c>
      <c r="C59" s="16">
        <v>0</v>
      </c>
      <c r="D59" s="17">
        <v>10.5</v>
      </c>
      <c r="E59" s="18"/>
      <c r="F59" s="18"/>
      <c r="G59" s="20" t="s">
        <v>10</v>
      </c>
      <c r="H59" s="21" t="s">
        <v>11</v>
      </c>
      <c r="I59" s="15">
        <v>32</v>
      </c>
      <c r="J59" s="48">
        <f t="shared" si="47"/>
        <v>32</v>
      </c>
      <c r="K59" s="49">
        <f t="shared" si="48"/>
        <v>12.5</v>
      </c>
    </row>
    <row r="60" spans="2:24">
      <c r="B60" s="33" t="s">
        <v>35</v>
      </c>
      <c r="C60" s="38">
        <v>0</v>
      </c>
      <c r="D60" s="39">
        <v>0.8</v>
      </c>
      <c r="E60" s="40"/>
      <c r="F60" s="40"/>
      <c r="G60" s="41" t="s">
        <v>10</v>
      </c>
      <c r="H60" s="42" t="s">
        <v>11</v>
      </c>
      <c r="I60" s="33">
        <v>11</v>
      </c>
      <c r="J60" s="48">
        <f t="shared" si="47"/>
        <v>11</v>
      </c>
      <c r="K60" s="49"/>
    </row>
    <row r="61" spans="2:24">
      <c r="B61" s="33" t="s">
        <v>35</v>
      </c>
      <c r="C61" s="38">
        <v>0</v>
      </c>
      <c r="D61" s="39">
        <v>1.5</v>
      </c>
      <c r="E61" s="40"/>
      <c r="F61" s="40"/>
      <c r="G61" s="41" t="s">
        <v>10</v>
      </c>
      <c r="H61" s="42" t="s">
        <v>11</v>
      </c>
      <c r="I61" s="33">
        <v>19</v>
      </c>
      <c r="J61" s="48">
        <f t="shared" si="47"/>
        <v>19</v>
      </c>
      <c r="K61" s="49">
        <f t="shared" si="48"/>
        <v>12.5</v>
      </c>
    </row>
    <row r="62" spans="2:24">
      <c r="B62" s="33" t="s">
        <v>35</v>
      </c>
      <c r="C62" s="38">
        <v>0</v>
      </c>
      <c r="D62" s="39">
        <v>2.2000000000000002</v>
      </c>
      <c r="E62" s="40"/>
      <c r="F62" s="40"/>
      <c r="G62" s="41" t="s">
        <v>10</v>
      </c>
      <c r="H62" s="42" t="s">
        <v>11</v>
      </c>
      <c r="I62" s="33">
        <v>10</v>
      </c>
      <c r="J62" s="48">
        <f t="shared" si="47"/>
        <v>10</v>
      </c>
      <c r="K62" s="49">
        <f t="shared" si="48"/>
        <v>12.5</v>
      </c>
    </row>
    <row r="63" spans="2:24">
      <c r="B63" s="33" t="s">
        <v>35</v>
      </c>
      <c r="C63" s="38">
        <v>0</v>
      </c>
      <c r="D63" s="39">
        <v>3</v>
      </c>
      <c r="E63" s="40"/>
      <c r="F63" s="40"/>
      <c r="G63" s="41" t="s">
        <v>10</v>
      </c>
      <c r="H63" s="42" t="s">
        <v>11</v>
      </c>
      <c r="I63" s="33">
        <v>3</v>
      </c>
      <c r="J63" s="48">
        <f t="shared" si="47"/>
        <v>3</v>
      </c>
      <c r="K63" s="49">
        <f t="shared" si="48"/>
        <v>12.5</v>
      </c>
    </row>
    <row r="64" spans="2:24">
      <c r="B64" s="33" t="s">
        <v>35</v>
      </c>
      <c r="C64" s="38">
        <v>0</v>
      </c>
      <c r="D64" s="39">
        <v>4.5999999999999996</v>
      </c>
      <c r="E64" s="40"/>
      <c r="F64" s="40"/>
      <c r="G64" s="41" t="s">
        <v>10</v>
      </c>
      <c r="H64" s="42" t="s">
        <v>11</v>
      </c>
      <c r="I64" s="33">
        <v>2</v>
      </c>
      <c r="J64" s="48">
        <f t="shared" si="47"/>
        <v>2</v>
      </c>
      <c r="K64" s="49">
        <f t="shared" si="48"/>
        <v>12.5</v>
      </c>
    </row>
    <row r="65" spans="2:11">
      <c r="B65" s="33" t="s">
        <v>35</v>
      </c>
      <c r="C65" s="38">
        <v>0</v>
      </c>
      <c r="D65" s="39">
        <v>6</v>
      </c>
      <c r="E65" s="40"/>
      <c r="F65" s="40"/>
      <c r="G65" s="41" t="s">
        <v>10</v>
      </c>
      <c r="H65" s="42" t="s">
        <v>11</v>
      </c>
      <c r="I65" s="33">
        <v>4</v>
      </c>
      <c r="J65" s="48">
        <f t="shared" si="47"/>
        <v>4</v>
      </c>
      <c r="K65" s="49">
        <f t="shared" si="48"/>
        <v>12.5</v>
      </c>
    </row>
    <row r="66" spans="2:11">
      <c r="B66" s="33" t="s">
        <v>35</v>
      </c>
      <c r="C66" s="38">
        <v>0</v>
      </c>
      <c r="D66" s="39">
        <v>7.5</v>
      </c>
      <c r="E66" s="40"/>
      <c r="F66" s="40"/>
      <c r="G66" s="41" t="s">
        <v>10</v>
      </c>
      <c r="H66" s="42" t="s">
        <v>11</v>
      </c>
      <c r="I66" s="33">
        <v>5</v>
      </c>
      <c r="J66" s="48">
        <f t="shared" si="47"/>
        <v>5</v>
      </c>
      <c r="K66" s="49">
        <f t="shared" si="48"/>
        <v>12.5</v>
      </c>
    </row>
    <row r="67" spans="2:11">
      <c r="B67" s="33" t="s">
        <v>35</v>
      </c>
      <c r="C67" s="38">
        <v>0</v>
      </c>
      <c r="D67" s="39">
        <v>9</v>
      </c>
      <c r="E67" s="40"/>
      <c r="F67" s="40"/>
      <c r="G67" s="41" t="s">
        <v>10</v>
      </c>
      <c r="H67" s="42" t="s">
        <v>11</v>
      </c>
      <c r="I67" s="33">
        <v>2</v>
      </c>
      <c r="J67" s="48">
        <f t="shared" si="47"/>
        <v>2</v>
      </c>
      <c r="K67" s="49">
        <f t="shared" si="48"/>
        <v>12.5</v>
      </c>
    </row>
    <row r="68" spans="2:11">
      <c r="B68" s="33" t="s">
        <v>35</v>
      </c>
      <c r="C68" s="38">
        <v>0</v>
      </c>
      <c r="D68" s="39">
        <v>10</v>
      </c>
      <c r="E68" s="40"/>
      <c r="F68" s="40"/>
      <c r="G68" s="41" t="s">
        <v>10</v>
      </c>
      <c r="H68" s="42" t="s">
        <v>11</v>
      </c>
      <c r="I68" s="33">
        <v>3</v>
      </c>
      <c r="J68" s="48">
        <f t="shared" si="47"/>
        <v>3</v>
      </c>
      <c r="K68" s="49">
        <f t="shared" si="48"/>
        <v>12.5</v>
      </c>
    </row>
    <row r="69" spans="2:11">
      <c r="B69" s="33" t="s">
        <v>35</v>
      </c>
      <c r="C69" s="38">
        <v>0</v>
      </c>
      <c r="D69" s="39">
        <v>10.5</v>
      </c>
      <c r="E69" s="40"/>
      <c r="F69" s="40"/>
      <c r="G69" s="41" t="s">
        <v>10</v>
      </c>
      <c r="H69" s="42" t="s">
        <v>11</v>
      </c>
      <c r="I69" s="33">
        <v>26</v>
      </c>
      <c r="J69" s="48">
        <f t="shared" si="47"/>
        <v>26</v>
      </c>
      <c r="K69" s="49">
        <f t="shared" si="48"/>
        <v>12.5</v>
      </c>
    </row>
  </sheetData>
  <mergeCells count="5">
    <mergeCell ref="AW4:BA4"/>
    <mergeCell ref="BA7:BA11"/>
    <mergeCell ref="BA12:BA15"/>
    <mergeCell ref="BA16:BA19"/>
    <mergeCell ref="BA20:BA22"/>
  </mergeCells>
  <phoneticPr fontId="1" type="noConversion"/>
  <printOptions horizontalCentered="1" verticalCentered="1"/>
  <pageMargins left="0.19685039370078741" right="0.19685039370078741" top="0.23622047244094491" bottom="0.51181102362204722" header="0.51181102362204722" footer="0.23622047244094491"/>
  <pageSetup paperSize="9" scale="86" fitToHeight="0" orientation="landscape" r:id="rId1"/>
  <headerFooter alignWithMargins="0">
    <oddFooter>&amp;CPage 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4210B-70B8-49E3-A1AF-1C2989B826F8}">
  <dimension ref="B1:BB65"/>
  <sheetViews>
    <sheetView view="pageBreakPreview" zoomScale="150" zoomScaleNormal="100" zoomScaleSheetLayoutView="150" workbookViewId="0">
      <selection activeCell="N28" sqref="N28"/>
    </sheetView>
  </sheetViews>
  <sheetFormatPr defaultColWidth="9.1796875" defaultRowHeight="11.5"/>
  <cols>
    <col min="1" max="2" width="1.81640625" style="6" customWidth="1"/>
    <col min="3" max="3" width="7.1796875" style="6" customWidth="1"/>
    <col min="4" max="5" width="6.1796875" style="6" customWidth="1"/>
    <col min="6" max="6" width="10" style="6" customWidth="1"/>
    <col min="7" max="7" width="8.81640625" style="6" customWidth="1"/>
    <col min="8" max="8" width="4" style="6" bestFit="1" customWidth="1"/>
    <col min="9" max="9" width="5.81640625" style="6" bestFit="1" customWidth="1"/>
    <col min="10" max="11" width="7.54296875" style="6" customWidth="1"/>
    <col min="12" max="12" width="7.81640625" style="6" customWidth="1"/>
    <col min="13" max="14" width="7.54296875" style="6" customWidth="1"/>
    <col min="15" max="17" width="7.54296875" style="6" hidden="1" customWidth="1"/>
    <col min="18" max="18" width="5" style="6" hidden="1" customWidth="1"/>
    <col min="19" max="19" width="3.453125" style="6" hidden="1" customWidth="1"/>
    <col min="20" max="20" width="7.81640625" style="6" hidden="1" customWidth="1"/>
    <col min="21" max="21" width="7.1796875" style="6" hidden="1" customWidth="1"/>
    <col min="22" max="22" width="10.1796875" style="6" hidden="1" customWidth="1"/>
    <col min="23" max="23" width="5.1796875" style="6" hidden="1" customWidth="1"/>
    <col min="24" max="24" width="6.1796875" style="6" customWidth="1"/>
    <col min="25" max="26" width="5.1796875" style="6" customWidth="1"/>
    <col min="27" max="28" width="7.54296875" style="6" customWidth="1"/>
    <col min="29" max="30" width="5.453125" style="6" bestFit="1" customWidth="1"/>
    <col min="31" max="31" width="6.1796875" style="6" hidden="1" customWidth="1"/>
    <col min="32" max="32" width="5.453125" style="6" hidden="1" customWidth="1"/>
    <col min="33" max="33" width="6.1796875" style="6" bestFit="1" customWidth="1"/>
    <col min="34" max="34" width="5.453125" style="6" hidden="1" customWidth="1"/>
    <col min="35" max="35" width="6.1796875" style="6" hidden="1" customWidth="1"/>
    <col min="36" max="36" width="5.453125" style="6" hidden="1" customWidth="1"/>
    <col min="37" max="37" width="6.1796875" style="6" hidden="1" customWidth="1"/>
    <col min="38" max="39" width="6.81640625" style="6" hidden="1" customWidth="1"/>
    <col min="40" max="40" width="14.81640625" style="6" customWidth="1"/>
    <col min="41" max="44" width="6.81640625" style="6" hidden="1" customWidth="1"/>
    <col min="45" max="47" width="4.453125" style="6" customWidth="1"/>
    <col min="48" max="48" width="4.453125" style="73" customWidth="1"/>
    <col min="49" max="49" width="4.453125" style="6" customWidth="1"/>
    <col min="50" max="53" width="9.1796875" style="6"/>
    <col min="54" max="54" width="12.54296875" style="6" customWidth="1"/>
    <col min="55" max="16384" width="9.1796875" style="6"/>
  </cols>
  <sheetData>
    <row r="1" spans="2:54" ht="6.75" customHeight="1">
      <c r="AV1" s="6"/>
    </row>
    <row r="2" spans="2:54" ht="6.75" customHeight="1">
      <c r="B2" s="70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2"/>
    </row>
    <row r="3" spans="2:54">
      <c r="B3" s="74"/>
      <c r="C3" s="75" t="s">
        <v>27</v>
      </c>
      <c r="D3" s="75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6"/>
    </row>
    <row r="4" spans="2:54" ht="12.5" thickBot="1">
      <c r="B4" s="74"/>
      <c r="C4" s="77" t="s">
        <v>77</v>
      </c>
      <c r="D4" s="77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6"/>
    </row>
    <row r="5" spans="2:54">
      <c r="B5" s="74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6"/>
      <c r="AX5" s="302" t="s">
        <v>47</v>
      </c>
      <c r="AY5" s="303"/>
      <c r="AZ5" s="303"/>
      <c r="BA5" s="303"/>
      <c r="BB5" s="304"/>
    </row>
    <row r="6" spans="2:54" ht="13.5">
      <c r="B6" s="74"/>
      <c r="C6" s="1" t="s">
        <v>4</v>
      </c>
      <c r="D6" s="1" t="s">
        <v>20</v>
      </c>
      <c r="E6" s="1" t="s">
        <v>5</v>
      </c>
      <c r="F6" s="2" t="s">
        <v>45</v>
      </c>
      <c r="G6" s="2" t="s">
        <v>46</v>
      </c>
      <c r="H6" s="3" t="s">
        <v>26</v>
      </c>
      <c r="I6" s="4"/>
      <c r="J6" s="1" t="s">
        <v>6</v>
      </c>
      <c r="K6" s="1" t="s">
        <v>48</v>
      </c>
      <c r="L6" s="1" t="s">
        <v>49</v>
      </c>
      <c r="M6" s="5" t="s">
        <v>50</v>
      </c>
      <c r="N6" s="5" t="s">
        <v>51</v>
      </c>
      <c r="O6" s="1" t="s">
        <v>52</v>
      </c>
      <c r="P6" s="1" t="s">
        <v>53</v>
      </c>
      <c r="Q6" s="1" t="s">
        <v>54</v>
      </c>
      <c r="R6" s="1" t="s">
        <v>55</v>
      </c>
      <c r="S6" s="1" t="s">
        <v>56</v>
      </c>
      <c r="T6" s="1" t="s">
        <v>57</v>
      </c>
      <c r="U6" s="1" t="s">
        <v>58</v>
      </c>
      <c r="V6" s="1" t="s">
        <v>21</v>
      </c>
      <c r="W6" s="1" t="s">
        <v>59</v>
      </c>
      <c r="X6" s="1" t="s">
        <v>3</v>
      </c>
      <c r="Y6" s="1" t="s">
        <v>1</v>
      </c>
      <c r="Z6" s="1" t="s">
        <v>2</v>
      </c>
      <c r="AA6" s="1" t="s">
        <v>60</v>
      </c>
      <c r="AB6" s="1" t="s">
        <v>61</v>
      </c>
      <c r="AC6" s="1" t="s">
        <v>62</v>
      </c>
      <c r="AD6" s="1" t="s">
        <v>0</v>
      </c>
      <c r="AE6" s="1" t="s">
        <v>63</v>
      </c>
      <c r="AF6" s="1" t="s">
        <v>64</v>
      </c>
      <c r="AG6" s="1" t="s">
        <v>65</v>
      </c>
      <c r="AH6" s="1" t="s">
        <v>66</v>
      </c>
      <c r="AI6" s="1" t="s">
        <v>67</v>
      </c>
      <c r="AJ6" s="1" t="s">
        <v>68</v>
      </c>
      <c r="AK6" s="1" t="s">
        <v>69</v>
      </c>
      <c r="AL6" s="67"/>
      <c r="AM6" s="68"/>
      <c r="AN6" s="11" t="s">
        <v>23</v>
      </c>
      <c r="AO6" s="68"/>
      <c r="AP6" s="68"/>
      <c r="AQ6" s="68"/>
      <c r="AR6" s="69"/>
      <c r="AS6" s="73"/>
      <c r="AT6" s="73"/>
      <c r="AU6" s="76"/>
      <c r="AX6" s="78" t="s">
        <v>32</v>
      </c>
      <c r="AY6" s="1" t="s">
        <v>29</v>
      </c>
      <c r="AZ6" s="1" t="s">
        <v>28</v>
      </c>
      <c r="BA6" s="1" t="s">
        <v>31</v>
      </c>
      <c r="BB6" s="79" t="s">
        <v>70</v>
      </c>
    </row>
    <row r="7" spans="2:54" ht="15" thickBot="1">
      <c r="B7" s="74"/>
      <c r="C7" s="7"/>
      <c r="D7" s="7" t="s">
        <v>7</v>
      </c>
      <c r="E7" s="7" t="s">
        <v>7</v>
      </c>
      <c r="F7" s="8" t="s">
        <v>78</v>
      </c>
      <c r="G7" s="8" t="s">
        <v>79</v>
      </c>
      <c r="H7" s="8"/>
      <c r="I7" s="9"/>
      <c r="J7" s="7" t="s">
        <v>8</v>
      </c>
      <c r="K7" s="7" t="s">
        <v>71</v>
      </c>
      <c r="L7" s="7" t="s">
        <v>71</v>
      </c>
      <c r="M7" s="7" t="s">
        <v>72</v>
      </c>
      <c r="N7" s="7" t="s">
        <v>72</v>
      </c>
      <c r="O7" s="7" t="s">
        <v>9</v>
      </c>
      <c r="P7" s="7"/>
      <c r="Q7" s="7"/>
      <c r="R7" s="7"/>
      <c r="S7" s="7"/>
      <c r="T7" s="7">
        <v>1986</v>
      </c>
      <c r="U7" s="7">
        <v>1986</v>
      </c>
      <c r="V7" s="7" t="s">
        <v>73</v>
      </c>
      <c r="W7" s="7"/>
      <c r="X7" s="7" t="s">
        <v>9</v>
      </c>
      <c r="Y7" s="7"/>
      <c r="Z7" s="7"/>
      <c r="AA7" s="7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1" t="s">
        <v>12</v>
      </c>
      <c r="AM7" s="11" t="s">
        <v>13</v>
      </c>
      <c r="AN7" s="11" t="s">
        <v>14</v>
      </c>
      <c r="AO7" s="11" t="s">
        <v>15</v>
      </c>
      <c r="AP7" s="11" t="s">
        <v>16</v>
      </c>
      <c r="AQ7" s="11" t="s">
        <v>17</v>
      </c>
      <c r="AR7" s="11" t="s">
        <v>18</v>
      </c>
      <c r="AS7" s="73"/>
      <c r="AT7" s="73"/>
      <c r="AU7" s="76"/>
      <c r="AX7" s="80" t="s">
        <v>74</v>
      </c>
      <c r="AY7" s="81" t="s">
        <v>30</v>
      </c>
      <c r="AZ7" s="82"/>
      <c r="BA7" s="82"/>
      <c r="BB7" s="83" t="s">
        <v>75</v>
      </c>
    </row>
    <row r="8" spans="2:54">
      <c r="B8" s="74"/>
      <c r="C8" s="15" t="s">
        <v>85</v>
      </c>
      <c r="D8" s="16">
        <v>0</v>
      </c>
      <c r="E8" s="84">
        <v>0.6</v>
      </c>
      <c r="F8" s="18">
        <v>2.5830000000000002</v>
      </c>
      <c r="G8" s="85">
        <f t="shared" ref="G8:G14" si="0">F8-E8</f>
        <v>1.9830000000000001</v>
      </c>
      <c r="H8" s="20" t="s">
        <v>10</v>
      </c>
      <c r="I8" s="21" t="s">
        <v>11</v>
      </c>
      <c r="J8" s="15">
        <v>16</v>
      </c>
      <c r="K8" s="15">
        <v>21</v>
      </c>
      <c r="L8" s="15">
        <v>21</v>
      </c>
      <c r="M8" s="86">
        <f t="shared" ref="M8:M14" si="1">K8*D8+L8*(E8-D8)</f>
        <v>12.6</v>
      </c>
      <c r="N8" s="86">
        <f t="shared" ref="N8:N14" si="2">K8*D8+(L8-10)*(E8-D8)</f>
        <v>6.6</v>
      </c>
      <c r="O8" s="23">
        <v>60</v>
      </c>
      <c r="P8" s="15">
        <v>1.05</v>
      </c>
      <c r="Q8" s="15">
        <v>1</v>
      </c>
      <c r="R8" s="15">
        <f t="shared" ref="R8:R18" si="3">IF(E8&lt;4,0.75,IF(AND(E8&gt;=4,E8&lt;6),0.85,IF(AND(E8&gt;=6,E8&lt;10),0.95,IF(E8&gt;=10,1))))</f>
        <v>0.75</v>
      </c>
      <c r="S8" s="60">
        <f t="shared" ref="S8:S18" si="4">ROUND((J8*O8*P8*Q8*R8)/60,0)</f>
        <v>13</v>
      </c>
      <c r="T8" s="24">
        <f t="shared" ref="T8:T18" si="5">SQRT(1/(N8/100))</f>
        <v>3.8924947208076146</v>
      </c>
      <c r="U8" s="24">
        <f t="shared" ref="U8:U18" si="6">2/(1+N8/100)</f>
        <v>1.8761726078799248</v>
      </c>
      <c r="V8" s="24">
        <f t="shared" ref="V8:V18" si="7">IF(U8&gt;1,1,U8)</f>
        <v>1</v>
      </c>
      <c r="W8" s="61">
        <f t="shared" ref="W8:W14" si="8">0.7/0.6*J8</f>
        <v>18.666666666666668</v>
      </c>
      <c r="X8" s="15">
        <v>25</v>
      </c>
      <c r="Y8" s="86">
        <f t="shared" ref="Y8:Y18" si="9">IF(X8&lt;5,0,EXP(1.76-(190/X8^2)))</f>
        <v>4.2887700920237108</v>
      </c>
      <c r="Z8" s="86">
        <f t="shared" ref="Z8:Z14" si="10">IF(X8&lt;5,1,0.99+(X8^1.5/1000))</f>
        <v>1.115</v>
      </c>
      <c r="AA8" s="87">
        <f t="shared" ref="AA8:AA14" si="11">Y8+Z8*W8</f>
        <v>25.102103425357047</v>
      </c>
      <c r="AB8" s="62">
        <v>4.4999999999999998E-2</v>
      </c>
      <c r="AC8" s="88">
        <f t="shared" ref="AC8:AC14" si="12">IF(E8&lt;9.15,1-0.00765*E8,1.174-0.0267*E8)</f>
        <v>0.99541000000000002</v>
      </c>
      <c r="AD8" s="89">
        <f>0.65*AB8*(M8/N8)*AC8</f>
        <v>5.5584599318181813E-2</v>
      </c>
      <c r="AE8" s="88">
        <f>2.2*AI8</f>
        <v>0.6254859868717032</v>
      </c>
      <c r="AF8" s="89">
        <f>1.76*AI8</f>
        <v>0.50038878949736254</v>
      </c>
      <c r="AG8" s="89">
        <f>1.44*AI8</f>
        <v>0.40940900958875115</v>
      </c>
      <c r="AH8" s="53">
        <f t="shared" ref="AH8:AH18" si="13">1.19*AI8</f>
        <v>0.33833105653514856</v>
      </c>
      <c r="AI8" s="53">
        <f>IF(AND(AA8&lt;=30,OR(I8="SAND",I8="GRAVEL")),(0.048+-0.004721*AA8+0.0006136*AA8^2+-0.00001673*AA8^3)/(1+-0.1248*AA8+0.009578*AA8^2+-0.0003285*AA8^3+0.000003714*AA8^4),#N/A)</f>
        <v>0.28431181221441054</v>
      </c>
      <c r="AJ8" s="53">
        <f t="shared" ref="AJ8:AJ18" si="14">0.94*AI8</f>
        <v>0.26725310348154591</v>
      </c>
      <c r="AK8" s="53">
        <f>0.89*AI8</f>
        <v>0.25303751287082538</v>
      </c>
      <c r="AL8" s="27">
        <f t="shared" ref="AL8:AR18" si="15">IF(ISNA(AE8),"not applicable",AE8/(1.2*$AD8))</f>
        <v>9.3773874200184828</v>
      </c>
      <c r="AM8" s="27">
        <f t="shared" si="15"/>
        <v>7.5019099360147852</v>
      </c>
      <c r="AN8" s="27">
        <f t="shared" si="15"/>
        <v>6.1379263112848239</v>
      </c>
      <c r="AO8" s="27">
        <f t="shared" si="15"/>
        <v>5.0723141044645423</v>
      </c>
      <c r="AP8" s="27">
        <f t="shared" si="15"/>
        <v>4.2624488272811281</v>
      </c>
      <c r="AQ8" s="27">
        <f t="shared" si="15"/>
        <v>4.0067018976442608</v>
      </c>
      <c r="AR8" s="27">
        <f t="shared" si="15"/>
        <v>3.7935794562802041</v>
      </c>
      <c r="AS8" s="73"/>
      <c r="AT8" s="73"/>
      <c r="AU8" s="76"/>
      <c r="AX8" s="90">
        <f>IF(OR(AN8&gt;1,AN8="not applicable"),0,1-AN8)</f>
        <v>0</v>
      </c>
      <c r="AY8" s="91">
        <f>10-(0.5*E8)</f>
        <v>9.6999999999999993</v>
      </c>
      <c r="AZ8" s="91">
        <f>E8</f>
        <v>0.6</v>
      </c>
      <c r="BA8" s="92">
        <f>AZ8*AY8*AX8</f>
        <v>0</v>
      </c>
      <c r="BB8" s="305">
        <f>SUM(BA8:BA11)</f>
        <v>0</v>
      </c>
    </row>
    <row r="9" spans="2:54">
      <c r="B9" s="74"/>
      <c r="C9" s="15" t="s">
        <v>85</v>
      </c>
      <c r="D9" s="16">
        <v>0</v>
      </c>
      <c r="E9" s="84">
        <v>1.6</v>
      </c>
      <c r="F9" s="18">
        <v>2.5830000000000002</v>
      </c>
      <c r="G9" s="85">
        <f t="shared" si="0"/>
        <v>0.9830000000000001</v>
      </c>
      <c r="H9" s="20" t="s">
        <v>10</v>
      </c>
      <c r="I9" s="21" t="s">
        <v>11</v>
      </c>
      <c r="J9" s="15">
        <v>13</v>
      </c>
      <c r="K9" s="15">
        <v>21</v>
      </c>
      <c r="L9" s="15">
        <v>21</v>
      </c>
      <c r="M9" s="86">
        <f t="shared" si="1"/>
        <v>33.6</v>
      </c>
      <c r="N9" s="86">
        <f t="shared" si="2"/>
        <v>17.600000000000001</v>
      </c>
      <c r="O9" s="23">
        <v>60</v>
      </c>
      <c r="P9" s="15">
        <v>1.05</v>
      </c>
      <c r="Q9" s="15">
        <v>1</v>
      </c>
      <c r="R9" s="15">
        <f t="shared" si="3"/>
        <v>0.75</v>
      </c>
      <c r="S9" s="60">
        <f t="shared" si="4"/>
        <v>10</v>
      </c>
      <c r="T9" s="24">
        <f t="shared" si="5"/>
        <v>2.3836564731139807</v>
      </c>
      <c r="U9" s="24">
        <f t="shared" si="6"/>
        <v>1.7006802721088436</v>
      </c>
      <c r="V9" s="24">
        <f t="shared" si="7"/>
        <v>1</v>
      </c>
      <c r="W9" s="61">
        <f t="shared" si="8"/>
        <v>15.166666666666668</v>
      </c>
      <c r="X9" s="15">
        <v>25</v>
      </c>
      <c r="Y9" s="86">
        <f t="shared" si="9"/>
        <v>4.2887700920237108</v>
      </c>
      <c r="Z9" s="86">
        <f t="shared" si="10"/>
        <v>1.115</v>
      </c>
      <c r="AA9" s="87">
        <f t="shared" si="11"/>
        <v>21.199603425357047</v>
      </c>
      <c r="AB9" s="62">
        <v>4.4999999999999998E-2</v>
      </c>
      <c r="AC9" s="88">
        <f t="shared" si="12"/>
        <v>0.98775999999999997</v>
      </c>
      <c r="AD9" s="89">
        <f t="shared" ref="AD9:AD14" si="16">0.65*AB9*(M9/N9)*AC9</f>
        <v>5.5157416363636351E-2</v>
      </c>
      <c r="AE9" s="88">
        <f t="shared" ref="AE9:AE14" si="17">2.2*AI9</f>
        <v>0.50653689613651764</v>
      </c>
      <c r="AF9" s="89">
        <f t="shared" ref="AF9:AF14" si="18">1.76*AI9</f>
        <v>0.4052295169092141</v>
      </c>
      <c r="AG9" s="89">
        <f t="shared" ref="AG9:AG14" si="19">1.44*AI9</f>
        <v>0.33155142292572065</v>
      </c>
      <c r="AH9" s="53">
        <f t="shared" si="13"/>
        <v>0.27399041200111635</v>
      </c>
      <c r="AI9" s="53">
        <f t="shared" ref="AI9:AI14" si="20">IF(AND(AA9&lt;=30,OR(I9="SAND",I9="GRAVEL")),(0.048+-0.004721*AA9+0.0006136*AA9^2+-0.00001673*AA9^3)/(1+-0.1248*AA9+0.009578*AA9^2+-0.0003285*AA9^3+0.000003714*AA9^4),#N/A)</f>
        <v>0.23024404369841711</v>
      </c>
      <c r="AJ9" s="53">
        <f t="shared" si="14"/>
        <v>0.21642940107651207</v>
      </c>
      <c r="AK9" s="53">
        <f t="shared" ref="AK9:AK14" si="21">0.89*AI9</f>
        <v>0.20491719889159124</v>
      </c>
      <c r="AL9" s="27">
        <f t="shared" si="15"/>
        <v>7.6528979771440486</v>
      </c>
      <c r="AM9" s="27">
        <f t="shared" si="15"/>
        <v>6.1223183817152389</v>
      </c>
      <c r="AN9" s="27">
        <f t="shared" si="15"/>
        <v>5.0091695850397411</v>
      </c>
      <c r="AO9" s="27">
        <f t="shared" si="15"/>
        <v>4.1395220876370082</v>
      </c>
      <c r="AP9" s="27">
        <f t="shared" si="15"/>
        <v>3.4785899896109314</v>
      </c>
      <c r="AQ9" s="27">
        <f t="shared" si="15"/>
        <v>3.269874590234275</v>
      </c>
      <c r="AR9" s="27">
        <f t="shared" si="15"/>
        <v>3.0959450907537289</v>
      </c>
      <c r="AS9" s="73"/>
      <c r="AT9" s="73"/>
      <c r="AU9" s="76"/>
      <c r="AX9" s="93">
        <f t="shared" ref="AX9:AX14" si="22">IF(OR(AN9&gt;1,AN9="not applicable"),0,1-AN9)</f>
        <v>0</v>
      </c>
      <c r="AY9" s="29">
        <f t="shared" ref="AY9:AY14" si="23">10-(0.5*E9)</f>
        <v>9.1999999999999993</v>
      </c>
      <c r="AZ9" s="29">
        <f>E9-E8</f>
        <v>1</v>
      </c>
      <c r="BA9" s="30">
        <f t="shared" ref="BA9:BA14" si="24">AZ9*AY9*AX9</f>
        <v>0</v>
      </c>
      <c r="BB9" s="306"/>
    </row>
    <row r="10" spans="2:54">
      <c r="B10" s="74"/>
      <c r="C10" s="15" t="s">
        <v>85</v>
      </c>
      <c r="D10" s="16">
        <v>0</v>
      </c>
      <c r="E10" s="84">
        <v>2.6</v>
      </c>
      <c r="F10" s="18">
        <v>2.5830000000000002</v>
      </c>
      <c r="G10" s="85">
        <f t="shared" si="0"/>
        <v>-1.6999999999999904E-2</v>
      </c>
      <c r="H10" s="20" t="s">
        <v>10</v>
      </c>
      <c r="I10" s="21" t="s">
        <v>11</v>
      </c>
      <c r="J10" s="15">
        <v>20</v>
      </c>
      <c r="K10" s="15">
        <v>21</v>
      </c>
      <c r="L10" s="15">
        <v>21</v>
      </c>
      <c r="M10" s="86">
        <f t="shared" si="1"/>
        <v>54.6</v>
      </c>
      <c r="N10" s="86">
        <f t="shared" si="2"/>
        <v>28.6</v>
      </c>
      <c r="O10" s="23">
        <v>60</v>
      </c>
      <c r="P10" s="15">
        <v>1.05</v>
      </c>
      <c r="Q10" s="15">
        <v>1</v>
      </c>
      <c r="R10" s="15">
        <f t="shared" si="3"/>
        <v>0.75</v>
      </c>
      <c r="S10" s="60">
        <f t="shared" si="4"/>
        <v>16</v>
      </c>
      <c r="T10" s="24">
        <f t="shared" si="5"/>
        <v>1.8698939800169143</v>
      </c>
      <c r="U10" s="24">
        <f t="shared" si="6"/>
        <v>1.5552099533437014</v>
      </c>
      <c r="V10" s="24">
        <f t="shared" si="7"/>
        <v>1</v>
      </c>
      <c r="W10" s="61">
        <f t="shared" si="8"/>
        <v>23.333333333333336</v>
      </c>
      <c r="X10" s="15">
        <v>25</v>
      </c>
      <c r="Y10" s="86">
        <f t="shared" si="9"/>
        <v>4.2887700920237108</v>
      </c>
      <c r="Z10" s="86">
        <f t="shared" si="10"/>
        <v>1.115</v>
      </c>
      <c r="AA10" s="87">
        <f t="shared" si="11"/>
        <v>30.30543675869038</v>
      </c>
      <c r="AB10" s="62">
        <v>4.4999999999999998E-2</v>
      </c>
      <c r="AC10" s="88">
        <f t="shared" si="12"/>
        <v>0.98011000000000004</v>
      </c>
      <c r="AD10" s="89">
        <f t="shared" si="16"/>
        <v>5.4730233409090903E-2</v>
      </c>
      <c r="AE10" s="88" t="e">
        <f t="shared" si="17"/>
        <v>#N/A</v>
      </c>
      <c r="AF10" s="89" t="e">
        <f t="shared" si="18"/>
        <v>#N/A</v>
      </c>
      <c r="AG10" s="89" t="e">
        <f t="shared" si="19"/>
        <v>#N/A</v>
      </c>
      <c r="AH10" s="53" t="e">
        <f t="shared" si="13"/>
        <v>#N/A</v>
      </c>
      <c r="AI10" s="53" t="e">
        <f t="shared" si="20"/>
        <v>#N/A</v>
      </c>
      <c r="AJ10" s="53" t="e">
        <f t="shared" si="14"/>
        <v>#N/A</v>
      </c>
      <c r="AK10" s="53" t="e">
        <f t="shared" si="21"/>
        <v>#N/A</v>
      </c>
      <c r="AL10" s="27" t="str">
        <f t="shared" si="15"/>
        <v>not applicable</v>
      </c>
      <c r="AM10" s="27" t="str">
        <f t="shared" si="15"/>
        <v>not applicable</v>
      </c>
      <c r="AN10" s="27" t="str">
        <f t="shared" si="15"/>
        <v>not applicable</v>
      </c>
      <c r="AO10" s="27" t="str">
        <f t="shared" si="15"/>
        <v>not applicable</v>
      </c>
      <c r="AP10" s="27" t="str">
        <f t="shared" si="15"/>
        <v>not applicable</v>
      </c>
      <c r="AQ10" s="27" t="str">
        <f t="shared" si="15"/>
        <v>not applicable</v>
      </c>
      <c r="AR10" s="27" t="str">
        <f t="shared" si="15"/>
        <v>not applicable</v>
      </c>
      <c r="AS10" s="73"/>
      <c r="AT10" s="73"/>
      <c r="AU10" s="76"/>
      <c r="AX10" s="93">
        <f t="shared" si="22"/>
        <v>0</v>
      </c>
      <c r="AY10" s="29">
        <f t="shared" si="23"/>
        <v>8.6999999999999993</v>
      </c>
      <c r="AZ10" s="29">
        <f>E10-E9</f>
        <v>1</v>
      </c>
      <c r="BA10" s="30">
        <f t="shared" si="24"/>
        <v>0</v>
      </c>
      <c r="BB10" s="306"/>
    </row>
    <row r="11" spans="2:54" ht="12" thickBot="1">
      <c r="B11" s="74"/>
      <c r="C11" s="15" t="s">
        <v>85</v>
      </c>
      <c r="D11" s="16">
        <v>0</v>
      </c>
      <c r="E11" s="84">
        <v>3.6</v>
      </c>
      <c r="F11" s="18">
        <v>2.5830000000000002</v>
      </c>
      <c r="G11" s="85">
        <f t="shared" si="0"/>
        <v>-1.0169999999999999</v>
      </c>
      <c r="H11" s="20" t="s">
        <v>10</v>
      </c>
      <c r="I11" s="21" t="s">
        <v>11</v>
      </c>
      <c r="J11" s="15">
        <v>32</v>
      </c>
      <c r="K11" s="15">
        <v>21</v>
      </c>
      <c r="L11" s="15">
        <v>21</v>
      </c>
      <c r="M11" s="86">
        <f t="shared" si="1"/>
        <v>75.600000000000009</v>
      </c>
      <c r="N11" s="86">
        <f t="shared" si="2"/>
        <v>39.6</v>
      </c>
      <c r="O11" s="23">
        <v>60</v>
      </c>
      <c r="P11" s="15">
        <v>1.05</v>
      </c>
      <c r="Q11" s="15">
        <v>1</v>
      </c>
      <c r="R11" s="15">
        <f t="shared" si="3"/>
        <v>0.75</v>
      </c>
      <c r="S11" s="60">
        <f t="shared" si="4"/>
        <v>25</v>
      </c>
      <c r="T11" s="24">
        <f t="shared" si="5"/>
        <v>1.5891043154093205</v>
      </c>
      <c r="U11" s="24">
        <f t="shared" si="6"/>
        <v>1.4326647564469914</v>
      </c>
      <c r="V11" s="24">
        <f t="shared" si="7"/>
        <v>1</v>
      </c>
      <c r="W11" s="61">
        <f t="shared" si="8"/>
        <v>37.333333333333336</v>
      </c>
      <c r="X11" s="15">
        <v>25</v>
      </c>
      <c r="Y11" s="86">
        <f t="shared" si="9"/>
        <v>4.2887700920237108</v>
      </c>
      <c r="Z11" s="86">
        <f t="shared" si="10"/>
        <v>1.115</v>
      </c>
      <c r="AA11" s="87">
        <f t="shared" si="11"/>
        <v>45.915436758690383</v>
      </c>
      <c r="AB11" s="62">
        <v>4.4999999999999998E-2</v>
      </c>
      <c r="AC11" s="88">
        <f t="shared" si="12"/>
        <v>0.97245999999999999</v>
      </c>
      <c r="AD11" s="89">
        <f t="shared" si="16"/>
        <v>5.4303050454545448E-2</v>
      </c>
      <c r="AE11" s="88" t="e">
        <f t="shared" si="17"/>
        <v>#N/A</v>
      </c>
      <c r="AF11" s="89" t="e">
        <f t="shared" si="18"/>
        <v>#N/A</v>
      </c>
      <c r="AG11" s="89" t="e">
        <f t="shared" si="19"/>
        <v>#N/A</v>
      </c>
      <c r="AH11" s="53" t="e">
        <f t="shared" si="13"/>
        <v>#N/A</v>
      </c>
      <c r="AI11" s="53" t="e">
        <f t="shared" si="20"/>
        <v>#N/A</v>
      </c>
      <c r="AJ11" s="53" t="e">
        <f t="shared" si="14"/>
        <v>#N/A</v>
      </c>
      <c r="AK11" s="53" t="e">
        <f t="shared" si="21"/>
        <v>#N/A</v>
      </c>
      <c r="AL11" s="27" t="str">
        <f t="shared" si="15"/>
        <v>not applicable</v>
      </c>
      <c r="AM11" s="27" t="str">
        <f t="shared" si="15"/>
        <v>not applicable</v>
      </c>
      <c r="AN11" s="27" t="str">
        <f t="shared" si="15"/>
        <v>not applicable</v>
      </c>
      <c r="AO11" s="27" t="str">
        <f t="shared" si="15"/>
        <v>not applicable</v>
      </c>
      <c r="AP11" s="27" t="str">
        <f t="shared" si="15"/>
        <v>not applicable</v>
      </c>
      <c r="AQ11" s="27" t="str">
        <f t="shared" si="15"/>
        <v>not applicable</v>
      </c>
      <c r="AR11" s="27" t="str">
        <f t="shared" si="15"/>
        <v>not applicable</v>
      </c>
      <c r="AS11" s="73"/>
      <c r="AT11" s="73"/>
      <c r="AU11" s="76"/>
      <c r="AX11" s="93">
        <f t="shared" si="22"/>
        <v>0</v>
      </c>
      <c r="AY11" s="29">
        <f t="shared" si="23"/>
        <v>8.1999999999999993</v>
      </c>
      <c r="AZ11" s="29">
        <f>E11-E10</f>
        <v>1</v>
      </c>
      <c r="BA11" s="30">
        <f t="shared" si="24"/>
        <v>0</v>
      </c>
      <c r="BB11" s="306"/>
    </row>
    <row r="12" spans="2:54">
      <c r="B12" s="74"/>
      <c r="C12" s="33" t="s">
        <v>86</v>
      </c>
      <c r="D12" s="33">
        <v>0</v>
      </c>
      <c r="E12" s="38">
        <v>0.55000000000000004</v>
      </c>
      <c r="F12" s="33">
        <v>3.1629999999999998</v>
      </c>
      <c r="G12" s="85">
        <f t="shared" si="0"/>
        <v>2.6129999999999995</v>
      </c>
      <c r="H12" s="41" t="s">
        <v>10</v>
      </c>
      <c r="I12" s="42" t="s">
        <v>11</v>
      </c>
      <c r="J12" s="33">
        <v>20</v>
      </c>
      <c r="K12" s="33">
        <v>21</v>
      </c>
      <c r="L12" s="33">
        <v>21</v>
      </c>
      <c r="M12" s="86">
        <f t="shared" si="1"/>
        <v>11.55</v>
      </c>
      <c r="N12" s="86">
        <f t="shared" si="2"/>
        <v>6.0500000000000007</v>
      </c>
      <c r="O12" s="34">
        <v>60</v>
      </c>
      <c r="P12" s="33">
        <v>1.05</v>
      </c>
      <c r="Q12" s="33">
        <v>1</v>
      </c>
      <c r="R12" s="33">
        <f t="shared" si="3"/>
        <v>0.75</v>
      </c>
      <c r="S12" s="64">
        <f t="shared" si="4"/>
        <v>16</v>
      </c>
      <c r="T12" s="35">
        <f t="shared" si="5"/>
        <v>4.0655781409087082</v>
      </c>
      <c r="U12" s="35">
        <f t="shared" si="6"/>
        <v>1.8859028760018859</v>
      </c>
      <c r="V12" s="35">
        <f t="shared" si="7"/>
        <v>1</v>
      </c>
      <c r="W12" s="65">
        <f t="shared" si="8"/>
        <v>23.333333333333336</v>
      </c>
      <c r="X12" s="33">
        <v>28</v>
      </c>
      <c r="Y12" s="86">
        <f t="shared" si="9"/>
        <v>4.5615070448822781</v>
      </c>
      <c r="Z12" s="86">
        <f t="shared" si="10"/>
        <v>1.1381620734196169</v>
      </c>
      <c r="AA12" s="87">
        <f t="shared" si="11"/>
        <v>31.118622091340008</v>
      </c>
      <c r="AB12" s="63">
        <v>4.4999999999999998E-2</v>
      </c>
      <c r="AC12" s="88">
        <f t="shared" si="12"/>
        <v>0.99579249999999997</v>
      </c>
      <c r="AD12" s="89">
        <f t="shared" si="16"/>
        <v>5.5605958465909079E-2</v>
      </c>
      <c r="AE12" s="88" t="e">
        <f t="shared" si="17"/>
        <v>#N/A</v>
      </c>
      <c r="AF12" s="89" t="e">
        <f t="shared" si="18"/>
        <v>#N/A</v>
      </c>
      <c r="AG12" s="89" t="e">
        <f t="shared" si="19"/>
        <v>#N/A</v>
      </c>
      <c r="AH12" s="53" t="e">
        <f t="shared" si="13"/>
        <v>#N/A</v>
      </c>
      <c r="AI12" s="53" t="e">
        <f t="shared" si="20"/>
        <v>#N/A</v>
      </c>
      <c r="AJ12" s="53" t="e">
        <f t="shared" si="14"/>
        <v>#N/A</v>
      </c>
      <c r="AK12" s="53" t="e">
        <f t="shared" si="21"/>
        <v>#N/A</v>
      </c>
      <c r="AL12" s="27" t="str">
        <f t="shared" si="15"/>
        <v>not applicable</v>
      </c>
      <c r="AM12" s="27" t="str">
        <f t="shared" si="15"/>
        <v>not applicable</v>
      </c>
      <c r="AN12" s="27" t="str">
        <f t="shared" si="15"/>
        <v>not applicable</v>
      </c>
      <c r="AO12" s="27"/>
      <c r="AP12" s="27"/>
      <c r="AQ12" s="27"/>
      <c r="AR12" s="27"/>
      <c r="AS12" s="73"/>
      <c r="AT12" s="73"/>
      <c r="AU12" s="76"/>
      <c r="AX12" s="90">
        <f t="shared" si="22"/>
        <v>0</v>
      </c>
      <c r="AY12" s="91">
        <f t="shared" si="23"/>
        <v>9.7249999999999996</v>
      </c>
      <c r="AZ12" s="91">
        <f>E12</f>
        <v>0.55000000000000004</v>
      </c>
      <c r="BA12" s="92">
        <f t="shared" si="24"/>
        <v>0</v>
      </c>
      <c r="BB12" s="305">
        <f>SUM(BA12:BA14)</f>
        <v>0</v>
      </c>
    </row>
    <row r="13" spans="2:54" ht="12.75" customHeight="1">
      <c r="B13" s="74"/>
      <c r="C13" s="33" t="s">
        <v>86</v>
      </c>
      <c r="D13" s="33">
        <v>0</v>
      </c>
      <c r="E13" s="38">
        <v>1.55</v>
      </c>
      <c r="F13" s="33">
        <v>3.1629999999999998</v>
      </c>
      <c r="G13" s="85">
        <f t="shared" si="0"/>
        <v>1.6129999999999998</v>
      </c>
      <c r="H13" s="33" t="s">
        <v>10</v>
      </c>
      <c r="I13" s="33" t="s">
        <v>11</v>
      </c>
      <c r="J13" s="33">
        <v>20</v>
      </c>
      <c r="K13" s="33">
        <v>21</v>
      </c>
      <c r="L13" s="33">
        <v>21</v>
      </c>
      <c r="M13" s="86">
        <f t="shared" si="1"/>
        <v>32.550000000000004</v>
      </c>
      <c r="N13" s="86">
        <f t="shared" si="2"/>
        <v>17.05</v>
      </c>
      <c r="O13" s="34">
        <v>60</v>
      </c>
      <c r="P13" s="33">
        <v>1.05</v>
      </c>
      <c r="Q13" s="33">
        <v>1</v>
      </c>
      <c r="R13" s="33">
        <f t="shared" si="3"/>
        <v>0.75</v>
      </c>
      <c r="S13" s="64">
        <f t="shared" si="4"/>
        <v>16</v>
      </c>
      <c r="T13" s="35">
        <f t="shared" si="5"/>
        <v>2.4217973984824135</v>
      </c>
      <c r="U13" s="35">
        <f t="shared" si="6"/>
        <v>1.7086715079026056</v>
      </c>
      <c r="V13" s="35">
        <f t="shared" si="7"/>
        <v>1</v>
      </c>
      <c r="W13" s="65">
        <f t="shared" si="8"/>
        <v>23.333333333333336</v>
      </c>
      <c r="X13" s="33">
        <v>28</v>
      </c>
      <c r="Y13" s="86">
        <f t="shared" si="9"/>
        <v>4.5615070448822781</v>
      </c>
      <c r="Z13" s="86">
        <f t="shared" si="10"/>
        <v>1.1381620734196169</v>
      </c>
      <c r="AA13" s="87">
        <f t="shared" si="11"/>
        <v>31.118622091340008</v>
      </c>
      <c r="AB13" s="63">
        <v>4.4999999999999998E-2</v>
      </c>
      <c r="AC13" s="88">
        <f t="shared" si="12"/>
        <v>0.98814250000000003</v>
      </c>
      <c r="AD13" s="89">
        <f t="shared" si="16"/>
        <v>5.5178775511363631E-2</v>
      </c>
      <c r="AE13" s="88" t="e">
        <f t="shared" si="17"/>
        <v>#N/A</v>
      </c>
      <c r="AF13" s="89" t="e">
        <f t="shared" si="18"/>
        <v>#N/A</v>
      </c>
      <c r="AG13" s="89" t="e">
        <f t="shared" si="19"/>
        <v>#N/A</v>
      </c>
      <c r="AH13" s="53" t="e">
        <f t="shared" si="13"/>
        <v>#N/A</v>
      </c>
      <c r="AI13" s="53" t="e">
        <f t="shared" si="20"/>
        <v>#N/A</v>
      </c>
      <c r="AJ13" s="53" t="e">
        <f t="shared" si="14"/>
        <v>#N/A</v>
      </c>
      <c r="AK13" s="53" t="e">
        <f t="shared" si="21"/>
        <v>#N/A</v>
      </c>
      <c r="AL13" s="27" t="str">
        <f t="shared" si="15"/>
        <v>not applicable</v>
      </c>
      <c r="AM13" s="27" t="str">
        <f t="shared" si="15"/>
        <v>not applicable</v>
      </c>
      <c r="AN13" s="27" t="str">
        <f t="shared" si="15"/>
        <v>not applicable</v>
      </c>
      <c r="AO13" s="27" t="str">
        <f t="shared" si="15"/>
        <v>not applicable</v>
      </c>
      <c r="AP13" s="27" t="str">
        <f t="shared" si="15"/>
        <v>not applicable</v>
      </c>
      <c r="AQ13" s="27" t="str">
        <f t="shared" si="15"/>
        <v>not applicable</v>
      </c>
      <c r="AR13" s="27" t="str">
        <f t="shared" si="15"/>
        <v>not applicable</v>
      </c>
      <c r="AS13" s="73"/>
      <c r="AT13" s="73"/>
      <c r="AU13" s="76"/>
      <c r="AX13" s="93">
        <f t="shared" si="22"/>
        <v>0</v>
      </c>
      <c r="AY13" s="29">
        <f t="shared" si="23"/>
        <v>9.2249999999999996</v>
      </c>
      <c r="AZ13" s="29">
        <f>E13-E12</f>
        <v>1</v>
      </c>
      <c r="BA13" s="30">
        <f t="shared" si="24"/>
        <v>0</v>
      </c>
      <c r="BB13" s="306"/>
    </row>
    <row r="14" spans="2:54" ht="12" thickBot="1">
      <c r="B14" s="74"/>
      <c r="C14" s="33" t="s">
        <v>86</v>
      </c>
      <c r="D14" s="33">
        <v>0</v>
      </c>
      <c r="E14" s="38">
        <v>2.5499999999999998</v>
      </c>
      <c r="F14" s="33">
        <v>3.1629999999999998</v>
      </c>
      <c r="G14" s="85">
        <f t="shared" si="0"/>
        <v>0.61299999999999999</v>
      </c>
      <c r="H14" s="41" t="s">
        <v>10</v>
      </c>
      <c r="I14" s="42" t="s">
        <v>11</v>
      </c>
      <c r="J14" s="33">
        <v>17</v>
      </c>
      <c r="K14" s="33">
        <v>21</v>
      </c>
      <c r="L14" s="33">
        <v>21</v>
      </c>
      <c r="M14" s="86">
        <f t="shared" si="1"/>
        <v>53.55</v>
      </c>
      <c r="N14" s="86">
        <f t="shared" si="2"/>
        <v>28.049999999999997</v>
      </c>
      <c r="O14" s="34">
        <v>60</v>
      </c>
      <c r="P14" s="33">
        <v>1.05</v>
      </c>
      <c r="Q14" s="33">
        <v>1</v>
      </c>
      <c r="R14" s="33">
        <f t="shared" si="3"/>
        <v>0.75</v>
      </c>
      <c r="S14" s="64">
        <f t="shared" si="4"/>
        <v>13</v>
      </c>
      <c r="T14" s="35">
        <f t="shared" si="5"/>
        <v>1.8881372801234027</v>
      </c>
      <c r="U14" s="35">
        <f t="shared" si="6"/>
        <v>1.5618898867629833</v>
      </c>
      <c r="V14" s="35">
        <f t="shared" si="7"/>
        <v>1</v>
      </c>
      <c r="W14" s="65">
        <f t="shared" si="8"/>
        <v>19.833333333333336</v>
      </c>
      <c r="X14" s="33">
        <v>28</v>
      </c>
      <c r="Y14" s="86">
        <f t="shared" si="9"/>
        <v>4.5615070448822781</v>
      </c>
      <c r="Z14" s="86">
        <f t="shared" si="10"/>
        <v>1.1381620734196169</v>
      </c>
      <c r="AA14" s="87">
        <f t="shared" si="11"/>
        <v>27.135054834371353</v>
      </c>
      <c r="AB14" s="63">
        <v>4.4999999999999998E-2</v>
      </c>
      <c r="AC14" s="88">
        <f t="shared" si="12"/>
        <v>0.98049249999999999</v>
      </c>
      <c r="AD14" s="89">
        <f t="shared" si="16"/>
        <v>5.4751592556818177E-2</v>
      </c>
      <c r="AE14" s="88">
        <f t="shared" si="17"/>
        <v>0.7092332232126588</v>
      </c>
      <c r="AF14" s="89">
        <f t="shared" si="18"/>
        <v>0.56738657857012698</v>
      </c>
      <c r="AG14" s="89">
        <f t="shared" si="19"/>
        <v>0.4642253824664675</v>
      </c>
      <c r="AH14" s="53">
        <f t="shared" si="13"/>
        <v>0.38363069801048355</v>
      </c>
      <c r="AI14" s="53">
        <f t="shared" si="20"/>
        <v>0.32237873782393578</v>
      </c>
      <c r="AJ14" s="53">
        <f t="shared" si="14"/>
        <v>0.30303601355449961</v>
      </c>
      <c r="AK14" s="53">
        <f t="shared" si="21"/>
        <v>0.28691707666330285</v>
      </c>
      <c r="AL14" s="27">
        <f t="shared" si="15"/>
        <v>10.794712234118363</v>
      </c>
      <c r="AM14" s="27">
        <f t="shared" si="15"/>
        <v>8.6357697872946879</v>
      </c>
      <c r="AN14" s="27">
        <f t="shared" si="15"/>
        <v>7.0656298259683812</v>
      </c>
      <c r="AO14" s="27">
        <f t="shared" si="15"/>
        <v>5.8389579811822037</v>
      </c>
      <c r="AP14" s="27">
        <f t="shared" si="15"/>
        <v>4.9066873791447092</v>
      </c>
      <c r="AQ14" s="27">
        <f t="shared" si="15"/>
        <v>4.6122861363960261</v>
      </c>
      <c r="AR14" s="27">
        <f t="shared" si="15"/>
        <v>4.3669517674387919</v>
      </c>
      <c r="AS14" s="73"/>
      <c r="AT14" s="73"/>
      <c r="AU14" s="76"/>
      <c r="AX14" s="93">
        <f t="shared" si="22"/>
        <v>0</v>
      </c>
      <c r="AY14" s="29">
        <f t="shared" si="23"/>
        <v>8.7249999999999996</v>
      </c>
      <c r="AZ14" s="29">
        <f>E14-E13</f>
        <v>0.99999999999999978</v>
      </c>
      <c r="BA14" s="30">
        <f t="shared" si="24"/>
        <v>0</v>
      </c>
      <c r="BB14" s="306"/>
    </row>
    <row r="15" spans="2:54">
      <c r="B15" s="74"/>
      <c r="C15" s="15" t="s">
        <v>87</v>
      </c>
      <c r="D15" s="15">
        <v>0</v>
      </c>
      <c r="E15" s="16">
        <v>0.6</v>
      </c>
      <c r="F15" s="15">
        <v>4.226</v>
      </c>
      <c r="G15" s="85">
        <f>F15-E15</f>
        <v>3.6259999999999999</v>
      </c>
      <c r="H15" s="20" t="s">
        <v>10</v>
      </c>
      <c r="I15" s="21" t="s">
        <v>11</v>
      </c>
      <c r="J15" s="15">
        <v>26</v>
      </c>
      <c r="K15" s="15">
        <v>21</v>
      </c>
      <c r="L15" s="15">
        <v>21</v>
      </c>
      <c r="M15" s="86">
        <f>K15*D15+L15*(E15-D15)</f>
        <v>12.6</v>
      </c>
      <c r="N15" s="86">
        <f>K15*D15+(L15-10)*(E15-D15)</f>
        <v>6.6</v>
      </c>
      <c r="O15" s="23">
        <v>60</v>
      </c>
      <c r="P15" s="15">
        <v>1.05</v>
      </c>
      <c r="Q15" s="15">
        <v>1</v>
      </c>
      <c r="R15" s="15">
        <f t="shared" si="3"/>
        <v>0.75</v>
      </c>
      <c r="S15" s="60">
        <f t="shared" si="4"/>
        <v>20</v>
      </c>
      <c r="T15" s="24">
        <f t="shared" si="5"/>
        <v>3.8924947208076146</v>
      </c>
      <c r="U15" s="24">
        <f t="shared" si="6"/>
        <v>1.8761726078799248</v>
      </c>
      <c r="V15" s="24">
        <f t="shared" si="7"/>
        <v>1</v>
      </c>
      <c r="W15" s="61">
        <f>0.7/0.6*J15</f>
        <v>30.333333333333336</v>
      </c>
      <c r="X15" s="15">
        <v>18</v>
      </c>
      <c r="Y15" s="86">
        <f t="shared" si="9"/>
        <v>3.2335488424157086</v>
      </c>
      <c r="Z15" s="86">
        <f>IF(X15&lt;5,1,0.99+(X15^1.5/1000))</f>
        <v>1.066367532368147</v>
      </c>
      <c r="AA15" s="87">
        <f>Y15+Z15*W15</f>
        <v>35.580030657582832</v>
      </c>
      <c r="AB15" s="62">
        <v>4.4999999999999998E-2</v>
      </c>
      <c r="AC15" s="88">
        <f>IF(E15&lt;9.15,1-0.00765*E15,1.174-0.0267*E15)</f>
        <v>0.99541000000000002</v>
      </c>
      <c r="AD15" s="89">
        <f>0.65*AB15*(M15/N15)*AC15</f>
        <v>5.5584599318181813E-2</v>
      </c>
      <c r="AE15" s="88" t="e">
        <f>2.2*AI15</f>
        <v>#N/A</v>
      </c>
      <c r="AF15" s="89" t="e">
        <f>1.76*AI15</f>
        <v>#N/A</v>
      </c>
      <c r="AG15" s="89" t="e">
        <f>1.44*AI15</f>
        <v>#N/A</v>
      </c>
      <c r="AH15" s="53" t="e">
        <f t="shared" si="13"/>
        <v>#N/A</v>
      </c>
      <c r="AI15" s="53" t="e">
        <f>IF(AND(AA15&lt;=30,OR(I15="SAND",I15="GRAVEL")),(0.048+-0.004721*AA15+0.0006136*AA15^2+-0.00001673*AA15^3)/(1+-0.1248*AA15+0.009578*AA15^2+-0.0003285*AA15^3+0.000003714*AA15^4),#N/A)</f>
        <v>#N/A</v>
      </c>
      <c r="AJ15" s="53" t="e">
        <f t="shared" si="14"/>
        <v>#N/A</v>
      </c>
      <c r="AK15" s="53" t="e">
        <f>0.89*AI15</f>
        <v>#N/A</v>
      </c>
      <c r="AL15" s="27" t="str">
        <f t="shared" si="15"/>
        <v>not applicable</v>
      </c>
      <c r="AM15" s="27" t="str">
        <f t="shared" si="15"/>
        <v>not applicable</v>
      </c>
      <c r="AN15" s="27" t="str">
        <f t="shared" si="15"/>
        <v>not applicable</v>
      </c>
      <c r="AO15" s="27"/>
      <c r="AP15" s="27"/>
      <c r="AQ15" s="27"/>
      <c r="AR15" s="27"/>
      <c r="AS15" s="73"/>
      <c r="AT15" s="73"/>
      <c r="AU15" s="76"/>
      <c r="AX15" s="90">
        <f>IF(OR(AN15&gt;1,AN15="not applicable"),0,1-AN15)</f>
        <v>0</v>
      </c>
      <c r="AY15" s="91">
        <f>10-(0.5*E15)</f>
        <v>9.6999999999999993</v>
      </c>
      <c r="AZ15" s="91">
        <f>E15</f>
        <v>0.6</v>
      </c>
      <c r="BA15" s="92">
        <f>AZ15*AY15*AX15</f>
        <v>0</v>
      </c>
      <c r="BB15" s="305">
        <f>SUM(BA15:BA18)</f>
        <v>0</v>
      </c>
    </row>
    <row r="16" spans="2:54">
      <c r="B16" s="74"/>
      <c r="C16" s="15" t="s">
        <v>87</v>
      </c>
      <c r="D16" s="15">
        <v>0</v>
      </c>
      <c r="E16" s="16">
        <v>1.6</v>
      </c>
      <c r="F16" s="15">
        <v>4.226</v>
      </c>
      <c r="G16" s="85">
        <f>F16-E16</f>
        <v>2.6259999999999999</v>
      </c>
      <c r="H16" s="20" t="s">
        <v>10</v>
      </c>
      <c r="I16" s="21" t="s">
        <v>11</v>
      </c>
      <c r="J16" s="15">
        <v>26</v>
      </c>
      <c r="K16" s="15">
        <v>21</v>
      </c>
      <c r="L16" s="15">
        <v>21</v>
      </c>
      <c r="M16" s="86">
        <f>K16*D16+L16*(E16-D16)</f>
        <v>33.6</v>
      </c>
      <c r="N16" s="86">
        <f>K16*D16+(L16-10)*(E16-D16)</f>
        <v>17.600000000000001</v>
      </c>
      <c r="O16" s="23">
        <v>60</v>
      </c>
      <c r="P16" s="15">
        <v>1.05</v>
      </c>
      <c r="Q16" s="15">
        <v>1</v>
      </c>
      <c r="R16" s="15">
        <f t="shared" si="3"/>
        <v>0.75</v>
      </c>
      <c r="S16" s="60">
        <f t="shared" si="4"/>
        <v>20</v>
      </c>
      <c r="T16" s="24">
        <f t="shared" si="5"/>
        <v>2.3836564731139807</v>
      </c>
      <c r="U16" s="24">
        <f t="shared" si="6"/>
        <v>1.7006802721088436</v>
      </c>
      <c r="V16" s="24">
        <f t="shared" si="7"/>
        <v>1</v>
      </c>
      <c r="W16" s="61">
        <f>0.7/0.6*J16</f>
        <v>30.333333333333336</v>
      </c>
      <c r="X16" s="15">
        <v>18</v>
      </c>
      <c r="Y16" s="86">
        <f t="shared" si="9"/>
        <v>3.2335488424157086</v>
      </c>
      <c r="Z16" s="86">
        <f>IF(X16&lt;5,1,0.99+(X16^1.5/1000))</f>
        <v>1.066367532368147</v>
      </c>
      <c r="AA16" s="87">
        <f>Y16+Z16*W16</f>
        <v>35.580030657582832</v>
      </c>
      <c r="AB16" s="62">
        <v>4.4999999999999998E-2</v>
      </c>
      <c r="AC16" s="88">
        <f>IF(E16&lt;9.15,1-0.00765*E16,1.174-0.0267*E16)</f>
        <v>0.98775999999999997</v>
      </c>
      <c r="AD16" s="89">
        <f>0.65*AB16*(M16/N16)*AC16</f>
        <v>5.5157416363636351E-2</v>
      </c>
      <c r="AE16" s="88" t="e">
        <f>2.2*AI16</f>
        <v>#N/A</v>
      </c>
      <c r="AF16" s="89" t="e">
        <f>1.76*AI16</f>
        <v>#N/A</v>
      </c>
      <c r="AG16" s="89" t="e">
        <f>1.44*AI16</f>
        <v>#N/A</v>
      </c>
      <c r="AH16" s="53" t="e">
        <f t="shared" si="13"/>
        <v>#N/A</v>
      </c>
      <c r="AI16" s="53" t="e">
        <f>IF(AND(AA16&lt;=30,OR(I16="SAND",I16="GRAVEL")),(0.048+-0.004721*AA16+0.0006136*AA16^2+-0.00001673*AA16^3)/(1+-0.1248*AA16+0.009578*AA16^2+-0.0003285*AA16^3+0.000003714*AA16^4),#N/A)</f>
        <v>#N/A</v>
      </c>
      <c r="AJ16" s="53" t="e">
        <f t="shared" si="14"/>
        <v>#N/A</v>
      </c>
      <c r="AK16" s="53" t="e">
        <f>0.89*AI16</f>
        <v>#N/A</v>
      </c>
      <c r="AL16" s="27" t="str">
        <f t="shared" si="15"/>
        <v>not applicable</v>
      </c>
      <c r="AM16" s="27" t="str">
        <f t="shared" si="15"/>
        <v>not applicable</v>
      </c>
      <c r="AN16" s="27" t="str">
        <f t="shared" si="15"/>
        <v>not applicable</v>
      </c>
      <c r="AO16" s="27"/>
      <c r="AP16" s="27"/>
      <c r="AQ16" s="27"/>
      <c r="AR16" s="27"/>
      <c r="AS16" s="73"/>
      <c r="AT16" s="73"/>
      <c r="AU16" s="76"/>
      <c r="AX16" s="93">
        <f>IF(OR(AN16&gt;1,AN16="not applicable"),0,1-AN16)</f>
        <v>0</v>
      </c>
      <c r="AY16" s="29">
        <f>10-(0.5*E16)</f>
        <v>9.1999999999999993</v>
      </c>
      <c r="AZ16" s="29">
        <f>E16-E15</f>
        <v>1</v>
      </c>
      <c r="BA16" s="30">
        <f>AZ16*AY16*AX16</f>
        <v>0</v>
      </c>
      <c r="BB16" s="306"/>
    </row>
    <row r="17" spans="2:54">
      <c r="B17" s="74"/>
      <c r="C17" s="15" t="s">
        <v>87</v>
      </c>
      <c r="D17" s="15">
        <v>0</v>
      </c>
      <c r="E17" s="16">
        <v>2.6</v>
      </c>
      <c r="F17" s="15">
        <v>4.226</v>
      </c>
      <c r="G17" s="85">
        <f>F17-E17</f>
        <v>1.6259999999999999</v>
      </c>
      <c r="H17" s="20" t="s">
        <v>10</v>
      </c>
      <c r="I17" s="21" t="s">
        <v>11</v>
      </c>
      <c r="J17" s="15">
        <v>29</v>
      </c>
      <c r="K17" s="15">
        <v>21</v>
      </c>
      <c r="L17" s="15">
        <v>21</v>
      </c>
      <c r="M17" s="86">
        <f>K17*D17+L17*(E17-D17)</f>
        <v>54.6</v>
      </c>
      <c r="N17" s="86">
        <f>K17*D17+(L17-10)*(E17-D17)</f>
        <v>28.6</v>
      </c>
      <c r="O17" s="23">
        <v>60</v>
      </c>
      <c r="P17" s="15">
        <v>1.05</v>
      </c>
      <c r="Q17" s="15">
        <v>1</v>
      </c>
      <c r="R17" s="15">
        <f t="shared" si="3"/>
        <v>0.75</v>
      </c>
      <c r="S17" s="60">
        <f t="shared" si="4"/>
        <v>23</v>
      </c>
      <c r="T17" s="24">
        <f t="shared" si="5"/>
        <v>1.8698939800169143</v>
      </c>
      <c r="U17" s="24">
        <f t="shared" si="6"/>
        <v>1.5552099533437014</v>
      </c>
      <c r="V17" s="24">
        <f t="shared" si="7"/>
        <v>1</v>
      </c>
      <c r="W17" s="61">
        <f>0.7/0.6*J17</f>
        <v>33.833333333333336</v>
      </c>
      <c r="X17" s="15">
        <v>18</v>
      </c>
      <c r="Y17" s="86">
        <f t="shared" si="9"/>
        <v>3.2335488424157086</v>
      </c>
      <c r="Z17" s="86">
        <f>IF(X17&lt;5,1,0.99+(X17^1.5/1000))</f>
        <v>1.066367532368147</v>
      </c>
      <c r="AA17" s="87">
        <f>Y17+Z17*W17</f>
        <v>39.312317020871347</v>
      </c>
      <c r="AB17" s="62">
        <v>4.4999999999999998E-2</v>
      </c>
      <c r="AC17" s="88">
        <f>IF(E17&lt;9.15,1-0.00765*E17,1.174-0.0267*E17)</f>
        <v>0.98011000000000004</v>
      </c>
      <c r="AD17" s="89">
        <f>0.65*AB17*(M17/N17)*AC17</f>
        <v>5.4730233409090903E-2</v>
      </c>
      <c r="AE17" s="88" t="e">
        <f>2.2*AI17</f>
        <v>#N/A</v>
      </c>
      <c r="AF17" s="89" t="e">
        <f>1.76*AI17</f>
        <v>#N/A</v>
      </c>
      <c r="AG17" s="89" t="e">
        <f>1.44*AI17</f>
        <v>#N/A</v>
      </c>
      <c r="AH17" s="53" t="e">
        <f t="shared" si="13"/>
        <v>#N/A</v>
      </c>
      <c r="AI17" s="53" t="e">
        <f>IF(AND(AA17&lt;=30,OR(I17="SAND",I17="GRAVEL")),(0.048+-0.004721*AA17+0.0006136*AA17^2+-0.00001673*AA17^3)/(1+-0.1248*AA17+0.009578*AA17^2+-0.0003285*AA17^3+0.000003714*AA17^4),#N/A)</f>
        <v>#N/A</v>
      </c>
      <c r="AJ17" s="53" t="e">
        <f t="shared" si="14"/>
        <v>#N/A</v>
      </c>
      <c r="AK17" s="53" t="e">
        <f>0.89*AI17</f>
        <v>#N/A</v>
      </c>
      <c r="AL17" s="27" t="str">
        <f t="shared" si="15"/>
        <v>not applicable</v>
      </c>
      <c r="AM17" s="27" t="str">
        <f t="shared" si="15"/>
        <v>not applicable</v>
      </c>
      <c r="AN17" s="27" t="str">
        <f t="shared" si="15"/>
        <v>not applicable</v>
      </c>
      <c r="AO17" s="27"/>
      <c r="AP17" s="27"/>
      <c r="AQ17" s="27"/>
      <c r="AR17" s="27"/>
      <c r="AS17" s="73"/>
      <c r="AT17" s="73"/>
      <c r="AU17" s="76"/>
      <c r="AX17" s="93">
        <f>IF(OR(AN17&gt;1,AN17="not applicable"),0,1-AN17)</f>
        <v>0</v>
      </c>
      <c r="AY17" s="29">
        <f>10-(0.5*E17)</f>
        <v>8.6999999999999993</v>
      </c>
      <c r="AZ17" s="29">
        <f>E17-E16</f>
        <v>1</v>
      </c>
      <c r="BA17" s="30">
        <f>AZ17*AY17*AX17</f>
        <v>0</v>
      </c>
      <c r="BB17" s="306"/>
    </row>
    <row r="18" spans="2:54" ht="12" thickBot="1">
      <c r="B18" s="74"/>
      <c r="C18" s="15" t="s">
        <v>87</v>
      </c>
      <c r="D18" s="15">
        <v>0</v>
      </c>
      <c r="E18" s="16">
        <v>3.6</v>
      </c>
      <c r="F18" s="15">
        <v>4.226</v>
      </c>
      <c r="G18" s="85">
        <f>F18-E18</f>
        <v>0.62599999999999989</v>
      </c>
      <c r="H18" s="20" t="s">
        <v>10</v>
      </c>
      <c r="I18" s="21" t="s">
        <v>11</v>
      </c>
      <c r="J18" s="15">
        <v>13</v>
      </c>
      <c r="K18" s="15">
        <v>21</v>
      </c>
      <c r="L18" s="15">
        <v>21</v>
      </c>
      <c r="M18" s="86">
        <f>K18*D18+L18*(E18-D18)</f>
        <v>75.600000000000009</v>
      </c>
      <c r="N18" s="86">
        <f>K18*D18+(L18-10)*(E18-D18)</f>
        <v>39.6</v>
      </c>
      <c r="O18" s="23">
        <v>60</v>
      </c>
      <c r="P18" s="15">
        <v>1.05</v>
      </c>
      <c r="Q18" s="15">
        <v>1</v>
      </c>
      <c r="R18" s="15">
        <f t="shared" si="3"/>
        <v>0.75</v>
      </c>
      <c r="S18" s="60">
        <f t="shared" si="4"/>
        <v>10</v>
      </c>
      <c r="T18" s="24">
        <f t="shared" si="5"/>
        <v>1.5891043154093205</v>
      </c>
      <c r="U18" s="24">
        <f t="shared" si="6"/>
        <v>1.4326647564469914</v>
      </c>
      <c r="V18" s="24">
        <f t="shared" si="7"/>
        <v>1</v>
      </c>
      <c r="W18" s="61">
        <f>0.7/0.6*J18</f>
        <v>15.166666666666668</v>
      </c>
      <c r="X18" s="15">
        <v>18</v>
      </c>
      <c r="Y18" s="86">
        <f t="shared" si="9"/>
        <v>3.2335488424157086</v>
      </c>
      <c r="Z18" s="86">
        <f>IF(X18&lt;5,1,0.99+(X18^1.5/1000))</f>
        <v>1.066367532368147</v>
      </c>
      <c r="AA18" s="87">
        <f>Y18+Z18*W18</f>
        <v>19.40678974999927</v>
      </c>
      <c r="AB18" s="62">
        <v>4.4999999999999998E-2</v>
      </c>
      <c r="AC18" s="88">
        <f>IF(E18&lt;9.15,1-0.00765*E18,1.174-0.0267*E18)</f>
        <v>0.97245999999999999</v>
      </c>
      <c r="AD18" s="89">
        <f>0.65*AB18*(M18/N18)*AC18</f>
        <v>5.4303050454545448E-2</v>
      </c>
      <c r="AE18" s="88">
        <f>2.2*AI18</f>
        <v>0.46101486216822096</v>
      </c>
      <c r="AF18" s="89">
        <f>1.76*AI18</f>
        <v>0.36881188973457674</v>
      </c>
      <c r="AG18" s="89">
        <f>1.44*AI18</f>
        <v>0.30175518251010819</v>
      </c>
      <c r="AH18" s="53">
        <f t="shared" si="13"/>
        <v>0.2493671299909922</v>
      </c>
      <c r="AI18" s="53">
        <f>IF(AND(AA18&lt;=30,OR(I18="SAND",I18="GRAVEL")),(0.048+-0.004721*AA18+0.0006136*AA18^2+-0.00001673*AA18^3)/(1+-0.1248*AA18+0.009578*AA18^2+-0.0003285*AA18^3+0.000003714*AA18^4),#N/A)</f>
        <v>0.20955221007646405</v>
      </c>
      <c r="AJ18" s="53">
        <f t="shared" si="14"/>
        <v>0.19697907747187618</v>
      </c>
      <c r="AK18" s="53">
        <f>0.89*AI18</f>
        <v>0.186501466968053</v>
      </c>
      <c r="AL18" s="27">
        <f t="shared" si="15"/>
        <v>7.0747232170396979</v>
      </c>
      <c r="AM18" s="27">
        <f t="shared" si="15"/>
        <v>5.6597785736317574</v>
      </c>
      <c r="AN18" s="27">
        <f t="shared" si="15"/>
        <v>4.6307279238805279</v>
      </c>
      <c r="AO18" s="27"/>
      <c r="AP18" s="27"/>
      <c r="AQ18" s="27"/>
      <c r="AR18" s="27"/>
      <c r="AS18" s="73"/>
      <c r="AT18" s="73"/>
      <c r="AU18" s="76"/>
      <c r="AX18" s="94">
        <f>IF(OR(AN18&gt;1,AN18="not applicable"),0,1-AN18)</f>
        <v>0</v>
      </c>
      <c r="AY18" s="95">
        <f>10-(0.5*E18)</f>
        <v>8.1999999999999993</v>
      </c>
      <c r="AZ18" s="95">
        <f>E18-E17</f>
        <v>1</v>
      </c>
      <c r="BA18" s="96">
        <f>AZ18*AY18*AX18</f>
        <v>0</v>
      </c>
      <c r="BB18" s="307"/>
    </row>
    <row r="19" spans="2:54" ht="14.25" customHeight="1">
      <c r="B19" s="74"/>
      <c r="C19" s="97" t="s">
        <v>25</v>
      </c>
      <c r="D19" s="75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6"/>
    </row>
    <row r="20" spans="2:54" ht="13.5" customHeight="1">
      <c r="B20" s="74"/>
      <c r="C20" s="98">
        <v>1</v>
      </c>
      <c r="D20" s="99" t="e">
        <v>#N/A</v>
      </c>
      <c r="E20" s="99" t="s">
        <v>19</v>
      </c>
      <c r="F20" s="46" t="s">
        <v>76</v>
      </c>
      <c r="G20" s="99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6"/>
    </row>
    <row r="21" spans="2:54">
      <c r="B21" s="74"/>
      <c r="C21" s="98">
        <v>2</v>
      </c>
      <c r="D21" s="73" t="s">
        <v>83</v>
      </c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6"/>
    </row>
    <row r="22" spans="2:54">
      <c r="B22" s="74"/>
      <c r="C22" s="98">
        <v>3</v>
      </c>
      <c r="D22" s="73" t="s">
        <v>22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6"/>
    </row>
    <row r="23" spans="2:54">
      <c r="B23" s="74"/>
      <c r="C23" s="98">
        <v>4</v>
      </c>
      <c r="D23" s="73" t="s">
        <v>24</v>
      </c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6"/>
    </row>
    <row r="24" spans="2:54">
      <c r="B24" s="74"/>
      <c r="C24" s="98">
        <v>5</v>
      </c>
      <c r="D24" s="73" t="s">
        <v>84</v>
      </c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6"/>
    </row>
    <row r="25" spans="2:54">
      <c r="B25" s="7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6"/>
    </row>
    <row r="26" spans="2:54">
      <c r="B26" s="74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6"/>
    </row>
    <row r="27" spans="2:54">
      <c r="B27" s="74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6"/>
    </row>
    <row r="28" spans="2:54">
      <c r="B28" s="74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6"/>
    </row>
    <row r="29" spans="2:54">
      <c r="B29" s="74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6"/>
    </row>
    <row r="30" spans="2:54">
      <c r="B30" s="74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6"/>
    </row>
    <row r="31" spans="2:54">
      <c r="B31" s="74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6"/>
    </row>
    <row r="32" spans="2:54">
      <c r="B32" s="74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6"/>
    </row>
    <row r="33" spans="2:47">
      <c r="B33" s="74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6"/>
    </row>
    <row r="34" spans="2:47">
      <c r="B34" s="74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6"/>
    </row>
    <row r="35" spans="2:47">
      <c r="B35" s="74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6"/>
    </row>
    <row r="36" spans="2:47">
      <c r="B36" s="74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6"/>
    </row>
    <row r="37" spans="2:47">
      <c r="B37" s="74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6"/>
    </row>
    <row r="38" spans="2:47">
      <c r="B38" s="74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6"/>
    </row>
    <row r="39" spans="2:47">
      <c r="B39" s="74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6"/>
    </row>
    <row r="40" spans="2:47">
      <c r="B40" s="74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6"/>
    </row>
    <row r="41" spans="2:47">
      <c r="B41" s="74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6"/>
    </row>
    <row r="42" spans="2:47">
      <c r="B42" s="74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6"/>
    </row>
    <row r="43" spans="2:47">
      <c r="B43" s="100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  <c r="AI43" s="101"/>
      <c r="AJ43" s="101"/>
      <c r="AK43" s="101"/>
      <c r="AL43" s="101"/>
      <c r="AM43" s="101"/>
      <c r="AN43" s="101"/>
      <c r="AO43" s="101"/>
      <c r="AP43" s="101"/>
      <c r="AQ43" s="101"/>
      <c r="AR43" s="101"/>
      <c r="AS43" s="101"/>
      <c r="AT43" s="101"/>
      <c r="AU43" s="102"/>
    </row>
    <row r="45" spans="2:47">
      <c r="C45" s="103"/>
      <c r="D45" s="103"/>
      <c r="E45" s="103"/>
      <c r="F45" s="103"/>
      <c r="G45" s="103"/>
      <c r="H45" s="104"/>
      <c r="I45" s="104"/>
      <c r="J45" s="103"/>
      <c r="K45" s="103"/>
      <c r="L45" s="10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105"/>
      <c r="Y45" s="73"/>
      <c r="Z45" s="73"/>
      <c r="AA45" s="73"/>
      <c r="AB45" s="73"/>
    </row>
    <row r="46" spans="2:47"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105"/>
      <c r="Y46" s="73"/>
      <c r="Z46" s="73"/>
      <c r="AA46" s="73"/>
      <c r="AB46" s="73"/>
    </row>
    <row r="47" spans="2:47">
      <c r="C47" s="106"/>
      <c r="D47" s="107"/>
      <c r="E47" s="108"/>
      <c r="F47" s="108"/>
      <c r="G47" s="108"/>
      <c r="H47" s="109"/>
      <c r="I47" s="109"/>
      <c r="J47" s="106"/>
      <c r="K47" s="99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105"/>
      <c r="Y47" s="73"/>
      <c r="Z47" s="73"/>
      <c r="AA47" s="73"/>
      <c r="AB47" s="73"/>
    </row>
    <row r="48" spans="2:47">
      <c r="C48" s="106"/>
      <c r="D48" s="107"/>
      <c r="E48" s="108"/>
      <c r="F48" s="108"/>
      <c r="G48" s="108"/>
      <c r="H48" s="109"/>
      <c r="I48" s="109"/>
      <c r="J48" s="106"/>
      <c r="K48" s="99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</row>
    <row r="49" spans="3:28">
      <c r="C49" s="106"/>
      <c r="D49" s="107"/>
      <c r="E49" s="108"/>
      <c r="F49" s="108"/>
      <c r="G49" s="108"/>
      <c r="H49" s="109"/>
      <c r="I49" s="109"/>
      <c r="J49" s="106"/>
      <c r="K49" s="99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</row>
    <row r="50" spans="3:28">
      <c r="C50" s="106"/>
      <c r="D50" s="107"/>
      <c r="E50" s="108"/>
      <c r="F50" s="108"/>
      <c r="G50" s="108"/>
      <c r="H50" s="109"/>
      <c r="I50" s="109"/>
      <c r="J50" s="106"/>
      <c r="K50" s="99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</row>
    <row r="51" spans="3:28">
      <c r="C51" s="106"/>
      <c r="D51" s="107"/>
      <c r="E51" s="108"/>
      <c r="F51" s="108"/>
      <c r="G51" s="108"/>
      <c r="H51" s="109"/>
      <c r="I51" s="109"/>
      <c r="J51" s="106"/>
      <c r="K51" s="99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</row>
    <row r="52" spans="3:28">
      <c r="C52" s="106"/>
      <c r="D52" s="107"/>
      <c r="E52" s="108"/>
      <c r="F52" s="108"/>
      <c r="G52" s="108"/>
      <c r="H52" s="109"/>
      <c r="I52" s="109"/>
      <c r="J52" s="106"/>
      <c r="K52" s="99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</row>
    <row r="53" spans="3:28">
      <c r="C53" s="106"/>
      <c r="D53" s="107"/>
      <c r="E53" s="108"/>
      <c r="F53" s="108"/>
      <c r="G53" s="108"/>
      <c r="H53" s="109"/>
      <c r="I53" s="109"/>
      <c r="J53" s="106"/>
      <c r="K53" s="99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</row>
    <row r="54" spans="3:28">
      <c r="C54" s="106"/>
      <c r="D54" s="107"/>
      <c r="E54" s="108"/>
      <c r="F54" s="108"/>
      <c r="G54" s="108"/>
      <c r="H54" s="109"/>
      <c r="I54" s="109"/>
      <c r="J54" s="106"/>
      <c r="K54" s="99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</row>
    <row r="55" spans="3:28">
      <c r="C55" s="106"/>
      <c r="D55" s="107"/>
      <c r="E55" s="108"/>
      <c r="F55" s="108"/>
      <c r="G55" s="108"/>
      <c r="H55" s="109"/>
      <c r="I55" s="109"/>
      <c r="J55" s="106"/>
      <c r="K55" s="99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</row>
    <row r="56" spans="3:28">
      <c r="C56" s="110"/>
      <c r="D56" s="111"/>
      <c r="E56" s="112"/>
      <c r="F56" s="112"/>
      <c r="G56" s="112"/>
      <c r="H56" s="113"/>
      <c r="I56" s="113"/>
      <c r="J56" s="110"/>
      <c r="K56" s="99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</row>
    <row r="57" spans="3:28">
      <c r="C57" s="110"/>
      <c r="D57" s="111"/>
      <c r="E57" s="112"/>
      <c r="F57" s="112"/>
      <c r="G57" s="112"/>
      <c r="H57" s="113"/>
      <c r="I57" s="113"/>
      <c r="J57" s="110"/>
      <c r="K57" s="99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</row>
    <row r="58" spans="3:28">
      <c r="C58" s="110"/>
      <c r="D58" s="111"/>
      <c r="E58" s="112"/>
      <c r="F58" s="112"/>
      <c r="G58" s="112"/>
      <c r="H58" s="113"/>
      <c r="I58" s="113"/>
      <c r="J58" s="110"/>
      <c r="K58" s="99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</row>
    <row r="59" spans="3:28">
      <c r="C59" s="110"/>
      <c r="D59" s="111"/>
      <c r="E59" s="112"/>
      <c r="F59" s="112"/>
      <c r="G59" s="112"/>
      <c r="H59" s="113"/>
      <c r="I59" s="113"/>
      <c r="J59" s="110"/>
      <c r="K59" s="99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</row>
    <row r="60" spans="3:28">
      <c r="C60" s="110"/>
      <c r="D60" s="111"/>
      <c r="E60" s="112"/>
      <c r="F60" s="112"/>
      <c r="G60" s="112"/>
      <c r="H60" s="113"/>
      <c r="I60" s="113"/>
      <c r="J60" s="110"/>
      <c r="K60" s="99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</row>
    <row r="61" spans="3:28">
      <c r="C61" s="110"/>
      <c r="D61" s="111"/>
      <c r="E61" s="112"/>
      <c r="F61" s="112"/>
      <c r="G61" s="112"/>
      <c r="H61" s="113"/>
      <c r="I61" s="113"/>
      <c r="J61" s="110"/>
      <c r="K61" s="99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</row>
    <row r="62" spans="3:28">
      <c r="C62" s="110"/>
      <c r="D62" s="111"/>
      <c r="E62" s="112"/>
      <c r="F62" s="112"/>
      <c r="G62" s="112"/>
      <c r="H62" s="113"/>
      <c r="I62" s="113"/>
      <c r="J62" s="110"/>
      <c r="K62" s="99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</row>
    <row r="63" spans="3:28">
      <c r="C63" s="110"/>
      <c r="D63" s="111"/>
      <c r="E63" s="112"/>
      <c r="F63" s="112"/>
      <c r="G63" s="112"/>
      <c r="H63" s="113"/>
      <c r="I63" s="113"/>
      <c r="J63" s="110"/>
      <c r="K63" s="99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</row>
    <row r="64" spans="3:28">
      <c r="C64" s="110"/>
      <c r="D64" s="111"/>
      <c r="E64" s="112"/>
      <c r="F64" s="112"/>
      <c r="G64" s="112"/>
      <c r="H64" s="113"/>
      <c r="I64" s="113"/>
      <c r="J64" s="110"/>
      <c r="K64" s="99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</row>
    <row r="65" spans="3:28">
      <c r="C65" s="110"/>
      <c r="D65" s="111"/>
      <c r="E65" s="112"/>
      <c r="F65" s="112"/>
      <c r="G65" s="112"/>
      <c r="H65" s="113"/>
      <c r="I65" s="113"/>
      <c r="J65" s="110"/>
      <c r="K65" s="99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</row>
  </sheetData>
  <mergeCells count="4">
    <mergeCell ref="AX5:BB5"/>
    <mergeCell ref="BB8:BB11"/>
    <mergeCell ref="BB12:BB14"/>
    <mergeCell ref="BB15:BB18"/>
  </mergeCells>
  <pageMargins left="0.7" right="0.7" top="0.75" bottom="0.75" header="0.3" footer="0.3"/>
  <pageSetup paperSize="9" scale="5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6F6-B473-41FF-9559-F1C4CF6B6656}">
  <dimension ref="B1:BB65"/>
  <sheetViews>
    <sheetView view="pageBreakPreview" zoomScale="150" zoomScaleNormal="100" zoomScaleSheetLayoutView="150" workbookViewId="0">
      <selection activeCell="N28" sqref="N28"/>
    </sheetView>
  </sheetViews>
  <sheetFormatPr defaultColWidth="9.1796875" defaultRowHeight="11.5"/>
  <cols>
    <col min="1" max="2" width="1.81640625" style="6" customWidth="1"/>
    <col min="3" max="3" width="7.1796875" style="6" customWidth="1"/>
    <col min="4" max="5" width="6.1796875" style="6" customWidth="1"/>
    <col min="6" max="6" width="10" style="6" customWidth="1"/>
    <col min="7" max="7" width="8.81640625" style="6" customWidth="1"/>
    <col min="8" max="8" width="4" style="6" bestFit="1" customWidth="1"/>
    <col min="9" max="9" width="5.81640625" style="6" bestFit="1" customWidth="1"/>
    <col min="10" max="11" width="7.54296875" style="6" customWidth="1"/>
    <col min="12" max="12" width="7.81640625" style="6" customWidth="1"/>
    <col min="13" max="14" width="7.54296875" style="6" customWidth="1"/>
    <col min="15" max="17" width="7.54296875" style="6" hidden="1" customWidth="1"/>
    <col min="18" max="18" width="5" style="6" hidden="1" customWidth="1"/>
    <col min="19" max="19" width="3.453125" style="6" hidden="1" customWidth="1"/>
    <col min="20" max="20" width="7.81640625" style="6" hidden="1" customWidth="1"/>
    <col min="21" max="21" width="7.1796875" style="6" hidden="1" customWidth="1"/>
    <col min="22" max="22" width="10.1796875" style="6" hidden="1" customWidth="1"/>
    <col min="23" max="23" width="5.1796875" style="6" hidden="1" customWidth="1"/>
    <col min="24" max="24" width="6.1796875" style="6" customWidth="1"/>
    <col min="25" max="26" width="5.1796875" style="6" customWidth="1"/>
    <col min="27" max="28" width="7.54296875" style="6" customWidth="1"/>
    <col min="29" max="30" width="5.453125" style="6" bestFit="1" customWidth="1"/>
    <col min="31" max="31" width="6.1796875" style="6" hidden="1" customWidth="1"/>
    <col min="32" max="32" width="5.453125" style="6" hidden="1" customWidth="1"/>
    <col min="33" max="33" width="6.1796875" style="6" bestFit="1" customWidth="1"/>
    <col min="34" max="34" width="5.453125" style="6" hidden="1" customWidth="1"/>
    <col min="35" max="35" width="6.1796875" style="6" hidden="1" customWidth="1"/>
    <col min="36" max="36" width="5.453125" style="6" hidden="1" customWidth="1"/>
    <col min="37" max="37" width="6.1796875" style="6" hidden="1" customWidth="1"/>
    <col min="38" max="39" width="6.81640625" style="6" hidden="1" customWidth="1"/>
    <col min="40" max="40" width="14.81640625" style="6" customWidth="1"/>
    <col min="41" max="44" width="6.81640625" style="6" hidden="1" customWidth="1"/>
    <col min="45" max="47" width="4.453125" style="6" customWidth="1"/>
    <col min="48" max="48" width="4.453125" style="73" customWidth="1"/>
    <col min="49" max="49" width="4.453125" style="6" customWidth="1"/>
    <col min="50" max="53" width="9.1796875" style="6"/>
    <col min="54" max="54" width="12.54296875" style="6" customWidth="1"/>
    <col min="55" max="16384" width="9.1796875" style="6"/>
  </cols>
  <sheetData>
    <row r="1" spans="2:54" ht="6.75" customHeight="1">
      <c r="AV1" s="6"/>
    </row>
    <row r="2" spans="2:54" ht="6.75" customHeight="1">
      <c r="B2" s="70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2"/>
    </row>
    <row r="3" spans="2:54">
      <c r="B3" s="74"/>
      <c r="C3" s="75" t="s">
        <v>27</v>
      </c>
      <c r="D3" s="75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6"/>
    </row>
    <row r="4" spans="2:54" ht="12.5" thickBot="1">
      <c r="B4" s="74"/>
      <c r="C4" s="77" t="s">
        <v>77</v>
      </c>
      <c r="D4" s="77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6"/>
    </row>
    <row r="5" spans="2:54">
      <c r="B5" s="74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6"/>
      <c r="AX5" s="302" t="s">
        <v>47</v>
      </c>
      <c r="AY5" s="303"/>
      <c r="AZ5" s="303"/>
      <c r="BA5" s="303"/>
      <c r="BB5" s="304"/>
    </row>
    <row r="6" spans="2:54" ht="13.5">
      <c r="B6" s="74"/>
      <c r="C6" s="1" t="s">
        <v>4</v>
      </c>
      <c r="D6" s="1" t="s">
        <v>20</v>
      </c>
      <c r="E6" s="1" t="s">
        <v>5</v>
      </c>
      <c r="F6" s="2" t="s">
        <v>45</v>
      </c>
      <c r="G6" s="2" t="s">
        <v>46</v>
      </c>
      <c r="H6" s="3" t="s">
        <v>26</v>
      </c>
      <c r="I6" s="4"/>
      <c r="J6" s="1" t="s">
        <v>6</v>
      </c>
      <c r="K6" s="1" t="s">
        <v>48</v>
      </c>
      <c r="L6" s="1" t="s">
        <v>49</v>
      </c>
      <c r="M6" s="5" t="s">
        <v>50</v>
      </c>
      <c r="N6" s="5" t="s">
        <v>51</v>
      </c>
      <c r="O6" s="1" t="s">
        <v>52</v>
      </c>
      <c r="P6" s="1" t="s">
        <v>53</v>
      </c>
      <c r="Q6" s="1" t="s">
        <v>54</v>
      </c>
      <c r="R6" s="1" t="s">
        <v>55</v>
      </c>
      <c r="S6" s="1" t="s">
        <v>56</v>
      </c>
      <c r="T6" s="1" t="s">
        <v>57</v>
      </c>
      <c r="U6" s="1" t="s">
        <v>58</v>
      </c>
      <c r="V6" s="1" t="s">
        <v>21</v>
      </c>
      <c r="W6" s="1" t="s">
        <v>59</v>
      </c>
      <c r="X6" s="1" t="s">
        <v>3</v>
      </c>
      <c r="Y6" s="1" t="s">
        <v>1</v>
      </c>
      <c r="Z6" s="1" t="s">
        <v>2</v>
      </c>
      <c r="AA6" s="1" t="s">
        <v>60</v>
      </c>
      <c r="AB6" s="1" t="s">
        <v>61</v>
      </c>
      <c r="AC6" s="1" t="s">
        <v>62</v>
      </c>
      <c r="AD6" s="1" t="s">
        <v>0</v>
      </c>
      <c r="AE6" s="1" t="s">
        <v>63</v>
      </c>
      <c r="AF6" s="1" t="s">
        <v>64</v>
      </c>
      <c r="AG6" s="1" t="s">
        <v>65</v>
      </c>
      <c r="AH6" s="1" t="s">
        <v>66</v>
      </c>
      <c r="AI6" s="1" t="s">
        <v>67</v>
      </c>
      <c r="AJ6" s="1" t="s">
        <v>68</v>
      </c>
      <c r="AK6" s="1" t="s">
        <v>69</v>
      </c>
      <c r="AL6" s="67"/>
      <c r="AM6" s="68"/>
      <c r="AN6" s="11" t="s">
        <v>23</v>
      </c>
      <c r="AO6" s="68"/>
      <c r="AP6" s="68"/>
      <c r="AQ6" s="68"/>
      <c r="AR6" s="69"/>
      <c r="AS6" s="73"/>
      <c r="AT6" s="73"/>
      <c r="AU6" s="76"/>
      <c r="AX6" s="78" t="s">
        <v>32</v>
      </c>
      <c r="AY6" s="1" t="s">
        <v>29</v>
      </c>
      <c r="AZ6" s="1" t="s">
        <v>28</v>
      </c>
      <c r="BA6" s="1" t="s">
        <v>31</v>
      </c>
      <c r="BB6" s="79" t="s">
        <v>70</v>
      </c>
    </row>
    <row r="7" spans="2:54" ht="15" thickBot="1">
      <c r="B7" s="74"/>
      <c r="C7" s="7"/>
      <c r="D7" s="7" t="s">
        <v>7</v>
      </c>
      <c r="E7" s="7" t="s">
        <v>7</v>
      </c>
      <c r="F7" s="8" t="s">
        <v>78</v>
      </c>
      <c r="G7" s="8" t="s">
        <v>79</v>
      </c>
      <c r="H7" s="8"/>
      <c r="I7" s="9"/>
      <c r="J7" s="7" t="s">
        <v>8</v>
      </c>
      <c r="K7" s="7" t="s">
        <v>71</v>
      </c>
      <c r="L7" s="7" t="s">
        <v>71</v>
      </c>
      <c r="M7" s="7" t="s">
        <v>72</v>
      </c>
      <c r="N7" s="7" t="s">
        <v>72</v>
      </c>
      <c r="O7" s="7" t="s">
        <v>9</v>
      </c>
      <c r="P7" s="7"/>
      <c r="Q7" s="7"/>
      <c r="R7" s="7"/>
      <c r="S7" s="7"/>
      <c r="T7" s="7">
        <v>1986</v>
      </c>
      <c r="U7" s="7">
        <v>1986</v>
      </c>
      <c r="V7" s="7" t="s">
        <v>73</v>
      </c>
      <c r="W7" s="7"/>
      <c r="X7" s="7" t="s">
        <v>9</v>
      </c>
      <c r="Y7" s="7"/>
      <c r="Z7" s="7"/>
      <c r="AA7" s="7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1" t="s">
        <v>12</v>
      </c>
      <c r="AM7" s="11" t="s">
        <v>13</v>
      </c>
      <c r="AN7" s="11" t="s">
        <v>14</v>
      </c>
      <c r="AO7" s="11" t="s">
        <v>15</v>
      </c>
      <c r="AP7" s="11" t="s">
        <v>16</v>
      </c>
      <c r="AQ7" s="11" t="s">
        <v>17</v>
      </c>
      <c r="AR7" s="11" t="s">
        <v>18</v>
      </c>
      <c r="AS7" s="73"/>
      <c r="AT7" s="73"/>
      <c r="AU7" s="76"/>
      <c r="AX7" s="80" t="s">
        <v>74</v>
      </c>
      <c r="AY7" s="81" t="s">
        <v>30</v>
      </c>
      <c r="AZ7" s="82"/>
      <c r="BA7" s="82"/>
      <c r="BB7" s="83" t="s">
        <v>75</v>
      </c>
    </row>
    <row r="8" spans="2:54">
      <c r="B8" s="74"/>
      <c r="C8" s="15" t="s">
        <v>88</v>
      </c>
      <c r="D8" s="16">
        <v>2.8</v>
      </c>
      <c r="E8" s="84">
        <v>0.6</v>
      </c>
      <c r="F8" s="18">
        <v>2.5939999999999999</v>
      </c>
      <c r="G8" s="85">
        <f t="shared" ref="G8:G14" si="0">F8-E8</f>
        <v>1.9939999999999998</v>
      </c>
      <c r="H8" s="20" t="s">
        <v>10</v>
      </c>
      <c r="I8" s="21" t="s">
        <v>11</v>
      </c>
      <c r="J8" s="15">
        <v>13</v>
      </c>
      <c r="K8" s="15">
        <v>18</v>
      </c>
      <c r="L8" s="15">
        <v>21</v>
      </c>
      <c r="M8" s="86">
        <f t="shared" ref="M8:M14" si="1">K8*D8+L8*(E8-D8)</f>
        <v>4.2000000000000028</v>
      </c>
      <c r="N8" s="86">
        <f t="shared" ref="N8:N14" si="2">K8*D8+(L8-10)*(E8-D8)</f>
        <v>26.200000000000003</v>
      </c>
      <c r="O8" s="23">
        <v>60</v>
      </c>
      <c r="P8" s="15">
        <v>1.05</v>
      </c>
      <c r="Q8" s="15">
        <v>1</v>
      </c>
      <c r="R8" s="15">
        <f t="shared" ref="R8:R18" si="3">IF(E8&lt;4,0.75,IF(AND(E8&gt;=4,E8&lt;6),0.85,IF(AND(E8&gt;=6,E8&lt;10),0.95,IF(E8&gt;=10,1))))</f>
        <v>0.75</v>
      </c>
      <c r="S8" s="60">
        <f t="shared" ref="S8:S18" si="4">ROUND((J8*O8*P8*Q8*R8)/60,0)</f>
        <v>10</v>
      </c>
      <c r="T8" s="24">
        <f t="shared" ref="T8:T18" si="5">SQRT(1/(N8/100))</f>
        <v>1.9536616629114087</v>
      </c>
      <c r="U8" s="24">
        <f t="shared" ref="U8:U18" si="6">2/(1+N8/100)</f>
        <v>1.5847860538827259</v>
      </c>
      <c r="V8" s="24">
        <f t="shared" ref="V8:V18" si="7">IF(U8&gt;1,1,U8)</f>
        <v>1</v>
      </c>
      <c r="W8" s="61">
        <f t="shared" ref="W8:W14" si="8">0.7/0.6*J8</f>
        <v>15.166666666666668</v>
      </c>
      <c r="X8" s="15">
        <v>5</v>
      </c>
      <c r="Y8" s="86">
        <f t="shared" ref="Y8:Y18" si="9">IF(X8&lt;5,0,EXP(1.76-(190/X8^2)))</f>
        <v>2.9088426258125841E-3</v>
      </c>
      <c r="Z8" s="86">
        <f t="shared" ref="Z8:Z14" si="10">IF(X8&lt;5,1,0.99+(X8^1.5/1000))</f>
        <v>1.001180339887499</v>
      </c>
      <c r="AA8" s="87">
        <f t="shared" ref="AA8:AA14" si="11">Y8+Z8*W8</f>
        <v>15.187477330919549</v>
      </c>
      <c r="AB8" s="62">
        <v>4.4999999999999998E-2</v>
      </c>
      <c r="AC8" s="88">
        <f t="shared" ref="AC8:AC14" si="12">IF(E8&lt;9.15,1-0.00765*E8,1.174-0.0267*E8)</f>
        <v>0.99541000000000002</v>
      </c>
      <c r="AD8" s="89">
        <f>0.65*AB8*(M8/N8)*AC8</f>
        <v>4.6674091030534381E-3</v>
      </c>
      <c r="AE8" s="88">
        <f>2.2*AI8</f>
        <v>0.36125079453876285</v>
      </c>
      <c r="AF8" s="89">
        <f>1.76*AI8</f>
        <v>0.28900063563101025</v>
      </c>
      <c r="AG8" s="89">
        <f>1.44*AI8</f>
        <v>0.23645506551628109</v>
      </c>
      <c r="AH8" s="53">
        <f t="shared" ref="AH8:AH18" si="13">1.19*AI8</f>
        <v>0.19540383886414897</v>
      </c>
      <c r="AI8" s="53">
        <f>IF(AND(AA8&lt;=30,OR(I8="SAND",I8="GRAVEL")),(0.048+-0.004721*AA8+0.0006136*AA8^2+-0.00001673*AA8^3)/(1+-0.1248*AA8+0.009578*AA8^2+-0.0003285*AA8^3+0.000003714*AA8^4),#N/A)</f>
        <v>0.16420490660852854</v>
      </c>
      <c r="AJ8" s="53">
        <f t="shared" ref="AJ8:AJ18" si="14">0.94*AI8</f>
        <v>0.15435261221201682</v>
      </c>
      <c r="AK8" s="53">
        <f>0.89*AI8</f>
        <v>0.14614236688159041</v>
      </c>
      <c r="AL8" s="27">
        <f t="shared" ref="AL8:AR18" si="15">IF(ISNA(AE8),"not applicable",AE8/(1.2*$AD8))</f>
        <v>64.498809111324576</v>
      </c>
      <c r="AM8" s="27">
        <f t="shared" si="15"/>
        <v>51.599047289059655</v>
      </c>
      <c r="AN8" s="27">
        <f t="shared" si="15"/>
        <v>42.217402327412444</v>
      </c>
      <c r="AO8" s="27">
        <f t="shared" si="15"/>
        <v>34.887992201125563</v>
      </c>
      <c r="AP8" s="27">
        <f t="shared" si="15"/>
        <v>29.31764050514753</v>
      </c>
      <c r="AQ8" s="27">
        <f t="shared" si="15"/>
        <v>27.558582074838675</v>
      </c>
      <c r="AR8" s="27">
        <f t="shared" si="15"/>
        <v>26.092700049581303</v>
      </c>
      <c r="AS8" s="73"/>
      <c r="AT8" s="73"/>
      <c r="AU8" s="76"/>
      <c r="AX8" s="90">
        <f>IF(OR(AN8&gt;1,AN8="not applicable"),0,1-AN8)</f>
        <v>0</v>
      </c>
      <c r="AY8" s="91">
        <f>10-(0.5*E8)</f>
        <v>9.6999999999999993</v>
      </c>
      <c r="AZ8" s="91">
        <f>E8</f>
        <v>0.6</v>
      </c>
      <c r="BA8" s="92">
        <f>AZ8*AY8*AX8</f>
        <v>0</v>
      </c>
      <c r="BB8" s="305">
        <f>SUM(BA8:BA11)</f>
        <v>0</v>
      </c>
    </row>
    <row r="9" spans="2:54">
      <c r="B9" s="74"/>
      <c r="C9" s="15" t="s">
        <v>88</v>
      </c>
      <c r="D9" s="16">
        <v>2.8</v>
      </c>
      <c r="E9" s="84">
        <v>1.6</v>
      </c>
      <c r="F9" s="18">
        <v>2.5939999999999999</v>
      </c>
      <c r="G9" s="85">
        <f t="shared" si="0"/>
        <v>0.99399999999999977</v>
      </c>
      <c r="H9" s="20" t="s">
        <v>10</v>
      </c>
      <c r="I9" s="21" t="s">
        <v>11</v>
      </c>
      <c r="J9" s="15">
        <v>17</v>
      </c>
      <c r="K9" s="15">
        <v>18</v>
      </c>
      <c r="L9" s="15">
        <v>21</v>
      </c>
      <c r="M9" s="86">
        <f t="shared" si="1"/>
        <v>25.200000000000003</v>
      </c>
      <c r="N9" s="86">
        <f t="shared" si="2"/>
        <v>37.200000000000003</v>
      </c>
      <c r="O9" s="23">
        <v>60</v>
      </c>
      <c r="P9" s="15">
        <v>1.05</v>
      </c>
      <c r="Q9" s="15">
        <v>1</v>
      </c>
      <c r="R9" s="15">
        <f t="shared" si="3"/>
        <v>0.75</v>
      </c>
      <c r="S9" s="60">
        <f t="shared" si="4"/>
        <v>13</v>
      </c>
      <c r="T9" s="24">
        <f t="shared" si="5"/>
        <v>1.6395645894598823</v>
      </c>
      <c r="U9" s="24">
        <f t="shared" si="6"/>
        <v>1.4577259475218658</v>
      </c>
      <c r="V9" s="24">
        <f t="shared" si="7"/>
        <v>1</v>
      </c>
      <c r="W9" s="61">
        <f t="shared" si="8"/>
        <v>19.833333333333336</v>
      </c>
      <c r="X9" s="15">
        <v>5</v>
      </c>
      <c r="Y9" s="86">
        <f t="shared" si="9"/>
        <v>2.9088426258125841E-3</v>
      </c>
      <c r="Z9" s="86">
        <f t="shared" si="10"/>
        <v>1.001180339887499</v>
      </c>
      <c r="AA9" s="87">
        <f t="shared" si="11"/>
        <v>19.859652250394547</v>
      </c>
      <c r="AB9" s="62">
        <v>4.4999999999999998E-2</v>
      </c>
      <c r="AC9" s="88">
        <f t="shared" si="12"/>
        <v>0.98775999999999997</v>
      </c>
      <c r="AD9" s="89">
        <f t="shared" ref="AD9:AD14" si="16">0.65*AB9*(M9/N9)*AC9</f>
        <v>1.9571986451612903E-2</v>
      </c>
      <c r="AE9" s="88">
        <f t="shared" ref="AE9:AE14" si="17">2.2*AI9</f>
        <v>0.47219962094755219</v>
      </c>
      <c r="AF9" s="89">
        <f t="shared" ref="AF9:AF14" si="18">1.76*AI9</f>
        <v>0.37775969675804172</v>
      </c>
      <c r="AG9" s="89">
        <f t="shared" ref="AG9:AG14" si="19">1.44*AI9</f>
        <v>0.30907611552930686</v>
      </c>
      <c r="AH9" s="53">
        <f t="shared" si="13"/>
        <v>0.25541706769435774</v>
      </c>
      <c r="AI9" s="53">
        <f t="shared" ref="AI9:AI14" si="20">IF(AND(AA9&lt;=30,OR(I9="SAND",I9="GRAVEL")),(0.048+-0.004721*AA9+0.0006136*AA9^2+-0.00001673*AA9^3)/(1+-0.1248*AA9+0.009578*AA9^2+-0.0003285*AA9^3+0.000003714*AA9^4),#N/A)</f>
        <v>0.21463619133979644</v>
      </c>
      <c r="AJ9" s="53">
        <f t="shared" si="14"/>
        <v>0.20175801985940864</v>
      </c>
      <c r="AK9" s="53">
        <f t="shared" ref="AK9:AK14" si="21">0.89*AI9</f>
        <v>0.19102621029241884</v>
      </c>
      <c r="AL9" s="27">
        <f t="shared" si="15"/>
        <v>20.105250179678741</v>
      </c>
      <c r="AM9" s="27">
        <f t="shared" si="15"/>
        <v>16.08420014374299</v>
      </c>
      <c r="AN9" s="27">
        <f t="shared" si="15"/>
        <v>13.159800117607903</v>
      </c>
      <c r="AO9" s="27">
        <f t="shared" si="15"/>
        <v>10.875112597189863</v>
      </c>
      <c r="AP9" s="27">
        <f t="shared" si="15"/>
        <v>9.1387500816721552</v>
      </c>
      <c r="AQ9" s="27">
        <f t="shared" si="15"/>
        <v>8.5904250767718242</v>
      </c>
      <c r="AR9" s="27">
        <f t="shared" si="15"/>
        <v>8.1334875726882174</v>
      </c>
      <c r="AS9" s="73"/>
      <c r="AT9" s="73"/>
      <c r="AU9" s="76"/>
      <c r="AX9" s="93">
        <f t="shared" ref="AX9:AX14" si="22">IF(OR(AN9&gt;1,AN9="not applicable"),0,1-AN9)</f>
        <v>0</v>
      </c>
      <c r="AY9" s="29">
        <f t="shared" ref="AY9:AY14" si="23">10-(0.5*E9)</f>
        <v>9.1999999999999993</v>
      </c>
      <c r="AZ9" s="29">
        <f>E9-E8</f>
        <v>1</v>
      </c>
      <c r="BA9" s="30">
        <f t="shared" ref="BA9:BA14" si="24">AZ9*AY9*AX9</f>
        <v>0</v>
      </c>
      <c r="BB9" s="306"/>
    </row>
    <row r="10" spans="2:54">
      <c r="B10" s="74"/>
      <c r="C10" s="15" t="s">
        <v>88</v>
      </c>
      <c r="D10" s="16">
        <v>2.8</v>
      </c>
      <c r="E10" s="84">
        <v>2.6</v>
      </c>
      <c r="F10" s="18">
        <v>2.5939999999999999</v>
      </c>
      <c r="G10" s="85">
        <f t="shared" si="0"/>
        <v>-6.0000000000002274E-3</v>
      </c>
      <c r="H10" s="20" t="s">
        <v>10</v>
      </c>
      <c r="I10" s="21" t="s">
        <v>11</v>
      </c>
      <c r="J10" s="15">
        <v>22</v>
      </c>
      <c r="K10" s="15">
        <v>18</v>
      </c>
      <c r="L10" s="15">
        <v>21</v>
      </c>
      <c r="M10" s="86">
        <f t="shared" si="1"/>
        <v>46.2</v>
      </c>
      <c r="N10" s="86">
        <f t="shared" si="2"/>
        <v>48.2</v>
      </c>
      <c r="O10" s="23">
        <v>60</v>
      </c>
      <c r="P10" s="15">
        <v>1.05</v>
      </c>
      <c r="Q10" s="15">
        <v>1</v>
      </c>
      <c r="R10" s="15">
        <f t="shared" si="3"/>
        <v>0.75</v>
      </c>
      <c r="S10" s="60">
        <f t="shared" si="4"/>
        <v>17</v>
      </c>
      <c r="T10" s="24">
        <f t="shared" si="5"/>
        <v>1.4403780047891934</v>
      </c>
      <c r="U10" s="24">
        <f t="shared" si="6"/>
        <v>1.3495276653171391</v>
      </c>
      <c r="V10" s="24">
        <f t="shared" si="7"/>
        <v>1</v>
      </c>
      <c r="W10" s="61">
        <f t="shared" si="8"/>
        <v>25.666666666666668</v>
      </c>
      <c r="X10" s="15">
        <v>5</v>
      </c>
      <c r="Y10" s="86">
        <f t="shared" si="9"/>
        <v>2.9088426258125841E-3</v>
      </c>
      <c r="Z10" s="86">
        <f t="shared" si="10"/>
        <v>1.001180339887499</v>
      </c>
      <c r="AA10" s="87">
        <f t="shared" si="11"/>
        <v>25.69987089973829</v>
      </c>
      <c r="AB10" s="62">
        <v>4.4999999999999998E-2</v>
      </c>
      <c r="AC10" s="88">
        <f t="shared" si="12"/>
        <v>0.98011000000000004</v>
      </c>
      <c r="AD10" s="89">
        <f t="shared" si="16"/>
        <v>2.7478664906639003E-2</v>
      </c>
      <c r="AE10" s="88">
        <f t="shared" si="17"/>
        <v>0.64780843148477918</v>
      </c>
      <c r="AF10" s="89">
        <f t="shared" si="18"/>
        <v>0.51824674518782332</v>
      </c>
      <c r="AG10" s="89">
        <f t="shared" si="19"/>
        <v>0.42402006424458266</v>
      </c>
      <c r="AH10" s="53">
        <f t="shared" si="13"/>
        <v>0.35040546975767595</v>
      </c>
      <c r="AI10" s="53">
        <f t="shared" si="20"/>
        <v>0.29445837794762686</v>
      </c>
      <c r="AJ10" s="53">
        <f t="shared" si="14"/>
        <v>0.27679087527076923</v>
      </c>
      <c r="AK10" s="53">
        <f t="shared" si="21"/>
        <v>0.26206795637338792</v>
      </c>
      <c r="AL10" s="27">
        <f t="shared" si="15"/>
        <v>19.645800165502976</v>
      </c>
      <c r="AM10" s="27">
        <f t="shared" si="15"/>
        <v>15.716640132402381</v>
      </c>
      <c r="AN10" s="27">
        <f t="shared" si="15"/>
        <v>12.859069199238309</v>
      </c>
      <c r="AO10" s="27">
        <f t="shared" si="15"/>
        <v>10.626591907703881</v>
      </c>
      <c r="AP10" s="27">
        <f t="shared" si="15"/>
        <v>8.9299091661377155</v>
      </c>
      <c r="AQ10" s="27">
        <f t="shared" si="15"/>
        <v>8.3941146161694515</v>
      </c>
      <c r="AR10" s="27">
        <f t="shared" si="15"/>
        <v>7.9476191578625679</v>
      </c>
      <c r="AS10" s="73"/>
      <c r="AT10" s="73"/>
      <c r="AU10" s="76"/>
      <c r="AX10" s="93">
        <f t="shared" si="22"/>
        <v>0</v>
      </c>
      <c r="AY10" s="29">
        <f t="shared" si="23"/>
        <v>8.6999999999999993</v>
      </c>
      <c r="AZ10" s="29">
        <f>E10-E9</f>
        <v>1</v>
      </c>
      <c r="BA10" s="30">
        <f t="shared" si="24"/>
        <v>0</v>
      </c>
      <c r="BB10" s="306"/>
    </row>
    <row r="11" spans="2:54" ht="12" thickBot="1">
      <c r="B11" s="74"/>
      <c r="C11" s="15" t="s">
        <v>88</v>
      </c>
      <c r="D11" s="16">
        <v>2.8</v>
      </c>
      <c r="E11" s="84">
        <v>3.6</v>
      </c>
      <c r="F11" s="18">
        <v>2.5939999999999999</v>
      </c>
      <c r="G11" s="85">
        <f t="shared" si="0"/>
        <v>-1.0060000000000002</v>
      </c>
      <c r="H11" s="20" t="s">
        <v>10</v>
      </c>
      <c r="I11" s="21" t="s">
        <v>11</v>
      </c>
      <c r="J11" s="15">
        <v>30</v>
      </c>
      <c r="K11" s="15">
        <v>18</v>
      </c>
      <c r="L11" s="15">
        <v>21</v>
      </c>
      <c r="M11" s="86">
        <f t="shared" si="1"/>
        <v>67.2</v>
      </c>
      <c r="N11" s="86">
        <f t="shared" si="2"/>
        <v>59.2</v>
      </c>
      <c r="O11" s="23">
        <v>60</v>
      </c>
      <c r="P11" s="15">
        <v>1.05</v>
      </c>
      <c r="Q11" s="15">
        <v>1</v>
      </c>
      <c r="R11" s="15">
        <f t="shared" si="3"/>
        <v>0.75</v>
      </c>
      <c r="S11" s="60">
        <f t="shared" si="4"/>
        <v>24</v>
      </c>
      <c r="T11" s="24">
        <f t="shared" si="5"/>
        <v>1.2996881122750907</v>
      </c>
      <c r="U11" s="24">
        <f t="shared" si="6"/>
        <v>1.2562814070351758</v>
      </c>
      <c r="V11" s="24">
        <f t="shared" si="7"/>
        <v>1</v>
      </c>
      <c r="W11" s="61">
        <f t="shared" si="8"/>
        <v>35</v>
      </c>
      <c r="X11" s="15">
        <v>5</v>
      </c>
      <c r="Y11" s="86">
        <f t="shared" si="9"/>
        <v>2.9088426258125841E-3</v>
      </c>
      <c r="Z11" s="86">
        <f t="shared" si="10"/>
        <v>1.001180339887499</v>
      </c>
      <c r="AA11" s="87">
        <f t="shared" si="11"/>
        <v>35.044220738688281</v>
      </c>
      <c r="AB11" s="62">
        <v>4.4999999999999998E-2</v>
      </c>
      <c r="AC11" s="88">
        <f t="shared" si="12"/>
        <v>0.97245999999999999</v>
      </c>
      <c r="AD11" s="89">
        <f t="shared" si="16"/>
        <v>3.228830027027027E-2</v>
      </c>
      <c r="AE11" s="88" t="e">
        <f t="shared" si="17"/>
        <v>#N/A</v>
      </c>
      <c r="AF11" s="89" t="e">
        <f t="shared" si="18"/>
        <v>#N/A</v>
      </c>
      <c r="AG11" s="89" t="e">
        <f t="shared" si="19"/>
        <v>#N/A</v>
      </c>
      <c r="AH11" s="53" t="e">
        <f t="shared" si="13"/>
        <v>#N/A</v>
      </c>
      <c r="AI11" s="53" t="e">
        <f t="shared" si="20"/>
        <v>#N/A</v>
      </c>
      <c r="AJ11" s="53" t="e">
        <f t="shared" si="14"/>
        <v>#N/A</v>
      </c>
      <c r="AK11" s="53" t="e">
        <f t="shared" si="21"/>
        <v>#N/A</v>
      </c>
      <c r="AL11" s="27" t="str">
        <f t="shared" si="15"/>
        <v>not applicable</v>
      </c>
      <c r="AM11" s="27" t="str">
        <f t="shared" si="15"/>
        <v>not applicable</v>
      </c>
      <c r="AN11" s="27" t="str">
        <f t="shared" si="15"/>
        <v>not applicable</v>
      </c>
      <c r="AO11" s="27" t="str">
        <f t="shared" si="15"/>
        <v>not applicable</v>
      </c>
      <c r="AP11" s="27" t="str">
        <f t="shared" si="15"/>
        <v>not applicable</v>
      </c>
      <c r="AQ11" s="27" t="str">
        <f t="shared" si="15"/>
        <v>not applicable</v>
      </c>
      <c r="AR11" s="27" t="str">
        <f t="shared" si="15"/>
        <v>not applicable</v>
      </c>
      <c r="AS11" s="73"/>
      <c r="AT11" s="73"/>
      <c r="AU11" s="76"/>
      <c r="AX11" s="93">
        <f t="shared" si="22"/>
        <v>0</v>
      </c>
      <c r="AY11" s="29">
        <f t="shared" si="23"/>
        <v>8.1999999999999993</v>
      </c>
      <c r="AZ11" s="29">
        <f>E11-E10</f>
        <v>1</v>
      </c>
      <c r="BA11" s="30">
        <f t="shared" si="24"/>
        <v>0</v>
      </c>
      <c r="BB11" s="306"/>
    </row>
    <row r="12" spans="2:54">
      <c r="B12" s="74"/>
      <c r="C12" s="33" t="s">
        <v>89</v>
      </c>
      <c r="D12" s="33">
        <v>2.7</v>
      </c>
      <c r="E12" s="38">
        <v>0.55000000000000004</v>
      </c>
      <c r="F12" s="33">
        <v>2.52</v>
      </c>
      <c r="G12" s="85">
        <f t="shared" si="0"/>
        <v>1.97</v>
      </c>
      <c r="H12" s="41" t="s">
        <v>10</v>
      </c>
      <c r="I12" s="42" t="s">
        <v>11</v>
      </c>
      <c r="J12" s="33">
        <v>24</v>
      </c>
      <c r="K12" s="33">
        <v>18</v>
      </c>
      <c r="L12" s="33">
        <v>21</v>
      </c>
      <c r="M12" s="86">
        <f t="shared" si="1"/>
        <v>3.4499999999999957</v>
      </c>
      <c r="N12" s="86">
        <f t="shared" si="2"/>
        <v>24.949999999999996</v>
      </c>
      <c r="O12" s="34">
        <v>60</v>
      </c>
      <c r="P12" s="33">
        <v>1.05</v>
      </c>
      <c r="Q12" s="33">
        <v>1</v>
      </c>
      <c r="R12" s="33">
        <f t="shared" si="3"/>
        <v>0.75</v>
      </c>
      <c r="S12" s="64">
        <f t="shared" si="4"/>
        <v>19</v>
      </c>
      <c r="T12" s="35">
        <f t="shared" si="5"/>
        <v>2.002003005008766</v>
      </c>
      <c r="U12" s="35">
        <f t="shared" si="6"/>
        <v>1.6006402561024411</v>
      </c>
      <c r="V12" s="35">
        <f t="shared" si="7"/>
        <v>1</v>
      </c>
      <c r="W12" s="65">
        <f t="shared" si="8"/>
        <v>28</v>
      </c>
      <c r="X12" s="33">
        <v>5</v>
      </c>
      <c r="Y12" s="86">
        <f t="shared" si="9"/>
        <v>2.9088426258125841E-3</v>
      </c>
      <c r="Z12" s="86">
        <f t="shared" si="10"/>
        <v>1.001180339887499</v>
      </c>
      <c r="AA12" s="87">
        <f t="shared" si="11"/>
        <v>28.035958359475785</v>
      </c>
      <c r="AB12" s="63">
        <v>4.4999999999999998E-2</v>
      </c>
      <c r="AC12" s="88">
        <f t="shared" si="12"/>
        <v>0.99579249999999997</v>
      </c>
      <c r="AD12" s="89">
        <f t="shared" si="16"/>
        <v>4.0275715693887729E-3</v>
      </c>
      <c r="AE12" s="88">
        <f t="shared" si="17"/>
        <v>0.75666037339804781</v>
      </c>
      <c r="AF12" s="89">
        <f t="shared" si="18"/>
        <v>0.60532829871843818</v>
      </c>
      <c r="AG12" s="89">
        <f t="shared" si="19"/>
        <v>0.4952686080423585</v>
      </c>
      <c r="AH12" s="53">
        <f t="shared" si="13"/>
        <v>0.40928447470167129</v>
      </c>
      <c r="AI12" s="53">
        <f t="shared" si="20"/>
        <v>0.34393653336274899</v>
      </c>
      <c r="AJ12" s="53">
        <f t="shared" si="14"/>
        <v>0.32330034136098401</v>
      </c>
      <c r="AK12" s="53">
        <f t="shared" si="21"/>
        <v>0.30610351469284658</v>
      </c>
      <c r="AL12" s="27">
        <f t="shared" si="15"/>
        <v>156.55843733665361</v>
      </c>
      <c r="AM12" s="27">
        <f t="shared" si="15"/>
        <v>125.24674986932287</v>
      </c>
      <c r="AN12" s="27">
        <f t="shared" si="15"/>
        <v>102.47461352944599</v>
      </c>
      <c r="AO12" s="27"/>
      <c r="AP12" s="27"/>
      <c r="AQ12" s="27"/>
      <c r="AR12" s="27"/>
      <c r="AS12" s="73"/>
      <c r="AT12" s="73"/>
      <c r="AU12" s="76"/>
      <c r="AX12" s="90">
        <f t="shared" si="22"/>
        <v>0</v>
      </c>
      <c r="AY12" s="91">
        <f t="shared" si="23"/>
        <v>9.7249999999999996</v>
      </c>
      <c r="AZ12" s="91">
        <f>E12</f>
        <v>0.55000000000000004</v>
      </c>
      <c r="BA12" s="92">
        <f t="shared" si="24"/>
        <v>0</v>
      </c>
      <c r="BB12" s="305">
        <f>SUM(BA12:BA14)</f>
        <v>0</v>
      </c>
    </row>
    <row r="13" spans="2:54" ht="12.75" customHeight="1">
      <c r="B13" s="74"/>
      <c r="C13" s="33" t="s">
        <v>89</v>
      </c>
      <c r="D13" s="33">
        <v>2.7</v>
      </c>
      <c r="E13" s="38">
        <v>1.55</v>
      </c>
      <c r="F13" s="33">
        <v>2.52</v>
      </c>
      <c r="G13" s="85">
        <f t="shared" si="0"/>
        <v>0.97</v>
      </c>
      <c r="H13" s="33" t="s">
        <v>10</v>
      </c>
      <c r="I13" s="33" t="s">
        <v>11</v>
      </c>
      <c r="J13" s="33">
        <v>45</v>
      </c>
      <c r="K13" s="33">
        <v>18</v>
      </c>
      <c r="L13" s="33">
        <v>21</v>
      </c>
      <c r="M13" s="86">
        <f t="shared" si="1"/>
        <v>24.45</v>
      </c>
      <c r="N13" s="86">
        <f t="shared" si="2"/>
        <v>35.950000000000003</v>
      </c>
      <c r="O13" s="34">
        <v>60</v>
      </c>
      <c r="P13" s="33">
        <v>1.05</v>
      </c>
      <c r="Q13" s="33">
        <v>1</v>
      </c>
      <c r="R13" s="33">
        <f t="shared" si="3"/>
        <v>0.75</v>
      </c>
      <c r="S13" s="64">
        <f t="shared" si="4"/>
        <v>35</v>
      </c>
      <c r="T13" s="35">
        <f t="shared" si="5"/>
        <v>1.6678252811038963</v>
      </c>
      <c r="U13" s="35">
        <f t="shared" si="6"/>
        <v>1.4711290915777857</v>
      </c>
      <c r="V13" s="35">
        <f t="shared" si="7"/>
        <v>1</v>
      </c>
      <c r="W13" s="65">
        <f t="shared" si="8"/>
        <v>52.5</v>
      </c>
      <c r="X13" s="33">
        <v>5</v>
      </c>
      <c r="Y13" s="86">
        <f t="shared" si="9"/>
        <v>2.9088426258125841E-3</v>
      </c>
      <c r="Z13" s="86">
        <f t="shared" si="10"/>
        <v>1.001180339887499</v>
      </c>
      <c r="AA13" s="87">
        <f t="shared" si="11"/>
        <v>52.564876686719508</v>
      </c>
      <c r="AB13" s="63">
        <v>4.4999999999999998E-2</v>
      </c>
      <c r="AC13" s="88">
        <f t="shared" si="12"/>
        <v>0.98814250000000003</v>
      </c>
      <c r="AD13" s="89">
        <f t="shared" si="16"/>
        <v>1.9657370254694016E-2</v>
      </c>
      <c r="AE13" s="88" t="e">
        <f t="shared" si="17"/>
        <v>#N/A</v>
      </c>
      <c r="AF13" s="89" t="e">
        <f t="shared" si="18"/>
        <v>#N/A</v>
      </c>
      <c r="AG13" s="89" t="e">
        <f t="shared" si="19"/>
        <v>#N/A</v>
      </c>
      <c r="AH13" s="53" t="e">
        <f t="shared" si="13"/>
        <v>#N/A</v>
      </c>
      <c r="AI13" s="53" t="e">
        <f t="shared" si="20"/>
        <v>#N/A</v>
      </c>
      <c r="AJ13" s="53" t="e">
        <f t="shared" si="14"/>
        <v>#N/A</v>
      </c>
      <c r="AK13" s="53" t="e">
        <f t="shared" si="21"/>
        <v>#N/A</v>
      </c>
      <c r="AL13" s="27" t="str">
        <f t="shared" si="15"/>
        <v>not applicable</v>
      </c>
      <c r="AM13" s="27" t="str">
        <f t="shared" si="15"/>
        <v>not applicable</v>
      </c>
      <c r="AN13" s="27" t="str">
        <f t="shared" si="15"/>
        <v>not applicable</v>
      </c>
      <c r="AO13" s="27" t="str">
        <f t="shared" si="15"/>
        <v>not applicable</v>
      </c>
      <c r="AP13" s="27" t="str">
        <f t="shared" si="15"/>
        <v>not applicable</v>
      </c>
      <c r="AQ13" s="27" t="str">
        <f t="shared" si="15"/>
        <v>not applicable</v>
      </c>
      <c r="AR13" s="27" t="str">
        <f t="shared" si="15"/>
        <v>not applicable</v>
      </c>
      <c r="AS13" s="73"/>
      <c r="AT13" s="73"/>
      <c r="AU13" s="76"/>
      <c r="AX13" s="93">
        <f t="shared" si="22"/>
        <v>0</v>
      </c>
      <c r="AY13" s="29">
        <f t="shared" si="23"/>
        <v>9.2249999999999996</v>
      </c>
      <c r="AZ13" s="29">
        <f>E13-E12</f>
        <v>1</v>
      </c>
      <c r="BA13" s="30">
        <f t="shared" si="24"/>
        <v>0</v>
      </c>
      <c r="BB13" s="306"/>
    </row>
    <row r="14" spans="2:54" ht="12" thickBot="1">
      <c r="B14" s="74"/>
      <c r="C14" s="33" t="s">
        <v>89</v>
      </c>
      <c r="D14" s="33">
        <v>2.7</v>
      </c>
      <c r="E14" s="38">
        <v>2.5499999999999998</v>
      </c>
      <c r="F14" s="33">
        <v>2.52</v>
      </c>
      <c r="G14" s="85">
        <f t="shared" si="0"/>
        <v>-2.9999999999999805E-2</v>
      </c>
      <c r="H14" s="41" t="s">
        <v>10</v>
      </c>
      <c r="I14" s="42" t="s">
        <v>11</v>
      </c>
      <c r="J14" s="33">
        <v>40</v>
      </c>
      <c r="K14" s="33">
        <v>18</v>
      </c>
      <c r="L14" s="33">
        <v>21</v>
      </c>
      <c r="M14" s="86">
        <f t="shared" si="1"/>
        <v>45.449999999999996</v>
      </c>
      <c r="N14" s="86">
        <f t="shared" si="2"/>
        <v>46.949999999999996</v>
      </c>
      <c r="O14" s="34">
        <v>60</v>
      </c>
      <c r="P14" s="33">
        <v>1.05</v>
      </c>
      <c r="Q14" s="33">
        <v>1</v>
      </c>
      <c r="R14" s="33">
        <f t="shared" si="3"/>
        <v>0.75</v>
      </c>
      <c r="S14" s="64">
        <f t="shared" si="4"/>
        <v>32</v>
      </c>
      <c r="T14" s="35">
        <f t="shared" si="5"/>
        <v>1.4594264121938998</v>
      </c>
      <c r="U14" s="35">
        <f t="shared" si="6"/>
        <v>1.3610071452875128</v>
      </c>
      <c r="V14" s="35">
        <f t="shared" si="7"/>
        <v>1</v>
      </c>
      <c r="W14" s="65">
        <f t="shared" si="8"/>
        <v>46.666666666666671</v>
      </c>
      <c r="X14" s="33">
        <v>5</v>
      </c>
      <c r="Y14" s="86">
        <f t="shared" si="9"/>
        <v>2.9088426258125841E-3</v>
      </c>
      <c r="Z14" s="86">
        <f t="shared" si="10"/>
        <v>1.001180339887499</v>
      </c>
      <c r="AA14" s="87">
        <f t="shared" si="11"/>
        <v>46.724658037375775</v>
      </c>
      <c r="AB14" s="63">
        <v>4.4999999999999998E-2</v>
      </c>
      <c r="AC14" s="88">
        <f t="shared" si="12"/>
        <v>0.98049249999999999</v>
      </c>
      <c r="AD14" s="89">
        <f t="shared" si="16"/>
        <v>2.7763130684904151E-2</v>
      </c>
      <c r="AE14" s="88" t="e">
        <f t="shared" si="17"/>
        <v>#N/A</v>
      </c>
      <c r="AF14" s="89" t="e">
        <f t="shared" si="18"/>
        <v>#N/A</v>
      </c>
      <c r="AG14" s="89" t="e">
        <f t="shared" si="19"/>
        <v>#N/A</v>
      </c>
      <c r="AH14" s="53" t="e">
        <f t="shared" si="13"/>
        <v>#N/A</v>
      </c>
      <c r="AI14" s="53" t="e">
        <f t="shared" si="20"/>
        <v>#N/A</v>
      </c>
      <c r="AJ14" s="53" t="e">
        <f t="shared" si="14"/>
        <v>#N/A</v>
      </c>
      <c r="AK14" s="53" t="e">
        <f t="shared" si="21"/>
        <v>#N/A</v>
      </c>
      <c r="AL14" s="27" t="str">
        <f t="shared" si="15"/>
        <v>not applicable</v>
      </c>
      <c r="AM14" s="27" t="str">
        <f t="shared" si="15"/>
        <v>not applicable</v>
      </c>
      <c r="AN14" s="27" t="str">
        <f t="shared" si="15"/>
        <v>not applicable</v>
      </c>
      <c r="AO14" s="27" t="str">
        <f t="shared" si="15"/>
        <v>not applicable</v>
      </c>
      <c r="AP14" s="27" t="str">
        <f t="shared" si="15"/>
        <v>not applicable</v>
      </c>
      <c r="AQ14" s="27" t="str">
        <f t="shared" si="15"/>
        <v>not applicable</v>
      </c>
      <c r="AR14" s="27" t="str">
        <f t="shared" si="15"/>
        <v>not applicable</v>
      </c>
      <c r="AS14" s="73"/>
      <c r="AT14" s="73"/>
      <c r="AU14" s="76"/>
      <c r="AX14" s="93">
        <f t="shared" si="22"/>
        <v>0</v>
      </c>
      <c r="AY14" s="29">
        <f t="shared" si="23"/>
        <v>8.7249999999999996</v>
      </c>
      <c r="AZ14" s="29">
        <f>E14-E13</f>
        <v>0.99999999999999978</v>
      </c>
      <c r="BA14" s="30">
        <f t="shared" si="24"/>
        <v>0</v>
      </c>
      <c r="BB14" s="306"/>
    </row>
    <row r="15" spans="2:54">
      <c r="B15" s="74"/>
      <c r="C15" s="15" t="s">
        <v>90</v>
      </c>
      <c r="D15" s="15">
        <v>2.7</v>
      </c>
      <c r="E15" s="16">
        <v>0.6</v>
      </c>
      <c r="F15" s="15">
        <v>2.5249999999999999</v>
      </c>
      <c r="G15" s="85">
        <f>F15-E15</f>
        <v>1.9249999999999998</v>
      </c>
      <c r="H15" s="20" t="s">
        <v>10</v>
      </c>
      <c r="I15" s="21" t="s">
        <v>11</v>
      </c>
      <c r="J15" s="15">
        <v>41</v>
      </c>
      <c r="K15" s="15">
        <v>18</v>
      </c>
      <c r="L15" s="15">
        <v>21</v>
      </c>
      <c r="M15" s="86">
        <f>K15*D15+L15*(E15-D15)</f>
        <v>4.5</v>
      </c>
      <c r="N15" s="86">
        <f>K15*D15+(L15-10)*(E15-D15)</f>
        <v>25.5</v>
      </c>
      <c r="O15" s="23">
        <v>60</v>
      </c>
      <c r="P15" s="15">
        <v>1.05</v>
      </c>
      <c r="Q15" s="15">
        <v>1</v>
      </c>
      <c r="R15" s="15">
        <f t="shared" si="3"/>
        <v>0.75</v>
      </c>
      <c r="S15" s="60">
        <f t="shared" si="4"/>
        <v>32</v>
      </c>
      <c r="T15" s="24">
        <f t="shared" si="5"/>
        <v>1.9802950859533486</v>
      </c>
      <c r="U15" s="24">
        <f t="shared" si="6"/>
        <v>1.5936254980079683</v>
      </c>
      <c r="V15" s="24">
        <f t="shared" si="7"/>
        <v>1</v>
      </c>
      <c r="W15" s="61">
        <f>0.7/0.6*J15</f>
        <v>47.833333333333336</v>
      </c>
      <c r="X15" s="15">
        <v>9</v>
      </c>
      <c r="Y15" s="86">
        <f t="shared" si="9"/>
        <v>0.5567277084540817</v>
      </c>
      <c r="Z15" s="86">
        <f>IF(X15&lt;5,1,0.99+(X15^1.5/1000))</f>
        <v>1.0169999999999999</v>
      </c>
      <c r="AA15" s="87">
        <f>Y15+Z15*W15</f>
        <v>49.203227708454079</v>
      </c>
      <c r="AB15" s="62">
        <v>4.4999999999999998E-2</v>
      </c>
      <c r="AC15" s="88">
        <f>IF(E15&lt;9.15,1-0.00765*E15,1.174-0.0267*E15)</f>
        <v>0.99541000000000002</v>
      </c>
      <c r="AD15" s="89">
        <f>0.65*AB15*(M15/N15)*AC15</f>
        <v>5.1380722058823524E-3</v>
      </c>
      <c r="AE15" s="88" t="e">
        <f>2.2*AI15</f>
        <v>#N/A</v>
      </c>
      <c r="AF15" s="89" t="e">
        <f>1.76*AI15</f>
        <v>#N/A</v>
      </c>
      <c r="AG15" s="89" t="e">
        <f>1.44*AI15</f>
        <v>#N/A</v>
      </c>
      <c r="AH15" s="53" t="e">
        <f t="shared" si="13"/>
        <v>#N/A</v>
      </c>
      <c r="AI15" s="53" t="e">
        <f>IF(AND(AA15&lt;=30,OR(I15="SAND",I15="GRAVEL")),(0.048+-0.004721*AA15+0.0006136*AA15^2+-0.00001673*AA15^3)/(1+-0.1248*AA15+0.009578*AA15^2+-0.0003285*AA15^3+0.000003714*AA15^4),#N/A)</f>
        <v>#N/A</v>
      </c>
      <c r="AJ15" s="53" t="e">
        <f t="shared" si="14"/>
        <v>#N/A</v>
      </c>
      <c r="AK15" s="53" t="e">
        <f>0.89*AI15</f>
        <v>#N/A</v>
      </c>
      <c r="AL15" s="27" t="str">
        <f t="shared" si="15"/>
        <v>not applicable</v>
      </c>
      <c r="AM15" s="27" t="str">
        <f t="shared" si="15"/>
        <v>not applicable</v>
      </c>
      <c r="AN15" s="27" t="str">
        <f t="shared" si="15"/>
        <v>not applicable</v>
      </c>
      <c r="AO15" s="27"/>
      <c r="AP15" s="27"/>
      <c r="AQ15" s="27"/>
      <c r="AR15" s="27"/>
      <c r="AS15" s="73"/>
      <c r="AT15" s="73"/>
      <c r="AU15" s="76"/>
      <c r="AX15" s="90">
        <f>IF(OR(AN15&gt;1,AN15="not applicable"),0,1-AN15)</f>
        <v>0</v>
      </c>
      <c r="AY15" s="91">
        <f>10-(0.5*E15)</f>
        <v>9.6999999999999993</v>
      </c>
      <c r="AZ15" s="91">
        <f>E15</f>
        <v>0.6</v>
      </c>
      <c r="BA15" s="92">
        <f>AZ15*AY15*AX15</f>
        <v>0</v>
      </c>
      <c r="BB15" s="305">
        <f>SUM(BA15:BA18)</f>
        <v>0</v>
      </c>
    </row>
    <row r="16" spans="2:54">
      <c r="B16" s="74"/>
      <c r="C16" s="15" t="s">
        <v>90</v>
      </c>
      <c r="D16" s="15">
        <v>2.7</v>
      </c>
      <c r="E16" s="16">
        <v>1.6</v>
      </c>
      <c r="F16" s="15">
        <v>2.5249999999999999</v>
      </c>
      <c r="G16" s="85">
        <f>F16-E16</f>
        <v>0.92499999999999982</v>
      </c>
      <c r="H16" s="20" t="s">
        <v>10</v>
      </c>
      <c r="I16" s="21" t="s">
        <v>11</v>
      </c>
      <c r="J16" s="15">
        <v>62</v>
      </c>
      <c r="K16" s="15">
        <v>18</v>
      </c>
      <c r="L16" s="15">
        <v>21</v>
      </c>
      <c r="M16" s="86">
        <f>K16*D16+L16*(E16-D16)</f>
        <v>25.5</v>
      </c>
      <c r="N16" s="86">
        <f>K16*D16+(L16-10)*(E16-D16)</f>
        <v>36.5</v>
      </c>
      <c r="O16" s="23">
        <v>60</v>
      </c>
      <c r="P16" s="15">
        <v>1.05</v>
      </c>
      <c r="Q16" s="15">
        <v>1</v>
      </c>
      <c r="R16" s="15">
        <f t="shared" si="3"/>
        <v>0.75</v>
      </c>
      <c r="S16" s="60">
        <f t="shared" si="4"/>
        <v>49</v>
      </c>
      <c r="T16" s="24">
        <f t="shared" si="5"/>
        <v>1.6552117772047359</v>
      </c>
      <c r="U16" s="24">
        <f t="shared" si="6"/>
        <v>1.4652014652014651</v>
      </c>
      <c r="V16" s="24">
        <f t="shared" si="7"/>
        <v>1</v>
      </c>
      <c r="W16" s="61">
        <f>0.7/0.6*J16</f>
        <v>72.333333333333343</v>
      </c>
      <c r="X16" s="15">
        <v>9</v>
      </c>
      <c r="Y16" s="86">
        <f t="shared" si="9"/>
        <v>0.5567277084540817</v>
      </c>
      <c r="Z16" s="86">
        <f>IF(X16&lt;5,1,0.99+(X16^1.5/1000))</f>
        <v>1.0169999999999999</v>
      </c>
      <c r="AA16" s="87">
        <f>Y16+Z16*W16</f>
        <v>74.119727708454079</v>
      </c>
      <c r="AB16" s="62">
        <v>4.4999999999999998E-2</v>
      </c>
      <c r="AC16" s="88">
        <f>IF(E16&lt;9.15,1-0.00765*E16,1.174-0.0267*E16)</f>
        <v>0.98775999999999997</v>
      </c>
      <c r="AD16" s="89">
        <f>0.65*AB16*(M16/N16)*AC16</f>
        <v>2.0184807945205479E-2</v>
      </c>
      <c r="AE16" s="88" t="e">
        <f>2.2*AI16</f>
        <v>#N/A</v>
      </c>
      <c r="AF16" s="89" t="e">
        <f>1.76*AI16</f>
        <v>#N/A</v>
      </c>
      <c r="AG16" s="89" t="e">
        <f>1.44*AI16</f>
        <v>#N/A</v>
      </c>
      <c r="AH16" s="53" t="e">
        <f t="shared" si="13"/>
        <v>#N/A</v>
      </c>
      <c r="AI16" s="53" t="e">
        <f>IF(AND(AA16&lt;=30,OR(I16="SAND",I16="GRAVEL")),(0.048+-0.004721*AA16+0.0006136*AA16^2+-0.00001673*AA16^3)/(1+-0.1248*AA16+0.009578*AA16^2+-0.0003285*AA16^3+0.000003714*AA16^4),#N/A)</f>
        <v>#N/A</v>
      </c>
      <c r="AJ16" s="53" t="e">
        <f t="shared" si="14"/>
        <v>#N/A</v>
      </c>
      <c r="AK16" s="53" t="e">
        <f>0.89*AI16</f>
        <v>#N/A</v>
      </c>
      <c r="AL16" s="27" t="str">
        <f t="shared" si="15"/>
        <v>not applicable</v>
      </c>
      <c r="AM16" s="27" t="str">
        <f t="shared" si="15"/>
        <v>not applicable</v>
      </c>
      <c r="AN16" s="27" t="str">
        <f t="shared" si="15"/>
        <v>not applicable</v>
      </c>
      <c r="AO16" s="27"/>
      <c r="AP16" s="27"/>
      <c r="AQ16" s="27"/>
      <c r="AR16" s="27"/>
      <c r="AS16" s="73"/>
      <c r="AT16" s="73"/>
      <c r="AU16" s="76"/>
      <c r="AX16" s="93">
        <f>IF(OR(AN16&gt;1,AN16="not applicable"),0,1-AN16)</f>
        <v>0</v>
      </c>
      <c r="AY16" s="29">
        <f>10-(0.5*E16)</f>
        <v>9.1999999999999993</v>
      </c>
      <c r="AZ16" s="29">
        <f>E16-E15</f>
        <v>1</v>
      </c>
      <c r="BA16" s="30">
        <f>AZ16*AY16*AX16</f>
        <v>0</v>
      </c>
      <c r="BB16" s="306"/>
    </row>
    <row r="17" spans="2:54">
      <c r="B17" s="74"/>
      <c r="C17" s="15" t="s">
        <v>90</v>
      </c>
      <c r="D17" s="15">
        <v>2.7</v>
      </c>
      <c r="E17" s="16">
        <v>2.6</v>
      </c>
      <c r="F17" s="15">
        <v>2.5249999999999999</v>
      </c>
      <c r="G17" s="85">
        <f>F17-E17</f>
        <v>-7.5000000000000178E-2</v>
      </c>
      <c r="H17" s="20" t="s">
        <v>10</v>
      </c>
      <c r="I17" s="21" t="s">
        <v>11</v>
      </c>
      <c r="J17" s="15">
        <v>39</v>
      </c>
      <c r="K17" s="15">
        <v>18</v>
      </c>
      <c r="L17" s="15">
        <v>21</v>
      </c>
      <c r="M17" s="86">
        <f>K17*D17+L17*(E17-D17)</f>
        <v>46.5</v>
      </c>
      <c r="N17" s="86">
        <f>K17*D17+(L17-10)*(E17-D17)</f>
        <v>47.5</v>
      </c>
      <c r="O17" s="23">
        <v>60</v>
      </c>
      <c r="P17" s="15">
        <v>1.05</v>
      </c>
      <c r="Q17" s="15">
        <v>1</v>
      </c>
      <c r="R17" s="15">
        <f t="shared" si="3"/>
        <v>0.75</v>
      </c>
      <c r="S17" s="60">
        <f t="shared" si="4"/>
        <v>31</v>
      </c>
      <c r="T17" s="24">
        <f t="shared" si="5"/>
        <v>1.4509525002200232</v>
      </c>
      <c r="U17" s="24">
        <f t="shared" si="6"/>
        <v>1.3559322033898304</v>
      </c>
      <c r="V17" s="24">
        <f t="shared" si="7"/>
        <v>1</v>
      </c>
      <c r="W17" s="61">
        <f>0.7/0.6*J17</f>
        <v>45.5</v>
      </c>
      <c r="X17" s="15">
        <v>9</v>
      </c>
      <c r="Y17" s="86">
        <f t="shared" si="9"/>
        <v>0.5567277084540817</v>
      </c>
      <c r="Z17" s="86">
        <f>IF(X17&lt;5,1,0.99+(X17^1.5/1000))</f>
        <v>1.0169999999999999</v>
      </c>
      <c r="AA17" s="87">
        <f>Y17+Z17*W17</f>
        <v>46.830227708454082</v>
      </c>
      <c r="AB17" s="62">
        <v>4.4999999999999998E-2</v>
      </c>
      <c r="AC17" s="88">
        <f>IF(E17&lt;9.15,1-0.00765*E17,1.174-0.0267*E17)</f>
        <v>0.98011000000000004</v>
      </c>
      <c r="AD17" s="89">
        <f>0.65*AB17*(M17/N17)*AC17</f>
        <v>2.806467607894737E-2</v>
      </c>
      <c r="AE17" s="88" t="e">
        <f>2.2*AI17</f>
        <v>#N/A</v>
      </c>
      <c r="AF17" s="89" t="e">
        <f>1.76*AI17</f>
        <v>#N/A</v>
      </c>
      <c r="AG17" s="89" t="e">
        <f>1.44*AI17</f>
        <v>#N/A</v>
      </c>
      <c r="AH17" s="53" t="e">
        <f t="shared" si="13"/>
        <v>#N/A</v>
      </c>
      <c r="AI17" s="53" t="e">
        <f>IF(AND(AA17&lt;=30,OR(I17="SAND",I17="GRAVEL")),(0.048+-0.004721*AA17+0.0006136*AA17^2+-0.00001673*AA17^3)/(1+-0.1248*AA17+0.009578*AA17^2+-0.0003285*AA17^3+0.000003714*AA17^4),#N/A)</f>
        <v>#N/A</v>
      </c>
      <c r="AJ17" s="53" t="e">
        <f t="shared" si="14"/>
        <v>#N/A</v>
      </c>
      <c r="AK17" s="53" t="e">
        <f>0.89*AI17</f>
        <v>#N/A</v>
      </c>
      <c r="AL17" s="27" t="str">
        <f t="shared" si="15"/>
        <v>not applicable</v>
      </c>
      <c r="AM17" s="27" t="str">
        <f t="shared" si="15"/>
        <v>not applicable</v>
      </c>
      <c r="AN17" s="27" t="str">
        <f t="shared" si="15"/>
        <v>not applicable</v>
      </c>
      <c r="AO17" s="27"/>
      <c r="AP17" s="27"/>
      <c r="AQ17" s="27"/>
      <c r="AR17" s="27"/>
      <c r="AS17" s="73"/>
      <c r="AT17" s="73"/>
      <c r="AU17" s="76"/>
      <c r="AX17" s="93">
        <f>IF(OR(AN17&gt;1,AN17="not applicable"),0,1-AN17)</f>
        <v>0</v>
      </c>
      <c r="AY17" s="29">
        <f>10-(0.5*E17)</f>
        <v>8.6999999999999993</v>
      </c>
      <c r="AZ17" s="29">
        <f>E17-E16</f>
        <v>1</v>
      </c>
      <c r="BA17" s="30">
        <f>AZ17*AY17*AX17</f>
        <v>0</v>
      </c>
      <c r="BB17" s="306"/>
    </row>
    <row r="18" spans="2:54" ht="12" hidden="1" thickBot="1">
      <c r="B18" s="74"/>
      <c r="C18" s="15" t="s">
        <v>90</v>
      </c>
      <c r="D18" s="15">
        <v>2.7</v>
      </c>
      <c r="E18" s="16">
        <v>3.6</v>
      </c>
      <c r="F18" s="15">
        <v>2.5249999999999999</v>
      </c>
      <c r="G18" s="85">
        <f>F18-E18</f>
        <v>-1.0750000000000002</v>
      </c>
      <c r="H18" s="20" t="s">
        <v>10</v>
      </c>
      <c r="I18" s="21" t="s">
        <v>11</v>
      </c>
      <c r="J18" s="15"/>
      <c r="K18" s="15">
        <v>21</v>
      </c>
      <c r="L18" s="15">
        <v>21</v>
      </c>
      <c r="M18" s="86">
        <f>K18*D18+L18*(E18-D18)</f>
        <v>75.599999999999994</v>
      </c>
      <c r="N18" s="86">
        <f>K18*D18+(L18-10)*(E18-D18)</f>
        <v>66.599999999999994</v>
      </c>
      <c r="O18" s="23">
        <v>60</v>
      </c>
      <c r="P18" s="15">
        <v>1.05</v>
      </c>
      <c r="Q18" s="15">
        <v>1</v>
      </c>
      <c r="R18" s="15">
        <f t="shared" si="3"/>
        <v>0.75</v>
      </c>
      <c r="S18" s="60">
        <f t="shared" si="4"/>
        <v>0</v>
      </c>
      <c r="T18" s="24">
        <f t="shared" si="5"/>
        <v>1.2253577034896797</v>
      </c>
      <c r="U18" s="24">
        <f t="shared" si="6"/>
        <v>1.2004801920768309</v>
      </c>
      <c r="V18" s="24">
        <f t="shared" si="7"/>
        <v>1</v>
      </c>
      <c r="W18" s="61">
        <f>0.7/0.6*J18</f>
        <v>0</v>
      </c>
      <c r="X18" s="15"/>
      <c r="Y18" s="86">
        <f t="shared" si="9"/>
        <v>0</v>
      </c>
      <c r="Z18" s="86">
        <f>IF(X18&lt;5,1,0.99+(X18^1.5/1000))</f>
        <v>1</v>
      </c>
      <c r="AA18" s="87">
        <f>Y18+Z18*W18</f>
        <v>0</v>
      </c>
      <c r="AB18" s="62">
        <v>4.4999999999999998E-2</v>
      </c>
      <c r="AC18" s="88">
        <f>IF(E18&lt;9.15,1-0.00765*E18,1.174-0.0267*E18)</f>
        <v>0.97245999999999999</v>
      </c>
      <c r="AD18" s="89">
        <f>0.65*AB18*(M18/N18)*AC18</f>
        <v>3.228830027027027E-2</v>
      </c>
      <c r="AE18" s="88">
        <f>2.2*AI18</f>
        <v>0.10560000000000001</v>
      </c>
      <c r="AF18" s="89">
        <f>1.76*AI18</f>
        <v>8.448E-2</v>
      </c>
      <c r="AG18" s="89">
        <f>1.44*AI18</f>
        <v>6.9120000000000001E-2</v>
      </c>
      <c r="AH18" s="53">
        <f t="shared" si="13"/>
        <v>5.7119999999999997E-2</v>
      </c>
      <c r="AI18" s="53">
        <f>IF(AND(AA18&lt;=30,OR(I18="SAND",I18="GRAVEL")),(0.048+-0.004721*AA18+0.0006136*AA18^2+-0.00001673*AA18^3)/(1+-0.1248*AA18+0.009578*AA18^2+-0.0003285*AA18^3+0.000003714*AA18^4),#N/A)</f>
        <v>4.8000000000000001E-2</v>
      </c>
      <c r="AJ18" s="53">
        <f t="shared" si="14"/>
        <v>4.512E-2</v>
      </c>
      <c r="AK18" s="53">
        <f>0.89*AI18</f>
        <v>4.2720000000000001E-2</v>
      </c>
      <c r="AL18" s="27">
        <f t="shared" si="15"/>
        <v>2.7254454171756688</v>
      </c>
      <c r="AM18" s="27">
        <f t="shared" si="15"/>
        <v>2.1803563337405349</v>
      </c>
      <c r="AN18" s="27">
        <f t="shared" si="15"/>
        <v>1.7839279094240741</v>
      </c>
      <c r="AO18" s="27"/>
      <c r="AP18" s="27"/>
      <c r="AQ18" s="27"/>
      <c r="AR18" s="27"/>
      <c r="AS18" s="73"/>
      <c r="AT18" s="73"/>
      <c r="AU18" s="76"/>
      <c r="AX18" s="94">
        <f>IF(OR(AN18&gt;1,AN18="not applicable"),0,1-AN18)</f>
        <v>0</v>
      </c>
      <c r="AY18" s="95">
        <f>10-(0.5*E18)</f>
        <v>8.1999999999999993</v>
      </c>
      <c r="AZ18" s="95">
        <f>E18-E17</f>
        <v>1</v>
      </c>
      <c r="BA18" s="96">
        <f>AZ18*AY18*AX18</f>
        <v>0</v>
      </c>
      <c r="BB18" s="307"/>
    </row>
    <row r="19" spans="2:54" ht="14.25" customHeight="1">
      <c r="B19" s="74"/>
      <c r="C19" s="97" t="s">
        <v>25</v>
      </c>
      <c r="D19" s="75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6"/>
    </row>
    <row r="20" spans="2:54" ht="13.5" customHeight="1">
      <c r="B20" s="74"/>
      <c r="C20" s="98">
        <v>1</v>
      </c>
      <c r="D20" s="99" t="e">
        <v>#N/A</v>
      </c>
      <c r="E20" s="99" t="s">
        <v>19</v>
      </c>
      <c r="F20" s="46" t="s">
        <v>76</v>
      </c>
      <c r="G20" s="99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6"/>
    </row>
    <row r="21" spans="2:54">
      <c r="B21" s="74"/>
      <c r="C21" s="98">
        <v>2</v>
      </c>
      <c r="D21" s="73" t="s">
        <v>83</v>
      </c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6"/>
    </row>
    <row r="22" spans="2:54">
      <c r="B22" s="74"/>
      <c r="C22" s="98">
        <v>3</v>
      </c>
      <c r="D22" s="73" t="s">
        <v>22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6"/>
    </row>
    <row r="23" spans="2:54">
      <c r="B23" s="74"/>
      <c r="C23" s="98">
        <v>4</v>
      </c>
      <c r="D23" s="73" t="s">
        <v>24</v>
      </c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6"/>
    </row>
    <row r="24" spans="2:54">
      <c r="B24" s="74"/>
      <c r="C24" s="98">
        <v>5</v>
      </c>
      <c r="D24" s="73" t="s">
        <v>84</v>
      </c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6"/>
    </row>
    <row r="25" spans="2:54">
      <c r="B25" s="7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6"/>
    </row>
    <row r="26" spans="2:54">
      <c r="B26" s="74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6"/>
    </row>
    <row r="27" spans="2:54">
      <c r="B27" s="74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6"/>
    </row>
    <row r="28" spans="2:54">
      <c r="B28" s="74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6"/>
    </row>
    <row r="29" spans="2:54">
      <c r="B29" s="74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6"/>
    </row>
    <row r="30" spans="2:54">
      <c r="B30" s="74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6"/>
    </row>
    <row r="31" spans="2:54">
      <c r="B31" s="74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6"/>
    </row>
    <row r="32" spans="2:54">
      <c r="B32" s="74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6"/>
    </row>
    <row r="33" spans="2:47">
      <c r="B33" s="74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6"/>
    </row>
    <row r="34" spans="2:47">
      <c r="B34" s="74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6"/>
    </row>
    <row r="35" spans="2:47">
      <c r="B35" s="74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6"/>
    </row>
    <row r="36" spans="2:47">
      <c r="B36" s="74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6"/>
    </row>
    <row r="37" spans="2:47">
      <c r="B37" s="74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6"/>
    </row>
    <row r="38" spans="2:47">
      <c r="B38" s="74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6"/>
    </row>
    <row r="39" spans="2:47">
      <c r="B39" s="74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6"/>
    </row>
    <row r="40" spans="2:47">
      <c r="B40" s="74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6"/>
    </row>
    <row r="41" spans="2:47">
      <c r="B41" s="74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6"/>
    </row>
    <row r="42" spans="2:47">
      <c r="B42" s="74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6"/>
    </row>
    <row r="43" spans="2:47">
      <c r="B43" s="100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  <c r="AI43" s="101"/>
      <c r="AJ43" s="101"/>
      <c r="AK43" s="101"/>
      <c r="AL43" s="101"/>
      <c r="AM43" s="101"/>
      <c r="AN43" s="101"/>
      <c r="AO43" s="101"/>
      <c r="AP43" s="101"/>
      <c r="AQ43" s="101"/>
      <c r="AR43" s="101"/>
      <c r="AS43" s="101"/>
      <c r="AT43" s="101"/>
      <c r="AU43" s="102"/>
    </row>
    <row r="45" spans="2:47">
      <c r="C45" s="103"/>
      <c r="D45" s="103"/>
      <c r="E45" s="103"/>
      <c r="F45" s="103"/>
      <c r="G45" s="103"/>
      <c r="H45" s="104"/>
      <c r="I45" s="104"/>
      <c r="J45" s="103"/>
      <c r="K45" s="103"/>
      <c r="L45" s="10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105"/>
      <c r="Y45" s="73"/>
      <c r="Z45" s="73"/>
      <c r="AA45" s="73"/>
      <c r="AB45" s="73"/>
    </row>
    <row r="46" spans="2:47"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105"/>
      <c r="Y46" s="73"/>
      <c r="Z46" s="73"/>
      <c r="AA46" s="73"/>
      <c r="AB46" s="73"/>
    </row>
    <row r="47" spans="2:47">
      <c r="C47" s="106"/>
      <c r="D47" s="107"/>
      <c r="E47" s="108"/>
      <c r="F47" s="108"/>
      <c r="G47" s="108"/>
      <c r="H47" s="109"/>
      <c r="I47" s="109"/>
      <c r="J47" s="106"/>
      <c r="K47" s="99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105"/>
      <c r="Y47" s="73"/>
      <c r="Z47" s="73"/>
      <c r="AA47" s="73"/>
      <c r="AB47" s="73"/>
    </row>
    <row r="48" spans="2:47">
      <c r="C48" s="106"/>
      <c r="D48" s="107"/>
      <c r="E48" s="108"/>
      <c r="F48" s="108"/>
      <c r="G48" s="108"/>
      <c r="H48" s="109"/>
      <c r="I48" s="109"/>
      <c r="J48" s="106"/>
      <c r="K48" s="99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</row>
    <row r="49" spans="3:28">
      <c r="C49" s="106"/>
      <c r="D49" s="107"/>
      <c r="E49" s="108"/>
      <c r="F49" s="108"/>
      <c r="G49" s="108"/>
      <c r="H49" s="109"/>
      <c r="I49" s="109"/>
      <c r="J49" s="106"/>
      <c r="K49" s="99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</row>
    <row r="50" spans="3:28">
      <c r="C50" s="106"/>
      <c r="D50" s="107"/>
      <c r="E50" s="108"/>
      <c r="F50" s="108"/>
      <c r="G50" s="108"/>
      <c r="H50" s="109"/>
      <c r="I50" s="109"/>
      <c r="J50" s="106"/>
      <c r="K50" s="99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</row>
    <row r="51" spans="3:28">
      <c r="C51" s="106"/>
      <c r="D51" s="107"/>
      <c r="E51" s="108"/>
      <c r="F51" s="108"/>
      <c r="G51" s="108"/>
      <c r="H51" s="109"/>
      <c r="I51" s="109"/>
      <c r="J51" s="106"/>
      <c r="K51" s="99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</row>
    <row r="52" spans="3:28">
      <c r="C52" s="106"/>
      <c r="D52" s="107"/>
      <c r="E52" s="108"/>
      <c r="F52" s="108"/>
      <c r="G52" s="108"/>
      <c r="H52" s="109"/>
      <c r="I52" s="109"/>
      <c r="J52" s="106"/>
      <c r="K52" s="99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</row>
    <row r="53" spans="3:28">
      <c r="C53" s="106"/>
      <c r="D53" s="107"/>
      <c r="E53" s="108"/>
      <c r="F53" s="108"/>
      <c r="G53" s="108"/>
      <c r="H53" s="109"/>
      <c r="I53" s="109"/>
      <c r="J53" s="106"/>
      <c r="K53" s="99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</row>
    <row r="54" spans="3:28">
      <c r="C54" s="106"/>
      <c r="D54" s="107"/>
      <c r="E54" s="108"/>
      <c r="F54" s="108"/>
      <c r="G54" s="108"/>
      <c r="H54" s="109"/>
      <c r="I54" s="109"/>
      <c r="J54" s="106"/>
      <c r="K54" s="99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</row>
    <row r="55" spans="3:28">
      <c r="C55" s="106"/>
      <c r="D55" s="107"/>
      <c r="E55" s="108"/>
      <c r="F55" s="108"/>
      <c r="G55" s="108"/>
      <c r="H55" s="109"/>
      <c r="I55" s="109"/>
      <c r="J55" s="106"/>
      <c r="K55" s="99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</row>
    <row r="56" spans="3:28">
      <c r="C56" s="110"/>
      <c r="D56" s="111"/>
      <c r="E56" s="112"/>
      <c r="F56" s="112"/>
      <c r="G56" s="112"/>
      <c r="H56" s="113"/>
      <c r="I56" s="113"/>
      <c r="J56" s="110"/>
      <c r="K56" s="99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</row>
    <row r="57" spans="3:28">
      <c r="C57" s="110"/>
      <c r="D57" s="111"/>
      <c r="E57" s="112"/>
      <c r="F57" s="112"/>
      <c r="G57" s="112"/>
      <c r="H57" s="113"/>
      <c r="I57" s="113"/>
      <c r="J57" s="110"/>
      <c r="K57" s="99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</row>
    <row r="58" spans="3:28">
      <c r="C58" s="110"/>
      <c r="D58" s="111"/>
      <c r="E58" s="112"/>
      <c r="F58" s="112"/>
      <c r="G58" s="112"/>
      <c r="H58" s="113"/>
      <c r="I58" s="113"/>
      <c r="J58" s="110"/>
      <c r="K58" s="99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</row>
    <row r="59" spans="3:28">
      <c r="C59" s="110"/>
      <c r="D59" s="111"/>
      <c r="E59" s="112"/>
      <c r="F59" s="112"/>
      <c r="G59" s="112"/>
      <c r="H59" s="113"/>
      <c r="I59" s="113"/>
      <c r="J59" s="110"/>
      <c r="K59" s="99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</row>
    <row r="60" spans="3:28">
      <c r="C60" s="110"/>
      <c r="D60" s="111"/>
      <c r="E60" s="112"/>
      <c r="F60" s="112"/>
      <c r="G60" s="112"/>
      <c r="H60" s="113"/>
      <c r="I60" s="113"/>
      <c r="J60" s="110"/>
      <c r="K60" s="99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</row>
    <row r="61" spans="3:28">
      <c r="C61" s="110"/>
      <c r="D61" s="111"/>
      <c r="E61" s="112"/>
      <c r="F61" s="112"/>
      <c r="G61" s="112"/>
      <c r="H61" s="113"/>
      <c r="I61" s="113"/>
      <c r="J61" s="110"/>
      <c r="K61" s="99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</row>
    <row r="62" spans="3:28">
      <c r="C62" s="110"/>
      <c r="D62" s="111"/>
      <c r="E62" s="112"/>
      <c r="F62" s="112"/>
      <c r="G62" s="112"/>
      <c r="H62" s="113"/>
      <c r="I62" s="113"/>
      <c r="J62" s="110"/>
      <c r="K62" s="99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</row>
    <row r="63" spans="3:28">
      <c r="C63" s="110"/>
      <c r="D63" s="111"/>
      <c r="E63" s="112"/>
      <c r="F63" s="112"/>
      <c r="G63" s="112"/>
      <c r="H63" s="113"/>
      <c r="I63" s="113"/>
      <c r="J63" s="110"/>
      <c r="K63" s="99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</row>
    <row r="64" spans="3:28">
      <c r="C64" s="110"/>
      <c r="D64" s="111"/>
      <c r="E64" s="112"/>
      <c r="F64" s="112"/>
      <c r="G64" s="112"/>
      <c r="H64" s="113"/>
      <c r="I64" s="113"/>
      <c r="J64" s="110"/>
      <c r="K64" s="99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</row>
    <row r="65" spans="3:28">
      <c r="C65" s="110"/>
      <c r="D65" s="111"/>
      <c r="E65" s="112"/>
      <c r="F65" s="112"/>
      <c r="G65" s="112"/>
      <c r="H65" s="113"/>
      <c r="I65" s="113"/>
      <c r="J65" s="110"/>
      <c r="K65" s="99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</row>
  </sheetData>
  <mergeCells count="4">
    <mergeCell ref="AX5:BB5"/>
    <mergeCell ref="BB8:BB11"/>
    <mergeCell ref="BB12:BB14"/>
    <mergeCell ref="BB15:BB18"/>
  </mergeCells>
  <pageMargins left="0.7" right="0.7" top="0.75" bottom="0.75" header="0.3" footer="0.3"/>
  <pageSetup paperSize="9" scale="53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A48C1-85B6-4544-9EEB-E9F3EC17B040}">
  <dimension ref="B1:BB66"/>
  <sheetViews>
    <sheetView view="pageBreakPreview" zoomScale="150" zoomScaleNormal="100" zoomScaleSheetLayoutView="150" workbookViewId="0">
      <selection activeCell="N28" sqref="N28"/>
    </sheetView>
  </sheetViews>
  <sheetFormatPr defaultColWidth="9.1796875" defaultRowHeight="11.5"/>
  <cols>
    <col min="1" max="2" width="1.81640625" style="6" customWidth="1"/>
    <col min="3" max="3" width="7.1796875" style="6" customWidth="1"/>
    <col min="4" max="5" width="6.1796875" style="6" customWidth="1"/>
    <col min="6" max="6" width="10" style="6" customWidth="1"/>
    <col min="7" max="7" width="8.81640625" style="6" customWidth="1"/>
    <col min="8" max="8" width="4" style="6" bestFit="1" customWidth="1"/>
    <col min="9" max="9" width="5.81640625" style="6" bestFit="1" customWidth="1"/>
    <col min="10" max="11" width="7.54296875" style="6" customWidth="1"/>
    <col min="12" max="12" width="7.81640625" style="6" customWidth="1"/>
    <col min="13" max="14" width="7.54296875" style="6" customWidth="1"/>
    <col min="15" max="17" width="7.54296875" style="6" hidden="1" customWidth="1"/>
    <col min="18" max="18" width="5" style="6" hidden="1" customWidth="1"/>
    <col min="19" max="19" width="3.453125" style="6" hidden="1" customWidth="1"/>
    <col min="20" max="20" width="7.81640625" style="6" hidden="1" customWidth="1"/>
    <col min="21" max="21" width="7.1796875" style="6" hidden="1" customWidth="1"/>
    <col min="22" max="22" width="10.1796875" style="6" hidden="1" customWidth="1"/>
    <col min="23" max="23" width="5.1796875" style="6" hidden="1" customWidth="1"/>
    <col min="24" max="24" width="6.1796875" style="6" customWidth="1"/>
    <col min="25" max="26" width="5.1796875" style="6" customWidth="1"/>
    <col min="27" max="28" width="7.54296875" style="6" customWidth="1"/>
    <col min="29" max="30" width="5.453125" style="6" bestFit="1" customWidth="1"/>
    <col min="31" max="31" width="6.1796875" style="6" hidden="1" customWidth="1"/>
    <col min="32" max="32" width="5.453125" style="6" hidden="1" customWidth="1"/>
    <col min="33" max="33" width="6.1796875" style="6" bestFit="1" customWidth="1"/>
    <col min="34" max="34" width="5.453125" style="6" hidden="1" customWidth="1"/>
    <col min="35" max="35" width="6.1796875" style="6" hidden="1" customWidth="1"/>
    <col min="36" max="36" width="5.453125" style="6" hidden="1" customWidth="1"/>
    <col min="37" max="37" width="6.1796875" style="6" hidden="1" customWidth="1"/>
    <col min="38" max="39" width="6.81640625" style="6" hidden="1" customWidth="1"/>
    <col min="40" max="40" width="14.81640625" style="6" customWidth="1"/>
    <col min="41" max="44" width="6.81640625" style="6" hidden="1" customWidth="1"/>
    <col min="45" max="47" width="4.453125" style="6" customWidth="1"/>
    <col min="48" max="48" width="4.453125" style="73" customWidth="1"/>
    <col min="49" max="49" width="4.453125" style="6" customWidth="1"/>
    <col min="50" max="53" width="9.1796875" style="6"/>
    <col min="54" max="54" width="12.54296875" style="6" customWidth="1"/>
    <col min="55" max="16384" width="9.1796875" style="6"/>
  </cols>
  <sheetData>
    <row r="1" spans="2:54" ht="6.75" customHeight="1">
      <c r="AV1" s="6"/>
    </row>
    <row r="2" spans="2:54" ht="6.75" customHeight="1">
      <c r="B2" s="70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2"/>
    </row>
    <row r="3" spans="2:54">
      <c r="B3" s="74"/>
      <c r="C3" s="75" t="s">
        <v>27</v>
      </c>
      <c r="D3" s="75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6"/>
    </row>
    <row r="4" spans="2:54" ht="12.5" thickBot="1">
      <c r="B4" s="74"/>
      <c r="C4" s="77" t="s">
        <v>77</v>
      </c>
      <c r="D4" s="77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6"/>
    </row>
    <row r="5" spans="2:54">
      <c r="B5" s="74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6"/>
      <c r="AX5" s="302" t="s">
        <v>47</v>
      </c>
      <c r="AY5" s="303"/>
      <c r="AZ5" s="303"/>
      <c r="BA5" s="303"/>
      <c r="BB5" s="304"/>
    </row>
    <row r="6" spans="2:54" ht="13.5">
      <c r="B6" s="74"/>
      <c r="C6" s="1" t="s">
        <v>4</v>
      </c>
      <c r="D6" s="1" t="s">
        <v>20</v>
      </c>
      <c r="E6" s="1" t="s">
        <v>5</v>
      </c>
      <c r="F6" s="2" t="s">
        <v>45</v>
      </c>
      <c r="G6" s="2" t="s">
        <v>46</v>
      </c>
      <c r="H6" s="3" t="s">
        <v>26</v>
      </c>
      <c r="I6" s="4"/>
      <c r="J6" s="1" t="s">
        <v>6</v>
      </c>
      <c r="K6" s="1" t="s">
        <v>48</v>
      </c>
      <c r="L6" s="1" t="s">
        <v>49</v>
      </c>
      <c r="M6" s="5" t="s">
        <v>50</v>
      </c>
      <c r="N6" s="5" t="s">
        <v>51</v>
      </c>
      <c r="O6" s="1" t="s">
        <v>52</v>
      </c>
      <c r="P6" s="1" t="s">
        <v>53</v>
      </c>
      <c r="Q6" s="1" t="s">
        <v>54</v>
      </c>
      <c r="R6" s="1" t="s">
        <v>55</v>
      </c>
      <c r="S6" s="1" t="s">
        <v>56</v>
      </c>
      <c r="T6" s="1" t="s">
        <v>57</v>
      </c>
      <c r="U6" s="1" t="s">
        <v>58</v>
      </c>
      <c r="V6" s="1" t="s">
        <v>21</v>
      </c>
      <c r="W6" s="1" t="s">
        <v>59</v>
      </c>
      <c r="X6" s="1" t="s">
        <v>3</v>
      </c>
      <c r="Y6" s="1" t="s">
        <v>1</v>
      </c>
      <c r="Z6" s="1" t="s">
        <v>2</v>
      </c>
      <c r="AA6" s="1" t="s">
        <v>60</v>
      </c>
      <c r="AB6" s="1" t="s">
        <v>61</v>
      </c>
      <c r="AC6" s="1" t="s">
        <v>62</v>
      </c>
      <c r="AD6" s="1" t="s">
        <v>0</v>
      </c>
      <c r="AE6" s="1" t="s">
        <v>63</v>
      </c>
      <c r="AF6" s="1" t="s">
        <v>64</v>
      </c>
      <c r="AG6" s="1" t="s">
        <v>65</v>
      </c>
      <c r="AH6" s="1" t="s">
        <v>66</v>
      </c>
      <c r="AI6" s="1" t="s">
        <v>67</v>
      </c>
      <c r="AJ6" s="1" t="s">
        <v>68</v>
      </c>
      <c r="AK6" s="1" t="s">
        <v>69</v>
      </c>
      <c r="AL6" s="67"/>
      <c r="AM6" s="68"/>
      <c r="AN6" s="11" t="s">
        <v>23</v>
      </c>
      <c r="AO6" s="68"/>
      <c r="AP6" s="68"/>
      <c r="AQ6" s="68"/>
      <c r="AR6" s="69"/>
      <c r="AS6" s="73"/>
      <c r="AT6" s="73"/>
      <c r="AU6" s="76"/>
      <c r="AX6" s="78" t="s">
        <v>32</v>
      </c>
      <c r="AY6" s="1" t="s">
        <v>29</v>
      </c>
      <c r="AZ6" s="1" t="s">
        <v>28</v>
      </c>
      <c r="BA6" s="1" t="s">
        <v>31</v>
      </c>
      <c r="BB6" s="79" t="s">
        <v>70</v>
      </c>
    </row>
    <row r="7" spans="2:54" ht="15" thickBot="1">
      <c r="B7" s="74"/>
      <c r="C7" s="7"/>
      <c r="D7" s="7" t="s">
        <v>7</v>
      </c>
      <c r="E7" s="7" t="s">
        <v>7</v>
      </c>
      <c r="F7" s="8" t="s">
        <v>78</v>
      </c>
      <c r="G7" s="8" t="s">
        <v>79</v>
      </c>
      <c r="H7" s="8"/>
      <c r="I7" s="9"/>
      <c r="J7" s="7" t="s">
        <v>8</v>
      </c>
      <c r="K7" s="7" t="s">
        <v>71</v>
      </c>
      <c r="L7" s="7" t="s">
        <v>71</v>
      </c>
      <c r="M7" s="7" t="s">
        <v>72</v>
      </c>
      <c r="N7" s="7" t="s">
        <v>72</v>
      </c>
      <c r="O7" s="7" t="s">
        <v>9</v>
      </c>
      <c r="P7" s="7"/>
      <c r="Q7" s="7"/>
      <c r="R7" s="7"/>
      <c r="S7" s="7"/>
      <c r="T7" s="7">
        <v>1986</v>
      </c>
      <c r="U7" s="7">
        <v>1986</v>
      </c>
      <c r="V7" s="7" t="s">
        <v>73</v>
      </c>
      <c r="W7" s="7"/>
      <c r="X7" s="7" t="s">
        <v>9</v>
      </c>
      <c r="Y7" s="7"/>
      <c r="Z7" s="7"/>
      <c r="AA7" s="7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1" t="s">
        <v>12</v>
      </c>
      <c r="AM7" s="11" t="s">
        <v>13</v>
      </c>
      <c r="AN7" s="11" t="s">
        <v>14</v>
      </c>
      <c r="AO7" s="11" t="s">
        <v>15</v>
      </c>
      <c r="AP7" s="11" t="s">
        <v>16</v>
      </c>
      <c r="AQ7" s="11" t="s">
        <v>17</v>
      </c>
      <c r="AR7" s="11" t="s">
        <v>18</v>
      </c>
      <c r="AS7" s="73"/>
      <c r="AT7" s="73"/>
      <c r="AU7" s="76"/>
      <c r="AX7" s="80" t="s">
        <v>74</v>
      </c>
      <c r="AY7" s="81" t="s">
        <v>30</v>
      </c>
      <c r="AZ7" s="82"/>
      <c r="BA7" s="82"/>
      <c r="BB7" s="83" t="s">
        <v>75</v>
      </c>
    </row>
    <row r="8" spans="2:54">
      <c r="B8" s="74"/>
      <c r="C8" s="15" t="s">
        <v>91</v>
      </c>
      <c r="D8" s="16">
        <v>3.4</v>
      </c>
      <c r="E8" s="84">
        <v>0.6</v>
      </c>
      <c r="F8" s="18">
        <v>3.09</v>
      </c>
      <c r="G8" s="85">
        <f t="shared" ref="G8:G15" si="0">F8-E8</f>
        <v>2.4899999999999998</v>
      </c>
      <c r="H8" s="20" t="s">
        <v>10</v>
      </c>
      <c r="I8" s="21" t="s">
        <v>11</v>
      </c>
      <c r="J8" s="18">
        <v>20</v>
      </c>
      <c r="K8" s="15">
        <v>18</v>
      </c>
      <c r="L8" s="15">
        <v>21</v>
      </c>
      <c r="M8" s="86">
        <f t="shared" ref="M8:M15" si="1">K8*D8+L8*(E8-D8)</f>
        <v>2.3999999999999986</v>
      </c>
      <c r="N8" s="86">
        <f t="shared" ref="N8:N15" si="2">K8*D8+(L8-10)*(E8-D8)</f>
        <v>30.4</v>
      </c>
      <c r="O8" s="23">
        <v>60</v>
      </c>
      <c r="P8" s="15">
        <v>1.05</v>
      </c>
      <c r="Q8" s="15">
        <v>1</v>
      </c>
      <c r="R8" s="15">
        <f t="shared" ref="R8:R19" si="3">IF(E8&lt;4,0.75,IF(AND(E8&gt;=4,E8&lt;6),0.85,IF(AND(E8&gt;=6,E8&lt;10),0.95,IF(E8&gt;=10,1))))</f>
        <v>0.75</v>
      </c>
      <c r="S8" s="60">
        <f t="shared" ref="S8:S19" si="4">ROUND((J8*O8*P8*Q8*R8)/60,0)</f>
        <v>16</v>
      </c>
      <c r="T8" s="24">
        <f t="shared" ref="T8:T19" si="5">SQRT(1/(N8/100))</f>
        <v>1.8136906252750293</v>
      </c>
      <c r="U8" s="24">
        <f t="shared" ref="U8:U19" si="6">2/(1+N8/100)</f>
        <v>1.5337423312883436</v>
      </c>
      <c r="V8" s="24">
        <f t="shared" ref="V8:V19" si="7">IF(U8&gt;1,1,U8)</f>
        <v>1</v>
      </c>
      <c r="W8" s="61">
        <f t="shared" ref="W8:W15" si="8">0.7/0.6*J8</f>
        <v>23.333333333333336</v>
      </c>
      <c r="X8" s="15">
        <v>29.2</v>
      </c>
      <c r="Y8" s="86">
        <f t="shared" ref="Y8:Y19" si="9">IF(X8&lt;5,0,EXP(1.76-(190/X8^2)))</f>
        <v>4.6513741621746405</v>
      </c>
      <c r="Z8" s="86">
        <f t="shared" ref="Z8:Z15" si="10">IF(X8&lt;5,1,0.99+(X8^1.5/1000))</f>
        <v>1.1477881110857213</v>
      </c>
      <c r="AA8" s="87">
        <f t="shared" ref="AA8:AA15" si="11">Y8+Z8*W8</f>
        <v>31.433096754174809</v>
      </c>
      <c r="AB8" s="62">
        <v>4.4999999999999998E-2</v>
      </c>
      <c r="AC8" s="88">
        <f t="shared" ref="AC8:AC15" si="12">IF(E8&lt;9.15,1-0.00765*E8,1.174-0.0267*E8)</f>
        <v>0.99541000000000002</v>
      </c>
      <c r="AD8" s="89">
        <f>0.65*AB8*(M8/N8)*AC8</f>
        <v>2.2986112499999989E-3</v>
      </c>
      <c r="AE8" s="88" t="e">
        <f>2.2*AI8</f>
        <v>#N/A</v>
      </c>
      <c r="AF8" s="89" t="e">
        <f>1.76*AI8</f>
        <v>#N/A</v>
      </c>
      <c r="AG8" s="89" t="e">
        <f>1.44*AI8</f>
        <v>#N/A</v>
      </c>
      <c r="AH8" s="53" t="e">
        <f t="shared" ref="AH8:AH19" si="13">1.19*AI8</f>
        <v>#N/A</v>
      </c>
      <c r="AI8" s="53" t="e">
        <f>IF(AND(AA8&lt;=30,OR(I8="SAND",I8="GRAVEL")),(0.048+-0.004721*AA8+0.0006136*AA8^2+-0.00001673*AA8^3)/(1+-0.1248*AA8+0.009578*AA8^2+-0.0003285*AA8^3+0.000003714*AA8^4),#N/A)</f>
        <v>#N/A</v>
      </c>
      <c r="AJ8" s="53" t="e">
        <f t="shared" ref="AJ8:AJ19" si="14">0.94*AI8</f>
        <v>#N/A</v>
      </c>
      <c r="AK8" s="53" t="e">
        <f>0.89*AI8</f>
        <v>#N/A</v>
      </c>
      <c r="AL8" s="27" t="str">
        <f t="shared" ref="AL8:AR19" si="15">IF(ISNA(AE8),"not applicable",AE8/(1.2*$AD8))</f>
        <v>not applicable</v>
      </c>
      <c r="AM8" s="27" t="str">
        <f t="shared" si="15"/>
        <v>not applicable</v>
      </c>
      <c r="AN8" s="27" t="str">
        <f t="shared" si="15"/>
        <v>not applicable</v>
      </c>
      <c r="AO8" s="27" t="str">
        <f t="shared" si="15"/>
        <v>not applicable</v>
      </c>
      <c r="AP8" s="27" t="str">
        <f t="shared" si="15"/>
        <v>not applicable</v>
      </c>
      <c r="AQ8" s="27" t="str">
        <f t="shared" si="15"/>
        <v>not applicable</v>
      </c>
      <c r="AR8" s="27" t="str">
        <f t="shared" si="15"/>
        <v>not applicable</v>
      </c>
      <c r="AS8" s="73"/>
      <c r="AT8" s="73"/>
      <c r="AU8" s="76"/>
      <c r="AX8" s="90">
        <f>IF(OR(AN8&gt;1,AN8="not applicable"),0,1-AN8)</f>
        <v>0</v>
      </c>
      <c r="AY8" s="91">
        <f>10-(0.5*E8)</f>
        <v>9.6999999999999993</v>
      </c>
      <c r="AZ8" s="91">
        <f>E8</f>
        <v>0.6</v>
      </c>
      <c r="BA8" s="92">
        <f>AZ8*AY8*AX8</f>
        <v>0</v>
      </c>
      <c r="BB8" s="305">
        <f>SUM(BA8:BA11)</f>
        <v>0</v>
      </c>
    </row>
    <row r="9" spans="2:54">
      <c r="B9" s="74"/>
      <c r="C9" s="15" t="s">
        <v>91</v>
      </c>
      <c r="D9" s="16">
        <v>3.4</v>
      </c>
      <c r="E9" s="84">
        <v>1.6</v>
      </c>
      <c r="F9" s="18">
        <v>3.09</v>
      </c>
      <c r="G9" s="85">
        <f t="shared" si="0"/>
        <v>1.4899999999999998</v>
      </c>
      <c r="H9" s="20" t="s">
        <v>10</v>
      </c>
      <c r="I9" s="21" t="s">
        <v>11</v>
      </c>
      <c r="J9" s="18">
        <v>22</v>
      </c>
      <c r="K9" s="15">
        <v>18</v>
      </c>
      <c r="L9" s="15">
        <v>21</v>
      </c>
      <c r="M9" s="86">
        <f t="shared" si="1"/>
        <v>23.4</v>
      </c>
      <c r="N9" s="86">
        <f t="shared" si="2"/>
        <v>41.4</v>
      </c>
      <c r="O9" s="23">
        <v>60</v>
      </c>
      <c r="P9" s="15">
        <v>1.05</v>
      </c>
      <c r="Q9" s="15">
        <v>1</v>
      </c>
      <c r="R9" s="15">
        <f t="shared" si="3"/>
        <v>0.75</v>
      </c>
      <c r="S9" s="60">
        <f t="shared" si="4"/>
        <v>17</v>
      </c>
      <c r="T9" s="24">
        <f t="shared" si="5"/>
        <v>1.554174680400523</v>
      </c>
      <c r="U9" s="24">
        <f t="shared" si="6"/>
        <v>1.4144271570014144</v>
      </c>
      <c r="V9" s="24">
        <f t="shared" si="7"/>
        <v>1</v>
      </c>
      <c r="W9" s="61">
        <f t="shared" si="8"/>
        <v>25.666666666666668</v>
      </c>
      <c r="X9" s="15">
        <v>29.2</v>
      </c>
      <c r="Y9" s="86">
        <f t="shared" si="9"/>
        <v>4.6513741621746405</v>
      </c>
      <c r="Z9" s="86">
        <f t="shared" si="10"/>
        <v>1.1477881110857213</v>
      </c>
      <c r="AA9" s="87">
        <f t="shared" si="11"/>
        <v>34.111269013374823</v>
      </c>
      <c r="AB9" s="62">
        <v>4.4999999999999998E-2</v>
      </c>
      <c r="AC9" s="88">
        <f t="shared" si="12"/>
        <v>0.98775999999999997</v>
      </c>
      <c r="AD9" s="89">
        <f t="shared" ref="AD9:AD15" si="16">0.65*AB9*(M9/N9)*AC9</f>
        <v>1.6330249565217388E-2</v>
      </c>
      <c r="AE9" s="88" t="e">
        <f t="shared" ref="AE9:AE15" si="17">2.2*AI9</f>
        <v>#N/A</v>
      </c>
      <c r="AF9" s="89" t="e">
        <f t="shared" ref="AF9:AF15" si="18">1.76*AI9</f>
        <v>#N/A</v>
      </c>
      <c r="AG9" s="89" t="e">
        <f t="shared" ref="AG9:AG15" si="19">1.44*AI9</f>
        <v>#N/A</v>
      </c>
      <c r="AH9" s="53" t="e">
        <f t="shared" si="13"/>
        <v>#N/A</v>
      </c>
      <c r="AI9" s="53" t="e">
        <f t="shared" ref="AI9:AI15" si="20">IF(AND(AA9&lt;=30,OR(I9="SAND",I9="GRAVEL")),(0.048+-0.004721*AA9+0.0006136*AA9^2+-0.00001673*AA9^3)/(1+-0.1248*AA9+0.009578*AA9^2+-0.0003285*AA9^3+0.000003714*AA9^4),#N/A)</f>
        <v>#N/A</v>
      </c>
      <c r="AJ9" s="53" t="e">
        <f t="shared" si="14"/>
        <v>#N/A</v>
      </c>
      <c r="AK9" s="53" t="e">
        <f t="shared" ref="AK9:AK15" si="21">0.89*AI9</f>
        <v>#N/A</v>
      </c>
      <c r="AL9" s="27" t="str">
        <f t="shared" si="15"/>
        <v>not applicable</v>
      </c>
      <c r="AM9" s="27" t="str">
        <f t="shared" si="15"/>
        <v>not applicable</v>
      </c>
      <c r="AN9" s="27" t="str">
        <f t="shared" si="15"/>
        <v>not applicable</v>
      </c>
      <c r="AO9" s="27" t="str">
        <f t="shared" si="15"/>
        <v>not applicable</v>
      </c>
      <c r="AP9" s="27" t="str">
        <f t="shared" si="15"/>
        <v>not applicable</v>
      </c>
      <c r="AQ9" s="27" t="str">
        <f t="shared" si="15"/>
        <v>not applicable</v>
      </c>
      <c r="AR9" s="27" t="str">
        <f t="shared" si="15"/>
        <v>not applicable</v>
      </c>
      <c r="AS9" s="73"/>
      <c r="AT9" s="73"/>
      <c r="AU9" s="76"/>
      <c r="AX9" s="93">
        <f t="shared" ref="AX9:AX15" si="22">IF(OR(AN9&gt;1,AN9="not applicable"),0,1-AN9)</f>
        <v>0</v>
      </c>
      <c r="AY9" s="29">
        <f t="shared" ref="AY9:AY15" si="23">10-(0.5*E9)</f>
        <v>9.1999999999999993</v>
      </c>
      <c r="AZ9" s="29">
        <f>E9-E8</f>
        <v>1</v>
      </c>
      <c r="BA9" s="30">
        <f t="shared" ref="BA9:BA15" si="24">AZ9*AY9*AX9</f>
        <v>0</v>
      </c>
      <c r="BB9" s="306"/>
    </row>
    <row r="10" spans="2:54">
      <c r="B10" s="74"/>
      <c r="C10" s="15" t="s">
        <v>91</v>
      </c>
      <c r="D10" s="16">
        <v>3.4</v>
      </c>
      <c r="E10" s="84">
        <v>2.6</v>
      </c>
      <c r="F10" s="18">
        <v>3.09</v>
      </c>
      <c r="G10" s="85">
        <f t="shared" si="0"/>
        <v>0.48999999999999977</v>
      </c>
      <c r="H10" s="20" t="s">
        <v>10</v>
      </c>
      <c r="I10" s="21" t="s">
        <v>11</v>
      </c>
      <c r="J10" s="18">
        <v>16</v>
      </c>
      <c r="K10" s="15">
        <v>18</v>
      </c>
      <c r="L10" s="15">
        <v>21</v>
      </c>
      <c r="M10" s="86">
        <f t="shared" si="1"/>
        <v>44.4</v>
      </c>
      <c r="N10" s="86">
        <f t="shared" si="2"/>
        <v>52.4</v>
      </c>
      <c r="O10" s="23">
        <v>60</v>
      </c>
      <c r="P10" s="15">
        <v>1.05</v>
      </c>
      <c r="Q10" s="15">
        <v>1</v>
      </c>
      <c r="R10" s="15">
        <f t="shared" si="3"/>
        <v>0.75</v>
      </c>
      <c r="S10" s="60">
        <f t="shared" si="4"/>
        <v>13</v>
      </c>
      <c r="T10" s="24">
        <f t="shared" si="5"/>
        <v>1.3814474099888441</v>
      </c>
      <c r="U10" s="24">
        <f t="shared" si="6"/>
        <v>1.3123359580052494</v>
      </c>
      <c r="V10" s="24">
        <f t="shared" si="7"/>
        <v>1</v>
      </c>
      <c r="W10" s="61">
        <f t="shared" si="8"/>
        <v>18.666666666666668</v>
      </c>
      <c r="X10" s="15">
        <v>29.2</v>
      </c>
      <c r="Y10" s="86">
        <f t="shared" si="9"/>
        <v>4.6513741621746405</v>
      </c>
      <c r="Z10" s="86">
        <f t="shared" si="10"/>
        <v>1.1477881110857213</v>
      </c>
      <c r="AA10" s="87">
        <f t="shared" si="11"/>
        <v>26.076752235774773</v>
      </c>
      <c r="AB10" s="62">
        <v>4.4999999999999998E-2</v>
      </c>
      <c r="AC10" s="88">
        <f t="shared" si="12"/>
        <v>0.98011000000000004</v>
      </c>
      <c r="AD10" s="89">
        <f t="shared" si="16"/>
        <v>2.4291390400763356E-2</v>
      </c>
      <c r="AE10" s="88">
        <f t="shared" si="17"/>
        <v>0.66273957401845285</v>
      </c>
      <c r="AF10" s="89">
        <f t="shared" si="18"/>
        <v>0.5301916592147623</v>
      </c>
      <c r="AG10" s="89">
        <f t="shared" si="19"/>
        <v>0.4337931757211691</v>
      </c>
      <c r="AH10" s="53">
        <f t="shared" si="13"/>
        <v>0.35848186049179948</v>
      </c>
      <c r="AI10" s="53">
        <f t="shared" si="20"/>
        <v>0.30124526091747855</v>
      </c>
      <c r="AJ10" s="53">
        <f t="shared" si="14"/>
        <v>0.2831705452624298</v>
      </c>
      <c r="AK10" s="53">
        <f t="shared" si="21"/>
        <v>0.26810828221655592</v>
      </c>
      <c r="AL10" s="27">
        <f t="shared" si="15"/>
        <v>22.735749960667352</v>
      </c>
      <c r="AM10" s="27">
        <f t="shared" si="15"/>
        <v>18.188599968533882</v>
      </c>
      <c r="AN10" s="27">
        <f t="shared" si="15"/>
        <v>14.88158179243681</v>
      </c>
      <c r="AO10" s="27">
        <f t="shared" si="15"/>
        <v>12.297973842360975</v>
      </c>
      <c r="AP10" s="27">
        <f t="shared" si="15"/>
        <v>10.33443180030334</v>
      </c>
      <c r="AQ10" s="27">
        <f t="shared" si="15"/>
        <v>9.714365892285139</v>
      </c>
      <c r="AR10" s="27">
        <f t="shared" si="15"/>
        <v>9.197644302269973</v>
      </c>
      <c r="AS10" s="73"/>
      <c r="AT10" s="73"/>
      <c r="AU10" s="76"/>
      <c r="AX10" s="93">
        <f t="shared" si="22"/>
        <v>0</v>
      </c>
      <c r="AY10" s="29">
        <f t="shared" si="23"/>
        <v>8.6999999999999993</v>
      </c>
      <c r="AZ10" s="29">
        <f>E10-E9</f>
        <v>1</v>
      </c>
      <c r="BA10" s="30">
        <f t="shared" si="24"/>
        <v>0</v>
      </c>
      <c r="BB10" s="306"/>
    </row>
    <row r="11" spans="2:54" ht="12" thickBot="1">
      <c r="B11" s="74"/>
      <c r="C11" s="15" t="s">
        <v>91</v>
      </c>
      <c r="D11" s="16">
        <v>3.4</v>
      </c>
      <c r="E11" s="84">
        <v>3.6</v>
      </c>
      <c r="F11" s="18">
        <v>3.09</v>
      </c>
      <c r="G11" s="85">
        <f t="shared" si="0"/>
        <v>-0.51000000000000023</v>
      </c>
      <c r="H11" s="20" t="s">
        <v>10</v>
      </c>
      <c r="I11" s="21" t="s">
        <v>11</v>
      </c>
      <c r="J11" s="18">
        <v>35</v>
      </c>
      <c r="K11" s="15">
        <v>18</v>
      </c>
      <c r="L11" s="15">
        <v>21</v>
      </c>
      <c r="M11" s="86">
        <f t="shared" si="1"/>
        <v>65.400000000000006</v>
      </c>
      <c r="N11" s="86">
        <f t="shared" si="2"/>
        <v>63.4</v>
      </c>
      <c r="O11" s="23">
        <v>60</v>
      </c>
      <c r="P11" s="15">
        <v>1.05</v>
      </c>
      <c r="Q11" s="15">
        <v>1</v>
      </c>
      <c r="R11" s="15">
        <f t="shared" si="3"/>
        <v>0.75</v>
      </c>
      <c r="S11" s="60">
        <f t="shared" si="4"/>
        <v>28</v>
      </c>
      <c r="T11" s="24">
        <f t="shared" si="5"/>
        <v>1.2559008982583206</v>
      </c>
      <c r="U11" s="24">
        <f t="shared" si="6"/>
        <v>1.2239902080783354</v>
      </c>
      <c r="V11" s="24">
        <f t="shared" si="7"/>
        <v>1</v>
      </c>
      <c r="W11" s="61">
        <f t="shared" si="8"/>
        <v>40.833333333333336</v>
      </c>
      <c r="X11" s="15">
        <v>29.2</v>
      </c>
      <c r="Y11" s="86">
        <f t="shared" si="9"/>
        <v>4.6513741621746405</v>
      </c>
      <c r="Z11" s="86">
        <f t="shared" si="10"/>
        <v>1.1477881110857213</v>
      </c>
      <c r="AA11" s="87">
        <f t="shared" si="11"/>
        <v>51.519388698174929</v>
      </c>
      <c r="AB11" s="62">
        <v>4.4999999999999998E-2</v>
      </c>
      <c r="AC11" s="88">
        <f t="shared" si="12"/>
        <v>0.97245999999999999</v>
      </c>
      <c r="AD11" s="89">
        <f t="shared" si="16"/>
        <v>2.934175641955836E-2</v>
      </c>
      <c r="AE11" s="88" t="e">
        <f t="shared" si="17"/>
        <v>#N/A</v>
      </c>
      <c r="AF11" s="89" t="e">
        <f t="shared" si="18"/>
        <v>#N/A</v>
      </c>
      <c r="AG11" s="89" t="e">
        <f t="shared" si="19"/>
        <v>#N/A</v>
      </c>
      <c r="AH11" s="53" t="e">
        <f t="shared" si="13"/>
        <v>#N/A</v>
      </c>
      <c r="AI11" s="53" t="e">
        <f t="shared" si="20"/>
        <v>#N/A</v>
      </c>
      <c r="AJ11" s="53" t="e">
        <f t="shared" si="14"/>
        <v>#N/A</v>
      </c>
      <c r="AK11" s="53" t="e">
        <f t="shared" si="21"/>
        <v>#N/A</v>
      </c>
      <c r="AL11" s="27" t="str">
        <f t="shared" si="15"/>
        <v>not applicable</v>
      </c>
      <c r="AM11" s="27" t="str">
        <f t="shared" si="15"/>
        <v>not applicable</v>
      </c>
      <c r="AN11" s="27" t="str">
        <f t="shared" si="15"/>
        <v>not applicable</v>
      </c>
      <c r="AO11" s="27" t="str">
        <f t="shared" si="15"/>
        <v>not applicable</v>
      </c>
      <c r="AP11" s="27" t="str">
        <f t="shared" si="15"/>
        <v>not applicable</v>
      </c>
      <c r="AQ11" s="27" t="str">
        <f t="shared" si="15"/>
        <v>not applicable</v>
      </c>
      <c r="AR11" s="27" t="str">
        <f t="shared" si="15"/>
        <v>not applicable</v>
      </c>
      <c r="AS11" s="73"/>
      <c r="AT11" s="73"/>
      <c r="AU11" s="76"/>
      <c r="AX11" s="93">
        <f t="shared" si="22"/>
        <v>0</v>
      </c>
      <c r="AY11" s="29">
        <f t="shared" si="23"/>
        <v>8.1999999999999993</v>
      </c>
      <c r="AZ11" s="29">
        <f>E11-E10</f>
        <v>1</v>
      </c>
      <c r="BA11" s="30">
        <f t="shared" si="24"/>
        <v>0</v>
      </c>
      <c r="BB11" s="306"/>
    </row>
    <row r="12" spans="2:54">
      <c r="B12" s="74"/>
      <c r="C12" s="33" t="s">
        <v>87</v>
      </c>
      <c r="D12" s="33">
        <v>4.2</v>
      </c>
      <c r="E12" s="38">
        <v>0.55000000000000004</v>
      </c>
      <c r="F12" s="33">
        <v>4.226</v>
      </c>
      <c r="G12" s="85">
        <f t="shared" si="0"/>
        <v>3.6760000000000002</v>
      </c>
      <c r="H12" s="41" t="s">
        <v>10</v>
      </c>
      <c r="I12" s="42" t="s">
        <v>11</v>
      </c>
      <c r="J12" s="33">
        <v>25</v>
      </c>
      <c r="K12" s="33">
        <v>18</v>
      </c>
      <c r="L12" s="33">
        <v>21</v>
      </c>
      <c r="M12" s="86">
        <f t="shared" si="1"/>
        <v>-1.0499999999999972</v>
      </c>
      <c r="N12" s="86">
        <f t="shared" si="2"/>
        <v>35.450000000000003</v>
      </c>
      <c r="O12" s="34">
        <v>60</v>
      </c>
      <c r="P12" s="33">
        <v>1.05</v>
      </c>
      <c r="Q12" s="33">
        <v>1</v>
      </c>
      <c r="R12" s="33">
        <f t="shared" si="3"/>
        <v>0.75</v>
      </c>
      <c r="S12" s="64">
        <f t="shared" si="4"/>
        <v>20</v>
      </c>
      <c r="T12" s="35">
        <f t="shared" si="5"/>
        <v>1.6795459121697258</v>
      </c>
      <c r="U12" s="35">
        <f t="shared" si="6"/>
        <v>1.4765596160944998</v>
      </c>
      <c r="V12" s="35">
        <f t="shared" si="7"/>
        <v>1</v>
      </c>
      <c r="W12" s="65">
        <f t="shared" si="8"/>
        <v>29.166666666666668</v>
      </c>
      <c r="X12" s="33">
        <f>15.7+2.4</f>
        <v>18.099999999999998</v>
      </c>
      <c r="Y12" s="86">
        <f t="shared" si="9"/>
        <v>3.2545112906156208</v>
      </c>
      <c r="Z12" s="86">
        <f t="shared" si="10"/>
        <v>1.0670048115379811</v>
      </c>
      <c r="AA12" s="87">
        <f t="shared" si="11"/>
        <v>34.375484960473401</v>
      </c>
      <c r="AB12" s="63">
        <v>4.4999999999999998E-2</v>
      </c>
      <c r="AC12" s="88">
        <f t="shared" si="12"/>
        <v>0.99579249999999997</v>
      </c>
      <c r="AD12" s="89">
        <f t="shared" si="16"/>
        <v>-8.6271585772214126E-4</v>
      </c>
      <c r="AE12" s="88" t="e">
        <f t="shared" si="17"/>
        <v>#N/A</v>
      </c>
      <c r="AF12" s="89" t="e">
        <f t="shared" si="18"/>
        <v>#N/A</v>
      </c>
      <c r="AG12" s="89" t="e">
        <f t="shared" si="19"/>
        <v>#N/A</v>
      </c>
      <c r="AH12" s="53" t="e">
        <f t="shared" si="13"/>
        <v>#N/A</v>
      </c>
      <c r="AI12" s="53" t="e">
        <f t="shared" si="20"/>
        <v>#N/A</v>
      </c>
      <c r="AJ12" s="53" t="e">
        <f t="shared" si="14"/>
        <v>#N/A</v>
      </c>
      <c r="AK12" s="53" t="e">
        <f t="shared" si="21"/>
        <v>#N/A</v>
      </c>
      <c r="AL12" s="27" t="str">
        <f t="shared" si="15"/>
        <v>not applicable</v>
      </c>
      <c r="AM12" s="27" t="str">
        <f t="shared" si="15"/>
        <v>not applicable</v>
      </c>
      <c r="AN12" s="27" t="str">
        <f t="shared" si="15"/>
        <v>not applicable</v>
      </c>
      <c r="AO12" s="27"/>
      <c r="AP12" s="27"/>
      <c r="AQ12" s="27"/>
      <c r="AR12" s="27"/>
      <c r="AS12" s="73"/>
      <c r="AT12" s="73"/>
      <c r="AU12" s="76"/>
      <c r="AX12" s="90">
        <f t="shared" si="22"/>
        <v>0</v>
      </c>
      <c r="AY12" s="91">
        <f t="shared" si="23"/>
        <v>9.7249999999999996</v>
      </c>
      <c r="AZ12" s="91">
        <f>E12</f>
        <v>0.55000000000000004</v>
      </c>
      <c r="BA12" s="92">
        <f t="shared" si="24"/>
        <v>0</v>
      </c>
      <c r="BB12" s="305">
        <f>SUM(BA12:BA15)</f>
        <v>0</v>
      </c>
    </row>
    <row r="13" spans="2:54" ht="12.75" customHeight="1">
      <c r="B13" s="74"/>
      <c r="C13" s="33" t="s">
        <v>87</v>
      </c>
      <c r="D13" s="33">
        <v>4.2</v>
      </c>
      <c r="E13" s="38">
        <v>1.55</v>
      </c>
      <c r="F13" s="33">
        <v>4.226</v>
      </c>
      <c r="G13" s="85">
        <f t="shared" si="0"/>
        <v>2.6760000000000002</v>
      </c>
      <c r="H13" s="33" t="s">
        <v>10</v>
      </c>
      <c r="I13" s="33" t="s">
        <v>11</v>
      </c>
      <c r="J13" s="33">
        <v>26</v>
      </c>
      <c r="K13" s="33">
        <v>18</v>
      </c>
      <c r="L13" s="33">
        <v>21</v>
      </c>
      <c r="M13" s="86">
        <f t="shared" si="1"/>
        <v>19.950000000000003</v>
      </c>
      <c r="N13" s="86">
        <f t="shared" si="2"/>
        <v>46.45</v>
      </c>
      <c r="O13" s="34">
        <v>60</v>
      </c>
      <c r="P13" s="33">
        <v>1.05</v>
      </c>
      <c r="Q13" s="33">
        <v>1</v>
      </c>
      <c r="R13" s="33">
        <f t="shared" si="3"/>
        <v>0.75</v>
      </c>
      <c r="S13" s="64">
        <f t="shared" si="4"/>
        <v>20</v>
      </c>
      <c r="T13" s="35">
        <f t="shared" si="5"/>
        <v>1.4672602119602789</v>
      </c>
      <c r="U13" s="35">
        <f t="shared" si="6"/>
        <v>1.3656538067599862</v>
      </c>
      <c r="V13" s="35">
        <f t="shared" si="7"/>
        <v>1</v>
      </c>
      <c r="W13" s="65">
        <f t="shared" si="8"/>
        <v>30.333333333333336</v>
      </c>
      <c r="X13" s="33">
        <f>15.7+2.4</f>
        <v>18.099999999999998</v>
      </c>
      <c r="Y13" s="86">
        <f t="shared" si="9"/>
        <v>3.2545112906156208</v>
      </c>
      <c r="Z13" s="86">
        <f t="shared" si="10"/>
        <v>1.0670048115379811</v>
      </c>
      <c r="AA13" s="87">
        <f t="shared" si="11"/>
        <v>35.620323907267711</v>
      </c>
      <c r="AB13" s="63">
        <v>4.4999999999999998E-2</v>
      </c>
      <c r="AC13" s="88">
        <f t="shared" si="12"/>
        <v>0.98814250000000003</v>
      </c>
      <c r="AD13" s="89">
        <f t="shared" si="16"/>
        <v>1.2413739592976319E-2</v>
      </c>
      <c r="AE13" s="88" t="e">
        <f t="shared" si="17"/>
        <v>#N/A</v>
      </c>
      <c r="AF13" s="89" t="e">
        <f t="shared" si="18"/>
        <v>#N/A</v>
      </c>
      <c r="AG13" s="89" t="e">
        <f t="shared" si="19"/>
        <v>#N/A</v>
      </c>
      <c r="AH13" s="53" t="e">
        <f t="shared" si="13"/>
        <v>#N/A</v>
      </c>
      <c r="AI13" s="53" t="e">
        <f t="shared" si="20"/>
        <v>#N/A</v>
      </c>
      <c r="AJ13" s="53" t="e">
        <f t="shared" si="14"/>
        <v>#N/A</v>
      </c>
      <c r="AK13" s="53" t="e">
        <f t="shared" si="21"/>
        <v>#N/A</v>
      </c>
      <c r="AL13" s="27" t="str">
        <f t="shared" si="15"/>
        <v>not applicable</v>
      </c>
      <c r="AM13" s="27" t="str">
        <f t="shared" si="15"/>
        <v>not applicable</v>
      </c>
      <c r="AN13" s="27" t="str">
        <f t="shared" si="15"/>
        <v>not applicable</v>
      </c>
      <c r="AO13" s="27" t="str">
        <f t="shared" si="15"/>
        <v>not applicable</v>
      </c>
      <c r="AP13" s="27" t="str">
        <f t="shared" si="15"/>
        <v>not applicable</v>
      </c>
      <c r="AQ13" s="27" t="str">
        <f t="shared" si="15"/>
        <v>not applicable</v>
      </c>
      <c r="AR13" s="27" t="str">
        <f t="shared" si="15"/>
        <v>not applicable</v>
      </c>
      <c r="AS13" s="73"/>
      <c r="AT13" s="73"/>
      <c r="AU13" s="76"/>
      <c r="AX13" s="93">
        <f t="shared" si="22"/>
        <v>0</v>
      </c>
      <c r="AY13" s="29">
        <f t="shared" si="23"/>
        <v>9.2249999999999996</v>
      </c>
      <c r="AZ13" s="29">
        <f>E13-E12</f>
        <v>1</v>
      </c>
      <c r="BA13" s="30">
        <f t="shared" si="24"/>
        <v>0</v>
      </c>
      <c r="BB13" s="306"/>
    </row>
    <row r="14" spans="2:54">
      <c r="B14" s="74"/>
      <c r="C14" s="33" t="s">
        <v>87</v>
      </c>
      <c r="D14" s="33">
        <v>4.2</v>
      </c>
      <c r="E14" s="38">
        <v>2.5499999999999998</v>
      </c>
      <c r="F14" s="33">
        <v>4.226</v>
      </c>
      <c r="G14" s="85">
        <f>F14-E14</f>
        <v>1.6760000000000002</v>
      </c>
      <c r="H14" s="41" t="s">
        <v>10</v>
      </c>
      <c r="I14" s="42" t="s">
        <v>11</v>
      </c>
      <c r="J14" s="33">
        <v>29</v>
      </c>
      <c r="K14" s="33">
        <v>18</v>
      </c>
      <c r="L14" s="33">
        <v>21</v>
      </c>
      <c r="M14" s="86">
        <f>K14*D14+L14*(E14-D14)</f>
        <v>40.950000000000003</v>
      </c>
      <c r="N14" s="86">
        <f>K14*D14+(L14-10)*(E14-D14)</f>
        <v>57.45</v>
      </c>
      <c r="O14" s="34">
        <v>60</v>
      </c>
      <c r="P14" s="33">
        <v>1.05</v>
      </c>
      <c r="Q14" s="33">
        <v>1</v>
      </c>
      <c r="R14" s="33">
        <f t="shared" si="3"/>
        <v>0.75</v>
      </c>
      <c r="S14" s="64">
        <f t="shared" si="4"/>
        <v>23</v>
      </c>
      <c r="T14" s="35">
        <f t="shared" si="5"/>
        <v>1.3193346953272203</v>
      </c>
      <c r="U14" s="35">
        <f t="shared" si="6"/>
        <v>1.2702445220704985</v>
      </c>
      <c r="V14" s="35">
        <f>IF(U14&gt;1,1,U14)</f>
        <v>1</v>
      </c>
      <c r="W14" s="65">
        <f>0.7/0.6*J14</f>
        <v>33.833333333333336</v>
      </c>
      <c r="X14" s="33">
        <f>15.7+2.4</f>
        <v>18.099999999999998</v>
      </c>
      <c r="Y14" s="86">
        <f>IF(X14&lt;5,0,EXP(1.76-(190/X14^2)))</f>
        <v>3.2545112906156208</v>
      </c>
      <c r="Z14" s="86">
        <f>IF(X14&lt;5,1,0.99+(X14^1.5/1000))</f>
        <v>1.0670048115379811</v>
      </c>
      <c r="AA14" s="87">
        <f>Y14+Z14*W14</f>
        <v>39.354840747650648</v>
      </c>
      <c r="AB14" s="63">
        <v>4.4999999999999998E-2</v>
      </c>
      <c r="AC14" s="88">
        <f>IF(E14&lt;9.15,1-0.00765*E14,1.174-0.0267*E14)</f>
        <v>0.98049249999999999</v>
      </c>
      <c r="AD14" s="89">
        <f>0.65*AB14*(M14/N14)*AC14</f>
        <v>2.0442500615208876E-2</v>
      </c>
      <c r="AE14" s="88" t="e">
        <f>2.2*AI14</f>
        <v>#N/A</v>
      </c>
      <c r="AF14" s="89" t="e">
        <f>1.76*AI14</f>
        <v>#N/A</v>
      </c>
      <c r="AG14" s="89" t="e">
        <f>1.44*AI14</f>
        <v>#N/A</v>
      </c>
      <c r="AH14" s="53" t="e">
        <f>1.19*AI14</f>
        <v>#N/A</v>
      </c>
      <c r="AI14" s="53" t="e">
        <f>IF(AND(AA14&lt;=30,OR(I14="SAND",I14="GRAVEL")),(0.048+-0.004721*AA14+0.0006136*AA14^2+-0.00001673*AA14^3)/(1+-0.1248*AA14+0.009578*AA14^2+-0.0003285*AA14^3+0.000003714*AA14^4),#N/A)</f>
        <v>#N/A</v>
      </c>
      <c r="AJ14" s="53" t="e">
        <f>0.94*AI14</f>
        <v>#N/A</v>
      </c>
      <c r="AK14" s="53" t="e">
        <f>0.89*AI14</f>
        <v>#N/A</v>
      </c>
      <c r="AL14" s="27" t="str">
        <f t="shared" ref="AL14:AR14" si="25">IF(ISNA(AE14),"not applicable",AE14/(1.2*$AD14))</f>
        <v>not applicable</v>
      </c>
      <c r="AM14" s="27" t="str">
        <f t="shared" si="25"/>
        <v>not applicable</v>
      </c>
      <c r="AN14" s="27" t="str">
        <f t="shared" si="25"/>
        <v>not applicable</v>
      </c>
      <c r="AO14" s="27" t="str">
        <f t="shared" si="25"/>
        <v>not applicable</v>
      </c>
      <c r="AP14" s="27" t="str">
        <f t="shared" si="25"/>
        <v>not applicable</v>
      </c>
      <c r="AQ14" s="27" t="str">
        <f t="shared" si="25"/>
        <v>not applicable</v>
      </c>
      <c r="AR14" s="27" t="str">
        <f t="shared" si="25"/>
        <v>not applicable</v>
      </c>
      <c r="AS14" s="73"/>
      <c r="AT14" s="73"/>
      <c r="AU14" s="76"/>
      <c r="AX14" s="93">
        <f>IF(OR(AN14&gt;1,AN14="not applicable"),0,1-AN14)</f>
        <v>0</v>
      </c>
      <c r="AY14" s="29">
        <f>10-(0.5*E14)</f>
        <v>8.7249999999999996</v>
      </c>
      <c r="AZ14" s="29">
        <f>E14-E12</f>
        <v>1.9999999999999998</v>
      </c>
      <c r="BA14" s="30">
        <f>AZ14*AY14*AX14</f>
        <v>0</v>
      </c>
      <c r="BB14" s="306"/>
    </row>
    <row r="15" spans="2:54" ht="12" thickBot="1">
      <c r="B15" s="74"/>
      <c r="C15" s="33" t="s">
        <v>87</v>
      </c>
      <c r="D15" s="33">
        <v>4.2</v>
      </c>
      <c r="E15" s="38">
        <v>3.55</v>
      </c>
      <c r="F15" s="33">
        <v>4.226</v>
      </c>
      <c r="G15" s="85">
        <f t="shared" si="0"/>
        <v>0.67600000000000016</v>
      </c>
      <c r="H15" s="41" t="s">
        <v>10</v>
      </c>
      <c r="I15" s="42" t="s">
        <v>11</v>
      </c>
      <c r="J15" s="33">
        <v>13</v>
      </c>
      <c r="K15" s="33">
        <v>18</v>
      </c>
      <c r="L15" s="33">
        <v>21</v>
      </c>
      <c r="M15" s="86">
        <f t="shared" si="1"/>
        <v>61.95</v>
      </c>
      <c r="N15" s="86">
        <f t="shared" si="2"/>
        <v>68.45</v>
      </c>
      <c r="O15" s="34">
        <v>60</v>
      </c>
      <c r="P15" s="33">
        <v>1.05</v>
      </c>
      <c r="Q15" s="33">
        <v>1</v>
      </c>
      <c r="R15" s="33">
        <f t="shared" si="3"/>
        <v>0.75</v>
      </c>
      <c r="S15" s="64">
        <f t="shared" si="4"/>
        <v>10</v>
      </c>
      <c r="T15" s="35">
        <f t="shared" si="5"/>
        <v>1.2086853932431296</v>
      </c>
      <c r="U15" s="35">
        <f t="shared" si="6"/>
        <v>1.1872959335114277</v>
      </c>
      <c r="V15" s="35">
        <f t="shared" si="7"/>
        <v>1</v>
      </c>
      <c r="W15" s="65">
        <f t="shared" si="8"/>
        <v>15.166666666666668</v>
      </c>
      <c r="X15" s="33">
        <f>15.7+2.4</f>
        <v>18.099999999999998</v>
      </c>
      <c r="Y15" s="86">
        <f t="shared" si="9"/>
        <v>3.2545112906156208</v>
      </c>
      <c r="Z15" s="86">
        <f t="shared" si="10"/>
        <v>1.0670048115379811</v>
      </c>
      <c r="AA15" s="87">
        <f t="shared" si="11"/>
        <v>19.437417598941668</v>
      </c>
      <c r="AB15" s="63">
        <v>4.4999999999999998E-2</v>
      </c>
      <c r="AC15" s="88">
        <f t="shared" si="12"/>
        <v>0.97284250000000005</v>
      </c>
      <c r="AD15" s="89">
        <f t="shared" si="16"/>
        <v>2.5753500242421474E-2</v>
      </c>
      <c r="AE15" s="88">
        <f t="shared" si="17"/>
        <v>0.46176589277282726</v>
      </c>
      <c r="AF15" s="89">
        <f t="shared" si="18"/>
        <v>0.36941271421826177</v>
      </c>
      <c r="AG15" s="89">
        <f t="shared" si="19"/>
        <v>0.30224676617857776</v>
      </c>
      <c r="AH15" s="53">
        <f t="shared" si="13"/>
        <v>0.24977336927257471</v>
      </c>
      <c r="AI15" s="53">
        <f t="shared" si="20"/>
        <v>0.20989358762401236</v>
      </c>
      <c r="AJ15" s="53">
        <f t="shared" si="14"/>
        <v>0.1972999723665716</v>
      </c>
      <c r="AK15" s="53">
        <f t="shared" si="21"/>
        <v>0.18680529298537102</v>
      </c>
      <c r="AL15" s="27">
        <f t="shared" si="15"/>
        <v>14.941848953415951</v>
      </c>
      <c r="AM15" s="27">
        <f t="shared" si="15"/>
        <v>11.953479162732759</v>
      </c>
      <c r="AN15" s="27">
        <f t="shared" si="15"/>
        <v>9.7801193149631658</v>
      </c>
      <c r="AO15" s="27">
        <f t="shared" si="15"/>
        <v>8.0821819338931729</v>
      </c>
      <c r="AP15" s="27">
        <f t="shared" si="15"/>
        <v>6.7917495242799761</v>
      </c>
      <c r="AQ15" s="27">
        <f t="shared" si="15"/>
        <v>6.3842445528231773</v>
      </c>
      <c r="AR15" s="27">
        <f t="shared" si="15"/>
        <v>6.0446570766091794</v>
      </c>
      <c r="AS15" s="73"/>
      <c r="AT15" s="73"/>
      <c r="AU15" s="76"/>
      <c r="AX15" s="93">
        <f t="shared" si="22"/>
        <v>0</v>
      </c>
      <c r="AY15" s="29">
        <f t="shared" si="23"/>
        <v>8.2249999999999996</v>
      </c>
      <c r="AZ15" s="29">
        <f>E15-E13</f>
        <v>1.9999999999999998</v>
      </c>
      <c r="BA15" s="30">
        <f t="shared" si="24"/>
        <v>0</v>
      </c>
      <c r="BB15" s="306"/>
    </row>
    <row r="16" spans="2:54">
      <c r="B16" s="74"/>
      <c r="C16" s="15" t="s">
        <v>92</v>
      </c>
      <c r="D16" s="15">
        <v>5.25</v>
      </c>
      <c r="E16" s="16">
        <v>0.6</v>
      </c>
      <c r="F16" s="15">
        <v>7.8049999999999997</v>
      </c>
      <c r="G16" s="85">
        <f>F16-E16</f>
        <v>7.2050000000000001</v>
      </c>
      <c r="H16" s="20" t="s">
        <v>10</v>
      </c>
      <c r="I16" s="21" t="s">
        <v>11</v>
      </c>
      <c r="J16" s="15">
        <v>38</v>
      </c>
      <c r="K16" s="15">
        <v>18</v>
      </c>
      <c r="L16" s="15">
        <v>21</v>
      </c>
      <c r="M16" s="86">
        <f>K16*D16+L16*(E16-D16)</f>
        <v>-3.1500000000000057</v>
      </c>
      <c r="N16" s="86">
        <f>K16*D16+(L16-10)*(E16-D16)</f>
        <v>43.349999999999994</v>
      </c>
      <c r="O16" s="23">
        <v>60</v>
      </c>
      <c r="P16" s="15">
        <v>1.05</v>
      </c>
      <c r="Q16" s="15">
        <v>1</v>
      </c>
      <c r="R16" s="15">
        <f t="shared" si="3"/>
        <v>0.75</v>
      </c>
      <c r="S16" s="60">
        <f t="shared" si="4"/>
        <v>30</v>
      </c>
      <c r="T16" s="24">
        <f t="shared" si="5"/>
        <v>1.5188169985127125</v>
      </c>
      <c r="U16" s="24">
        <f t="shared" si="6"/>
        <v>1.3951866062085805</v>
      </c>
      <c r="V16" s="24">
        <f t="shared" si="7"/>
        <v>1</v>
      </c>
      <c r="W16" s="61">
        <f>0.7/0.6*J16</f>
        <v>44.333333333333336</v>
      </c>
      <c r="X16" s="15">
        <v>9.4</v>
      </c>
      <c r="Y16" s="86">
        <f t="shared" si="9"/>
        <v>0.67685767928458207</v>
      </c>
      <c r="Z16" s="86">
        <f>IF(X16&lt;5,1,0.99+(X16^1.5/1000))</f>
        <v>1.0188198542675011</v>
      </c>
      <c r="AA16" s="87">
        <f>Y16+Z16*W16</f>
        <v>45.844537885143801</v>
      </c>
      <c r="AB16" s="62">
        <v>4.4999999999999998E-2</v>
      </c>
      <c r="AC16" s="88">
        <f>IF(E16&lt;9.15,1-0.00765*E16,1.174-0.0267*E16)</f>
        <v>0.99541000000000002</v>
      </c>
      <c r="AD16" s="89">
        <f>0.65*AB16*(M16/N16)*AC16</f>
        <v>-2.1156767906574435E-3</v>
      </c>
      <c r="AE16" s="88" t="e">
        <f>2.2*AI16</f>
        <v>#N/A</v>
      </c>
      <c r="AF16" s="89" t="e">
        <f>1.76*AI16</f>
        <v>#N/A</v>
      </c>
      <c r="AG16" s="89" t="e">
        <f>1.44*AI16</f>
        <v>#N/A</v>
      </c>
      <c r="AH16" s="53" t="e">
        <f t="shared" si="13"/>
        <v>#N/A</v>
      </c>
      <c r="AI16" s="53" t="e">
        <f>IF(AND(AA16&lt;=30,OR(I16="SAND",I16="GRAVEL")),(0.048+-0.004721*AA16+0.0006136*AA16^2+-0.00001673*AA16^3)/(1+-0.1248*AA16+0.009578*AA16^2+-0.0003285*AA16^3+0.000003714*AA16^4),#N/A)</f>
        <v>#N/A</v>
      </c>
      <c r="AJ16" s="53" t="e">
        <f t="shared" si="14"/>
        <v>#N/A</v>
      </c>
      <c r="AK16" s="53" t="e">
        <f>0.89*AI16</f>
        <v>#N/A</v>
      </c>
      <c r="AL16" s="27" t="str">
        <f t="shared" si="15"/>
        <v>not applicable</v>
      </c>
      <c r="AM16" s="27" t="str">
        <f t="shared" si="15"/>
        <v>not applicable</v>
      </c>
      <c r="AN16" s="27" t="str">
        <f t="shared" si="15"/>
        <v>not applicable</v>
      </c>
      <c r="AO16" s="27"/>
      <c r="AP16" s="27"/>
      <c r="AQ16" s="27"/>
      <c r="AR16" s="27"/>
      <c r="AS16" s="73"/>
      <c r="AT16" s="73"/>
      <c r="AU16" s="76"/>
      <c r="AX16" s="90">
        <f>IF(OR(AN16&gt;1,AN16="not applicable"),0,1-AN16)</f>
        <v>0</v>
      </c>
      <c r="AY16" s="91">
        <f>10-(0.5*E16)</f>
        <v>9.6999999999999993</v>
      </c>
      <c r="AZ16" s="91">
        <f>E16</f>
        <v>0.6</v>
      </c>
      <c r="BA16" s="92">
        <f>AZ16*AY16*AX16</f>
        <v>0</v>
      </c>
      <c r="BB16" s="305">
        <f>SUM(BA16:BA19)</f>
        <v>0</v>
      </c>
    </row>
    <row r="17" spans="2:54">
      <c r="B17" s="74"/>
      <c r="C17" s="15" t="s">
        <v>92</v>
      </c>
      <c r="D17" s="15">
        <v>5.25</v>
      </c>
      <c r="E17" s="16">
        <v>1.6</v>
      </c>
      <c r="F17" s="15">
        <v>7.8049999999999997</v>
      </c>
      <c r="G17" s="85">
        <f>F17-E17</f>
        <v>6.2050000000000001</v>
      </c>
      <c r="H17" s="20" t="s">
        <v>10</v>
      </c>
      <c r="I17" s="21" t="s">
        <v>11</v>
      </c>
      <c r="J17" s="15">
        <v>52</v>
      </c>
      <c r="K17" s="15">
        <v>18</v>
      </c>
      <c r="L17" s="15">
        <v>21</v>
      </c>
      <c r="M17" s="86">
        <f>K17*D17+L17*(E17-D17)</f>
        <v>17.850000000000009</v>
      </c>
      <c r="N17" s="86">
        <f>K17*D17+(L17-10)*(E17-D17)</f>
        <v>54.35</v>
      </c>
      <c r="O17" s="23">
        <v>60</v>
      </c>
      <c r="P17" s="15">
        <v>1.05</v>
      </c>
      <c r="Q17" s="15">
        <v>1</v>
      </c>
      <c r="R17" s="15">
        <f t="shared" si="3"/>
        <v>0.75</v>
      </c>
      <c r="S17" s="60">
        <f t="shared" si="4"/>
        <v>41</v>
      </c>
      <c r="T17" s="24">
        <f t="shared" si="5"/>
        <v>1.3564388681189736</v>
      </c>
      <c r="U17" s="24">
        <f t="shared" si="6"/>
        <v>1.2957563977972142</v>
      </c>
      <c r="V17" s="24">
        <f t="shared" si="7"/>
        <v>1</v>
      </c>
      <c r="W17" s="61">
        <f>0.7/0.6*J17</f>
        <v>60.666666666666671</v>
      </c>
      <c r="X17" s="15">
        <v>9.4</v>
      </c>
      <c r="Y17" s="86">
        <f t="shared" si="9"/>
        <v>0.67685767928458207</v>
      </c>
      <c r="Z17" s="86">
        <f>IF(X17&lt;5,1,0.99+(X17^1.5/1000))</f>
        <v>1.0188198542675011</v>
      </c>
      <c r="AA17" s="87">
        <f>Y17+Z17*W17</f>
        <v>62.485262171512986</v>
      </c>
      <c r="AB17" s="62">
        <v>4.4999999999999998E-2</v>
      </c>
      <c r="AC17" s="88">
        <f>IF(E17&lt;9.15,1-0.00765*E17,1.174-0.0267*E17)</f>
        <v>0.98775999999999997</v>
      </c>
      <c r="AD17" s="89">
        <f>0.65*AB17*(M17/N17)*AC17</f>
        <v>9.4889023551057994E-3</v>
      </c>
      <c r="AE17" s="88" t="e">
        <f>2.2*AI17</f>
        <v>#N/A</v>
      </c>
      <c r="AF17" s="89" t="e">
        <f>1.76*AI17</f>
        <v>#N/A</v>
      </c>
      <c r="AG17" s="89" t="e">
        <f>1.44*AI17</f>
        <v>#N/A</v>
      </c>
      <c r="AH17" s="53" t="e">
        <f t="shared" si="13"/>
        <v>#N/A</v>
      </c>
      <c r="AI17" s="53" t="e">
        <f>IF(AND(AA17&lt;=30,OR(I17="SAND",I17="GRAVEL")),(0.048+-0.004721*AA17+0.0006136*AA17^2+-0.00001673*AA17^3)/(1+-0.1248*AA17+0.009578*AA17^2+-0.0003285*AA17^3+0.000003714*AA17^4),#N/A)</f>
        <v>#N/A</v>
      </c>
      <c r="AJ17" s="53" t="e">
        <f t="shared" si="14"/>
        <v>#N/A</v>
      </c>
      <c r="AK17" s="53" t="e">
        <f>0.89*AI17</f>
        <v>#N/A</v>
      </c>
      <c r="AL17" s="27" t="str">
        <f t="shared" si="15"/>
        <v>not applicable</v>
      </c>
      <c r="AM17" s="27" t="str">
        <f t="shared" si="15"/>
        <v>not applicable</v>
      </c>
      <c r="AN17" s="27" t="str">
        <f t="shared" si="15"/>
        <v>not applicable</v>
      </c>
      <c r="AO17" s="27"/>
      <c r="AP17" s="27"/>
      <c r="AQ17" s="27"/>
      <c r="AR17" s="27"/>
      <c r="AS17" s="73"/>
      <c r="AT17" s="73"/>
      <c r="AU17" s="76"/>
      <c r="AX17" s="93">
        <f>IF(OR(AN17&gt;1,AN17="not applicable"),0,1-AN17)</f>
        <v>0</v>
      </c>
      <c r="AY17" s="29">
        <f>10-(0.5*E17)</f>
        <v>9.1999999999999993</v>
      </c>
      <c r="AZ17" s="29">
        <f>E17-E16</f>
        <v>1</v>
      </c>
      <c r="BA17" s="30">
        <f>AZ17*AY17*AX17</f>
        <v>0</v>
      </c>
      <c r="BB17" s="306"/>
    </row>
    <row r="18" spans="2:54">
      <c r="B18" s="74"/>
      <c r="C18" s="15" t="s">
        <v>92</v>
      </c>
      <c r="D18" s="15">
        <v>5.25</v>
      </c>
      <c r="E18" s="16">
        <v>2.6</v>
      </c>
      <c r="F18" s="15">
        <v>7.8049999999999997</v>
      </c>
      <c r="G18" s="85">
        <f>F18-E18</f>
        <v>5.2050000000000001</v>
      </c>
      <c r="H18" s="20" t="s">
        <v>10</v>
      </c>
      <c r="I18" s="21" t="s">
        <v>11</v>
      </c>
      <c r="J18" s="15">
        <v>50</v>
      </c>
      <c r="K18" s="15">
        <v>18</v>
      </c>
      <c r="L18" s="15">
        <v>21</v>
      </c>
      <c r="M18" s="86">
        <f>K18*D18+L18*(E18-D18)</f>
        <v>38.85</v>
      </c>
      <c r="N18" s="86">
        <f>K18*D18+(L18-10)*(E18-D18)</f>
        <v>65.349999999999994</v>
      </c>
      <c r="O18" s="23">
        <v>60</v>
      </c>
      <c r="P18" s="15">
        <v>1.05</v>
      </c>
      <c r="Q18" s="15">
        <v>1</v>
      </c>
      <c r="R18" s="15">
        <f t="shared" si="3"/>
        <v>0.75</v>
      </c>
      <c r="S18" s="60">
        <f t="shared" si="4"/>
        <v>39</v>
      </c>
      <c r="T18" s="24">
        <f t="shared" si="5"/>
        <v>1.2370213749862673</v>
      </c>
      <c r="U18" s="24">
        <f t="shared" si="6"/>
        <v>1.2095554883580284</v>
      </c>
      <c r="V18" s="24">
        <f t="shared" si="7"/>
        <v>1</v>
      </c>
      <c r="W18" s="61">
        <f>0.7/0.6*J18</f>
        <v>58.333333333333336</v>
      </c>
      <c r="X18" s="15">
        <v>9.4</v>
      </c>
      <c r="Y18" s="86">
        <f t="shared" si="9"/>
        <v>0.67685767928458207</v>
      </c>
      <c r="Z18" s="86">
        <f>IF(X18&lt;5,1,0.99+(X18^1.5/1000))</f>
        <v>1.0188198542675011</v>
      </c>
      <c r="AA18" s="87">
        <f>Y18+Z18*W18</f>
        <v>60.108015844888811</v>
      </c>
      <c r="AB18" s="62">
        <v>4.4999999999999998E-2</v>
      </c>
      <c r="AC18" s="88">
        <f>IF(E18&lt;9.15,1-0.00765*E18,1.174-0.0267*E18)</f>
        <v>0.98011000000000004</v>
      </c>
      <c r="AD18" s="89">
        <f>0.65*AB18*(M18/N18)*AC18</f>
        <v>1.7043003058530987E-2</v>
      </c>
      <c r="AE18" s="88" t="e">
        <f>2.2*AI18</f>
        <v>#N/A</v>
      </c>
      <c r="AF18" s="89" t="e">
        <f>1.76*AI18</f>
        <v>#N/A</v>
      </c>
      <c r="AG18" s="89" t="e">
        <f>1.44*AI18</f>
        <v>#N/A</v>
      </c>
      <c r="AH18" s="53" t="e">
        <f t="shared" si="13"/>
        <v>#N/A</v>
      </c>
      <c r="AI18" s="53" t="e">
        <f>IF(AND(AA18&lt;=30,OR(I18="SAND",I18="GRAVEL")),(0.048+-0.004721*AA18+0.0006136*AA18^2+-0.00001673*AA18^3)/(1+-0.1248*AA18+0.009578*AA18^2+-0.0003285*AA18^3+0.000003714*AA18^4),#N/A)</f>
        <v>#N/A</v>
      </c>
      <c r="AJ18" s="53" t="e">
        <f t="shared" si="14"/>
        <v>#N/A</v>
      </c>
      <c r="AK18" s="53" t="e">
        <f>0.89*AI18</f>
        <v>#N/A</v>
      </c>
      <c r="AL18" s="27" t="str">
        <f t="shared" si="15"/>
        <v>not applicable</v>
      </c>
      <c r="AM18" s="27" t="str">
        <f t="shared" si="15"/>
        <v>not applicable</v>
      </c>
      <c r="AN18" s="27" t="str">
        <f t="shared" si="15"/>
        <v>not applicable</v>
      </c>
      <c r="AO18" s="27"/>
      <c r="AP18" s="27"/>
      <c r="AQ18" s="27"/>
      <c r="AR18" s="27"/>
      <c r="AS18" s="73"/>
      <c r="AT18" s="73"/>
      <c r="AU18" s="76"/>
      <c r="AX18" s="93">
        <f>IF(OR(AN18&gt;1,AN18="not applicable"),0,1-AN18)</f>
        <v>0</v>
      </c>
      <c r="AY18" s="29">
        <f>10-(0.5*E18)</f>
        <v>8.6999999999999993</v>
      </c>
      <c r="AZ18" s="29">
        <f>E18-E17</f>
        <v>1</v>
      </c>
      <c r="BA18" s="30">
        <f>AZ18*AY18*AX18</f>
        <v>0</v>
      </c>
      <c r="BB18" s="306"/>
    </row>
    <row r="19" spans="2:54" ht="12" hidden="1" thickBot="1">
      <c r="B19" s="74"/>
      <c r="C19" s="15" t="s">
        <v>90</v>
      </c>
      <c r="D19" s="15">
        <v>2.7</v>
      </c>
      <c r="E19" s="16">
        <v>3.6</v>
      </c>
      <c r="F19" s="15">
        <v>2.5249999999999999</v>
      </c>
      <c r="G19" s="85">
        <f>F19-E19</f>
        <v>-1.0750000000000002</v>
      </c>
      <c r="H19" s="20" t="s">
        <v>10</v>
      </c>
      <c r="I19" s="21" t="s">
        <v>11</v>
      </c>
      <c r="J19" s="15"/>
      <c r="K19" s="15">
        <v>21</v>
      </c>
      <c r="L19" s="15">
        <v>21</v>
      </c>
      <c r="M19" s="86">
        <f>K19*D19+L19*(E19-D19)</f>
        <v>75.599999999999994</v>
      </c>
      <c r="N19" s="86">
        <f>K19*D19+(L19-10)*(E19-D19)</f>
        <v>66.599999999999994</v>
      </c>
      <c r="O19" s="23">
        <v>60</v>
      </c>
      <c r="P19" s="15">
        <v>1.05</v>
      </c>
      <c r="Q19" s="15">
        <v>1</v>
      </c>
      <c r="R19" s="15">
        <f t="shared" si="3"/>
        <v>0.75</v>
      </c>
      <c r="S19" s="60">
        <f t="shared" si="4"/>
        <v>0</v>
      </c>
      <c r="T19" s="24">
        <f t="shared" si="5"/>
        <v>1.2253577034896797</v>
      </c>
      <c r="U19" s="24">
        <f t="shared" si="6"/>
        <v>1.2004801920768309</v>
      </c>
      <c r="V19" s="24">
        <f t="shared" si="7"/>
        <v>1</v>
      </c>
      <c r="W19" s="61">
        <f>0.7/0.6*J19</f>
        <v>0</v>
      </c>
      <c r="X19" s="15"/>
      <c r="Y19" s="86">
        <f t="shared" si="9"/>
        <v>0</v>
      </c>
      <c r="Z19" s="86">
        <f>IF(X19&lt;5,1,0.99+(X19^1.5/1000))</f>
        <v>1</v>
      </c>
      <c r="AA19" s="87">
        <f>Y19+Z19*W19</f>
        <v>0</v>
      </c>
      <c r="AB19" s="62">
        <v>4.4999999999999998E-2</v>
      </c>
      <c r="AC19" s="88">
        <f>IF(E19&lt;9.15,1-0.00765*E19,1.174-0.0267*E19)</f>
        <v>0.97245999999999999</v>
      </c>
      <c r="AD19" s="89">
        <f>0.65*AB19*(M19/N19)*AC19</f>
        <v>3.228830027027027E-2</v>
      </c>
      <c r="AE19" s="88">
        <f>2.2*AI19</f>
        <v>0.10560000000000001</v>
      </c>
      <c r="AF19" s="89">
        <f>1.76*AI19</f>
        <v>8.448E-2</v>
      </c>
      <c r="AG19" s="89">
        <f>1.44*AI19</f>
        <v>6.9120000000000001E-2</v>
      </c>
      <c r="AH19" s="53">
        <f t="shared" si="13"/>
        <v>5.7119999999999997E-2</v>
      </c>
      <c r="AI19" s="53">
        <f>IF(AND(AA19&lt;=30,OR(I19="SAND",I19="GRAVEL")),(0.048+-0.004721*AA19+0.0006136*AA19^2+-0.00001673*AA19^3)/(1+-0.1248*AA19+0.009578*AA19^2+-0.0003285*AA19^3+0.000003714*AA19^4),#N/A)</f>
        <v>4.8000000000000001E-2</v>
      </c>
      <c r="AJ19" s="53">
        <f t="shared" si="14"/>
        <v>4.512E-2</v>
      </c>
      <c r="AK19" s="53">
        <f>0.89*AI19</f>
        <v>4.2720000000000001E-2</v>
      </c>
      <c r="AL19" s="27">
        <f t="shared" si="15"/>
        <v>2.7254454171756688</v>
      </c>
      <c r="AM19" s="27">
        <f t="shared" si="15"/>
        <v>2.1803563337405349</v>
      </c>
      <c r="AN19" s="27">
        <f t="shared" si="15"/>
        <v>1.7839279094240741</v>
      </c>
      <c r="AO19" s="27"/>
      <c r="AP19" s="27"/>
      <c r="AQ19" s="27"/>
      <c r="AR19" s="27"/>
      <c r="AS19" s="73"/>
      <c r="AT19" s="73"/>
      <c r="AU19" s="76"/>
      <c r="AX19" s="94">
        <f>IF(OR(AN19&gt;1,AN19="not applicable"),0,1-AN19)</f>
        <v>0</v>
      </c>
      <c r="AY19" s="95">
        <f>10-(0.5*E19)</f>
        <v>8.1999999999999993</v>
      </c>
      <c r="AZ19" s="95">
        <f>E19-E18</f>
        <v>1</v>
      </c>
      <c r="BA19" s="96">
        <f>AZ19*AY19*AX19</f>
        <v>0</v>
      </c>
      <c r="BB19" s="307"/>
    </row>
    <row r="20" spans="2:54" ht="14.25" customHeight="1">
      <c r="B20" s="74"/>
      <c r="C20" s="97" t="s">
        <v>25</v>
      </c>
      <c r="D20" s="75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6"/>
    </row>
    <row r="21" spans="2:54" ht="13.5" customHeight="1">
      <c r="B21" s="74"/>
      <c r="C21" s="98">
        <v>1</v>
      </c>
      <c r="D21" s="99" t="e">
        <v>#N/A</v>
      </c>
      <c r="E21" s="99" t="s">
        <v>19</v>
      </c>
      <c r="F21" s="46" t="s">
        <v>76</v>
      </c>
      <c r="G21" s="99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6"/>
    </row>
    <row r="22" spans="2:54">
      <c r="B22" s="74"/>
      <c r="C22" s="98">
        <v>2</v>
      </c>
      <c r="D22" s="73" t="s">
        <v>83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6"/>
    </row>
    <row r="23" spans="2:54">
      <c r="B23" s="74"/>
      <c r="C23" s="98">
        <v>3</v>
      </c>
      <c r="D23" s="73" t="s">
        <v>22</v>
      </c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6"/>
    </row>
    <row r="24" spans="2:54">
      <c r="B24" s="74"/>
      <c r="C24" s="98">
        <v>4</v>
      </c>
      <c r="D24" s="73" t="s">
        <v>24</v>
      </c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6"/>
    </row>
    <row r="25" spans="2:54">
      <c r="B25" s="74"/>
      <c r="C25" s="98">
        <v>5</v>
      </c>
      <c r="D25" s="73" t="s">
        <v>84</v>
      </c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6"/>
    </row>
    <row r="26" spans="2:54">
      <c r="B26" s="74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6"/>
    </row>
    <row r="27" spans="2:54">
      <c r="B27" s="74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6"/>
    </row>
    <row r="28" spans="2:54">
      <c r="B28" s="74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6"/>
    </row>
    <row r="29" spans="2:54">
      <c r="B29" s="74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6"/>
    </row>
    <row r="30" spans="2:54">
      <c r="B30" s="74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6"/>
    </row>
    <row r="31" spans="2:54">
      <c r="B31" s="74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6"/>
    </row>
    <row r="32" spans="2:54">
      <c r="B32" s="74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6"/>
    </row>
    <row r="33" spans="2:47">
      <c r="B33" s="74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6"/>
    </row>
    <row r="34" spans="2:47">
      <c r="B34" s="74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6"/>
    </row>
    <row r="35" spans="2:47">
      <c r="B35" s="74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6"/>
    </row>
    <row r="36" spans="2:47">
      <c r="B36" s="74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6"/>
    </row>
    <row r="37" spans="2:47">
      <c r="B37" s="74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6"/>
    </row>
    <row r="38" spans="2:47">
      <c r="B38" s="74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6"/>
    </row>
    <row r="39" spans="2:47">
      <c r="B39" s="74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6"/>
    </row>
    <row r="40" spans="2:47">
      <c r="B40" s="74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6"/>
    </row>
    <row r="41" spans="2:47">
      <c r="B41" s="74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6"/>
    </row>
    <row r="42" spans="2:47">
      <c r="B42" s="74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6"/>
    </row>
    <row r="43" spans="2:47">
      <c r="B43" s="74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6"/>
    </row>
    <row r="44" spans="2:47"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  <c r="AN44" s="101"/>
      <c r="AO44" s="101"/>
      <c r="AP44" s="101"/>
      <c r="AQ44" s="101"/>
      <c r="AR44" s="101"/>
      <c r="AS44" s="101"/>
      <c r="AT44" s="101"/>
      <c r="AU44" s="102"/>
    </row>
    <row r="46" spans="2:47">
      <c r="C46" s="103"/>
      <c r="D46" s="103"/>
      <c r="E46" s="103"/>
      <c r="F46" s="103"/>
      <c r="G46" s="103"/>
      <c r="H46" s="104"/>
      <c r="I46" s="104"/>
      <c r="J46" s="103"/>
      <c r="K46" s="103"/>
      <c r="L46" s="10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105"/>
      <c r="Y46" s="73"/>
      <c r="Z46" s="73"/>
      <c r="AA46" s="73"/>
      <c r="AB46" s="73"/>
    </row>
    <row r="47" spans="2:47"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105"/>
      <c r="Y47" s="73"/>
      <c r="Z47" s="73"/>
      <c r="AA47" s="73"/>
      <c r="AB47" s="73"/>
    </row>
    <row r="48" spans="2:47">
      <c r="C48" s="106"/>
      <c r="D48" s="107"/>
      <c r="E48" s="108"/>
      <c r="F48" s="108"/>
      <c r="G48" s="108"/>
      <c r="H48" s="109"/>
      <c r="I48" s="109"/>
      <c r="J48" s="106"/>
      <c r="K48" s="99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105"/>
      <c r="Y48" s="73"/>
      <c r="Z48" s="73"/>
      <c r="AA48" s="73"/>
      <c r="AB48" s="73"/>
    </row>
    <row r="49" spans="3:28">
      <c r="C49" s="106"/>
      <c r="D49" s="107"/>
      <c r="E49" s="108"/>
      <c r="F49" s="108"/>
      <c r="G49" s="108"/>
      <c r="H49" s="109"/>
      <c r="I49" s="109"/>
      <c r="J49" s="106"/>
      <c r="K49" s="99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</row>
    <row r="50" spans="3:28">
      <c r="C50" s="106"/>
      <c r="D50" s="107"/>
      <c r="E50" s="108"/>
      <c r="F50" s="108"/>
      <c r="G50" s="108"/>
      <c r="H50" s="109"/>
      <c r="I50" s="109"/>
      <c r="J50" s="106"/>
      <c r="K50" s="99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</row>
    <row r="51" spans="3:28">
      <c r="C51" s="106"/>
      <c r="D51" s="107"/>
      <c r="E51" s="108"/>
      <c r="F51" s="108"/>
      <c r="G51" s="108"/>
      <c r="H51" s="109"/>
      <c r="I51" s="109"/>
      <c r="J51" s="106"/>
      <c r="K51" s="99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</row>
    <row r="52" spans="3:28">
      <c r="C52" s="106"/>
      <c r="D52" s="107"/>
      <c r="E52" s="108"/>
      <c r="F52" s="108"/>
      <c r="G52" s="108"/>
      <c r="H52" s="109"/>
      <c r="I52" s="109"/>
      <c r="J52" s="106"/>
      <c r="K52" s="99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</row>
    <row r="53" spans="3:28">
      <c r="C53" s="106"/>
      <c r="D53" s="107"/>
      <c r="E53" s="108"/>
      <c r="F53" s="108"/>
      <c r="G53" s="108"/>
      <c r="H53" s="109"/>
      <c r="I53" s="109"/>
      <c r="J53" s="106"/>
      <c r="K53" s="99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</row>
    <row r="54" spans="3:28">
      <c r="C54" s="106"/>
      <c r="D54" s="107"/>
      <c r="E54" s="108"/>
      <c r="F54" s="108"/>
      <c r="G54" s="108"/>
      <c r="H54" s="109"/>
      <c r="I54" s="109"/>
      <c r="J54" s="106"/>
      <c r="K54" s="99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</row>
    <row r="55" spans="3:28">
      <c r="C55" s="106"/>
      <c r="D55" s="107"/>
      <c r="E55" s="108"/>
      <c r="F55" s="108"/>
      <c r="G55" s="108"/>
      <c r="H55" s="109"/>
      <c r="I55" s="109"/>
      <c r="J55" s="106"/>
      <c r="K55" s="99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</row>
    <row r="56" spans="3:28">
      <c r="C56" s="106"/>
      <c r="D56" s="107"/>
      <c r="E56" s="108"/>
      <c r="F56" s="108"/>
      <c r="G56" s="108"/>
      <c r="H56" s="109"/>
      <c r="I56" s="109"/>
      <c r="J56" s="106"/>
      <c r="K56" s="99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</row>
    <row r="57" spans="3:28">
      <c r="C57" s="110"/>
      <c r="D57" s="111"/>
      <c r="E57" s="112"/>
      <c r="F57" s="112"/>
      <c r="G57" s="112"/>
      <c r="H57" s="113"/>
      <c r="I57" s="113"/>
      <c r="J57" s="110"/>
      <c r="K57" s="99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</row>
    <row r="58" spans="3:28">
      <c r="C58" s="110"/>
      <c r="D58" s="111"/>
      <c r="E58" s="112"/>
      <c r="F58" s="112"/>
      <c r="G58" s="112"/>
      <c r="H58" s="113"/>
      <c r="I58" s="113"/>
      <c r="J58" s="110"/>
      <c r="K58" s="99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</row>
    <row r="59" spans="3:28">
      <c r="C59" s="110"/>
      <c r="D59" s="111"/>
      <c r="E59" s="112"/>
      <c r="F59" s="112"/>
      <c r="G59" s="112"/>
      <c r="H59" s="113"/>
      <c r="I59" s="113"/>
      <c r="J59" s="110"/>
      <c r="K59" s="99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</row>
    <row r="60" spans="3:28">
      <c r="C60" s="110"/>
      <c r="D60" s="111"/>
      <c r="E60" s="112"/>
      <c r="F60" s="112"/>
      <c r="G60" s="112"/>
      <c r="H60" s="113"/>
      <c r="I60" s="113"/>
      <c r="J60" s="110"/>
      <c r="K60" s="99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</row>
    <row r="61" spans="3:28">
      <c r="C61" s="110"/>
      <c r="D61" s="111"/>
      <c r="E61" s="112"/>
      <c r="F61" s="112"/>
      <c r="G61" s="112"/>
      <c r="H61" s="113"/>
      <c r="I61" s="113"/>
      <c r="J61" s="110"/>
      <c r="K61" s="99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</row>
    <row r="62" spans="3:28">
      <c r="C62" s="110"/>
      <c r="D62" s="111"/>
      <c r="E62" s="112"/>
      <c r="F62" s="112"/>
      <c r="G62" s="112"/>
      <c r="H62" s="113"/>
      <c r="I62" s="113"/>
      <c r="J62" s="110"/>
      <c r="K62" s="99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</row>
    <row r="63" spans="3:28">
      <c r="C63" s="110"/>
      <c r="D63" s="111"/>
      <c r="E63" s="112"/>
      <c r="F63" s="112"/>
      <c r="G63" s="112"/>
      <c r="H63" s="113"/>
      <c r="I63" s="113"/>
      <c r="J63" s="110"/>
      <c r="K63" s="99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</row>
    <row r="64" spans="3:28">
      <c r="C64" s="110"/>
      <c r="D64" s="111"/>
      <c r="E64" s="112"/>
      <c r="F64" s="112"/>
      <c r="G64" s="112"/>
      <c r="H64" s="113"/>
      <c r="I64" s="113"/>
      <c r="J64" s="110"/>
      <c r="K64" s="99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</row>
    <row r="65" spans="3:28">
      <c r="C65" s="110"/>
      <c r="D65" s="111"/>
      <c r="E65" s="112"/>
      <c r="F65" s="112"/>
      <c r="G65" s="112"/>
      <c r="H65" s="113"/>
      <c r="I65" s="113"/>
      <c r="J65" s="110"/>
      <c r="K65" s="99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</row>
    <row r="66" spans="3:28">
      <c r="C66" s="110"/>
      <c r="D66" s="111"/>
      <c r="E66" s="112"/>
      <c r="F66" s="112"/>
      <c r="G66" s="112"/>
      <c r="H66" s="113"/>
      <c r="I66" s="113"/>
      <c r="J66" s="110"/>
      <c r="K66" s="99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</row>
  </sheetData>
  <mergeCells count="4">
    <mergeCell ref="AX5:BB5"/>
    <mergeCell ref="BB8:BB11"/>
    <mergeCell ref="BB12:BB15"/>
    <mergeCell ref="BB16:BB19"/>
  </mergeCells>
  <pageMargins left="0.7" right="0.7" top="0.75" bottom="0.75" header="0.3" footer="0.3"/>
  <pageSetup paperSize="9" scale="5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3E1E9-DDCC-4A77-9F82-5961A14035EA}">
  <sheetPr>
    <pageSetUpPr fitToPage="1"/>
  </sheetPr>
  <dimension ref="B1:BB65"/>
  <sheetViews>
    <sheetView view="pageBreakPreview" zoomScale="150" zoomScaleNormal="100" zoomScaleSheetLayoutView="150" workbookViewId="0">
      <selection activeCell="N28" sqref="N28"/>
    </sheetView>
  </sheetViews>
  <sheetFormatPr defaultColWidth="9.1796875" defaultRowHeight="11.5"/>
  <cols>
    <col min="1" max="2" width="1.81640625" style="6" customWidth="1"/>
    <col min="3" max="3" width="7.1796875" style="6" customWidth="1"/>
    <col min="4" max="5" width="6.1796875" style="6" customWidth="1"/>
    <col min="6" max="6" width="10" style="6" customWidth="1"/>
    <col min="7" max="7" width="8.81640625" style="6" customWidth="1"/>
    <col min="8" max="8" width="4" style="6" bestFit="1" customWidth="1"/>
    <col min="9" max="9" width="5.81640625" style="6" bestFit="1" customWidth="1"/>
    <col min="10" max="11" width="7.54296875" style="6" customWidth="1"/>
    <col min="12" max="12" width="7.81640625" style="6" customWidth="1"/>
    <col min="13" max="14" width="7.54296875" style="6" customWidth="1"/>
    <col min="15" max="17" width="7.54296875" style="6" hidden="1" customWidth="1"/>
    <col min="18" max="18" width="5" style="6" hidden="1" customWidth="1"/>
    <col min="19" max="19" width="3.453125" style="6" hidden="1" customWidth="1"/>
    <col min="20" max="20" width="7.81640625" style="6" hidden="1" customWidth="1"/>
    <col min="21" max="21" width="7.1796875" style="6" hidden="1" customWidth="1"/>
    <col min="22" max="22" width="10.1796875" style="6" hidden="1" customWidth="1"/>
    <col min="23" max="23" width="5.1796875" style="6" hidden="1" customWidth="1"/>
    <col min="24" max="24" width="6.1796875" style="6" customWidth="1"/>
    <col min="25" max="26" width="5.1796875" style="6" customWidth="1"/>
    <col min="27" max="28" width="7.54296875" style="6" customWidth="1"/>
    <col min="29" max="30" width="5.453125" style="6" bestFit="1" customWidth="1"/>
    <col min="31" max="31" width="5" style="6" hidden="1" customWidth="1"/>
    <col min="32" max="32" width="6.453125" style="6" hidden="1" customWidth="1"/>
    <col min="33" max="33" width="6.1796875" style="6" bestFit="1" customWidth="1"/>
    <col min="34" max="34" width="9" style="6" hidden="1" customWidth="1"/>
    <col min="35" max="35" width="8.54296875" style="6" hidden="1" customWidth="1"/>
    <col min="36" max="36" width="6.81640625" style="6" hidden="1" customWidth="1"/>
    <col min="37" max="37" width="6.1796875" style="6" hidden="1" customWidth="1"/>
    <col min="38" max="38" width="6.81640625" style="6" hidden="1" customWidth="1"/>
    <col min="39" max="39" width="6.453125" style="6" hidden="1" customWidth="1"/>
    <col min="40" max="40" width="14.81640625" style="6" customWidth="1"/>
    <col min="41" max="44" width="6.81640625" style="6" hidden="1" customWidth="1"/>
    <col min="45" max="47" width="4.453125" style="6" customWidth="1"/>
    <col min="48" max="48" width="4.453125" style="73" customWidth="1"/>
    <col min="49" max="49" width="4.453125" style="6" customWidth="1"/>
    <col min="50" max="53" width="9.1796875" style="6"/>
    <col min="54" max="54" width="12.54296875" style="6" customWidth="1"/>
    <col min="55" max="16384" width="9.1796875" style="6"/>
  </cols>
  <sheetData>
    <row r="1" spans="2:54" ht="6.75" customHeight="1">
      <c r="AV1" s="6"/>
    </row>
    <row r="2" spans="2:54" ht="6.75" customHeight="1">
      <c r="B2" s="70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2"/>
    </row>
    <row r="3" spans="2:54">
      <c r="B3" s="74"/>
      <c r="C3" s="75" t="s">
        <v>27</v>
      </c>
      <c r="D3" s="75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6"/>
    </row>
    <row r="4" spans="2:54" ht="12.5" thickBot="1">
      <c r="B4" s="74"/>
      <c r="C4" s="77" t="s">
        <v>77</v>
      </c>
      <c r="D4" s="77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6"/>
    </row>
    <row r="5" spans="2:54">
      <c r="B5" s="74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6"/>
      <c r="AX5" s="302" t="s">
        <v>47</v>
      </c>
      <c r="AY5" s="303"/>
      <c r="AZ5" s="303"/>
      <c r="BA5" s="303"/>
      <c r="BB5" s="304"/>
    </row>
    <row r="6" spans="2:54" ht="13.5">
      <c r="B6" s="74"/>
      <c r="C6" s="1" t="s">
        <v>4</v>
      </c>
      <c r="D6" s="1" t="s">
        <v>20</v>
      </c>
      <c r="E6" s="1" t="s">
        <v>5</v>
      </c>
      <c r="F6" s="2" t="s">
        <v>45</v>
      </c>
      <c r="G6" s="2" t="s">
        <v>46</v>
      </c>
      <c r="H6" s="3" t="s">
        <v>26</v>
      </c>
      <c r="I6" s="4"/>
      <c r="J6" s="1" t="s">
        <v>6</v>
      </c>
      <c r="K6" s="1" t="s">
        <v>48</v>
      </c>
      <c r="L6" s="1" t="s">
        <v>49</v>
      </c>
      <c r="M6" s="5" t="s">
        <v>50</v>
      </c>
      <c r="N6" s="5" t="s">
        <v>51</v>
      </c>
      <c r="O6" s="1" t="s">
        <v>52</v>
      </c>
      <c r="P6" s="1" t="s">
        <v>53</v>
      </c>
      <c r="Q6" s="1" t="s">
        <v>54</v>
      </c>
      <c r="R6" s="1" t="s">
        <v>55</v>
      </c>
      <c r="S6" s="1" t="s">
        <v>56</v>
      </c>
      <c r="T6" s="1" t="s">
        <v>57</v>
      </c>
      <c r="U6" s="1" t="s">
        <v>58</v>
      </c>
      <c r="V6" s="1" t="s">
        <v>21</v>
      </c>
      <c r="W6" s="1" t="s">
        <v>59</v>
      </c>
      <c r="X6" s="1" t="s">
        <v>3</v>
      </c>
      <c r="Y6" s="1" t="s">
        <v>1</v>
      </c>
      <c r="Z6" s="1" t="s">
        <v>2</v>
      </c>
      <c r="AA6" s="1" t="s">
        <v>60</v>
      </c>
      <c r="AB6" s="1" t="s">
        <v>61</v>
      </c>
      <c r="AC6" s="1" t="s">
        <v>62</v>
      </c>
      <c r="AD6" s="1" t="s">
        <v>0</v>
      </c>
      <c r="AE6" s="1" t="s">
        <v>63</v>
      </c>
      <c r="AF6" s="1" t="s">
        <v>64</v>
      </c>
      <c r="AG6" s="1" t="s">
        <v>65</v>
      </c>
      <c r="AH6" s="1" t="s">
        <v>66</v>
      </c>
      <c r="AI6" s="1" t="s">
        <v>67</v>
      </c>
      <c r="AJ6" s="1" t="s">
        <v>68</v>
      </c>
      <c r="AK6" s="1" t="s">
        <v>69</v>
      </c>
      <c r="AL6" s="67"/>
      <c r="AM6" s="68"/>
      <c r="AN6" s="11" t="s">
        <v>23</v>
      </c>
      <c r="AO6" s="68"/>
      <c r="AP6" s="68"/>
      <c r="AQ6" s="68"/>
      <c r="AR6" s="69"/>
      <c r="AS6" s="73"/>
      <c r="AT6" s="73"/>
      <c r="AU6" s="76"/>
      <c r="AX6" s="78" t="s">
        <v>32</v>
      </c>
      <c r="AY6" s="1" t="s">
        <v>29</v>
      </c>
      <c r="AZ6" s="1" t="s">
        <v>28</v>
      </c>
      <c r="BA6" s="1" t="s">
        <v>31</v>
      </c>
      <c r="BB6" s="79" t="s">
        <v>70</v>
      </c>
    </row>
    <row r="7" spans="2:54" ht="15" thickBot="1">
      <c r="B7" s="74"/>
      <c r="C7" s="7"/>
      <c r="D7" s="7" t="s">
        <v>7</v>
      </c>
      <c r="E7" s="7" t="s">
        <v>7</v>
      </c>
      <c r="F7" s="8" t="s">
        <v>78</v>
      </c>
      <c r="G7" s="8" t="s">
        <v>79</v>
      </c>
      <c r="H7" s="8"/>
      <c r="I7" s="9"/>
      <c r="J7" s="7" t="s">
        <v>8</v>
      </c>
      <c r="K7" s="7" t="s">
        <v>71</v>
      </c>
      <c r="L7" s="7" t="s">
        <v>71</v>
      </c>
      <c r="M7" s="7" t="s">
        <v>72</v>
      </c>
      <c r="N7" s="7" t="s">
        <v>72</v>
      </c>
      <c r="O7" s="7" t="s">
        <v>9</v>
      </c>
      <c r="P7" s="7"/>
      <c r="Q7" s="7"/>
      <c r="R7" s="7"/>
      <c r="S7" s="7"/>
      <c r="T7" s="7">
        <v>1986</v>
      </c>
      <c r="U7" s="7">
        <v>1986</v>
      </c>
      <c r="V7" s="7" t="s">
        <v>73</v>
      </c>
      <c r="W7" s="7"/>
      <c r="X7" s="7" t="s">
        <v>9</v>
      </c>
      <c r="Y7" s="7"/>
      <c r="Z7" s="7"/>
      <c r="AA7" s="7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1" t="s">
        <v>12</v>
      </c>
      <c r="AM7" s="11" t="s">
        <v>13</v>
      </c>
      <c r="AN7" s="11" t="s">
        <v>14</v>
      </c>
      <c r="AO7" s="11" t="s">
        <v>15</v>
      </c>
      <c r="AP7" s="11" t="s">
        <v>16</v>
      </c>
      <c r="AQ7" s="11" t="s">
        <v>17</v>
      </c>
      <c r="AR7" s="11" t="s">
        <v>18</v>
      </c>
      <c r="AS7" s="73"/>
      <c r="AT7" s="73"/>
      <c r="AU7" s="76"/>
      <c r="AX7" s="80" t="s">
        <v>74</v>
      </c>
      <c r="AY7" s="81" t="s">
        <v>30</v>
      </c>
      <c r="AZ7" s="82"/>
      <c r="BA7" s="82"/>
      <c r="BB7" s="83" t="s">
        <v>75</v>
      </c>
    </row>
    <row r="8" spans="2:54">
      <c r="B8" s="308" t="s">
        <v>97</v>
      </c>
      <c r="C8" s="15" t="s">
        <v>98</v>
      </c>
      <c r="D8" s="114">
        <v>2.85</v>
      </c>
      <c r="E8" s="84">
        <v>0.6</v>
      </c>
      <c r="F8" s="18">
        <v>2.536</v>
      </c>
      <c r="G8" s="85">
        <f t="shared" ref="G8:G14" si="0">F8-E8</f>
        <v>1.9359999999999999</v>
      </c>
      <c r="H8" s="20" t="s">
        <v>10</v>
      </c>
      <c r="I8" s="21" t="s">
        <v>11</v>
      </c>
      <c r="J8" s="15">
        <v>29</v>
      </c>
      <c r="K8" s="15">
        <v>18</v>
      </c>
      <c r="L8" s="15">
        <v>18</v>
      </c>
      <c r="M8" s="86">
        <f t="shared" ref="M8:M14" si="1">K8*D8+L8*(E8-D8)</f>
        <v>10.800000000000004</v>
      </c>
      <c r="N8" s="86">
        <f t="shared" ref="N8:N14" si="2">K8*D8+(L8-10)*(E8-D8)</f>
        <v>33.300000000000004</v>
      </c>
      <c r="O8" s="23">
        <v>60</v>
      </c>
      <c r="P8" s="15">
        <v>1.05</v>
      </c>
      <c r="Q8" s="15">
        <v>1</v>
      </c>
      <c r="R8" s="15">
        <f t="shared" ref="R8:R18" si="3">IF(E8&lt;4,0.75,IF(AND(E8&gt;=4,E8&lt;6),0.85,IF(AND(E8&gt;=6,E8&lt;10),0.95,IF(E8&gt;=10,1))))</f>
        <v>0.75</v>
      </c>
      <c r="S8" s="60">
        <f t="shared" ref="S8:S18" si="4">ROUND((J8*O8*P8*Q8*R8)/60,0)</f>
        <v>23</v>
      </c>
      <c r="T8" s="24">
        <f t="shared" ref="T8:T18" si="5">SQRT(1/(N8/100))</f>
        <v>1.7329174830334544</v>
      </c>
      <c r="U8" s="24">
        <f t="shared" ref="U8:U18" si="6">2/(1+N8/100)</f>
        <v>1.5003750937734435</v>
      </c>
      <c r="V8" s="24">
        <f t="shared" ref="V8:V18" si="7">IF(U8&gt;1,1,U8)</f>
        <v>1</v>
      </c>
      <c r="W8" s="61">
        <f t="shared" ref="W8:W14" si="8">0.7/0.6*J8</f>
        <v>33.833333333333336</v>
      </c>
      <c r="X8" s="15">
        <v>15</v>
      </c>
      <c r="Y8" s="86">
        <f t="shared" ref="Y8:Y18" si="9">IF(X8&lt;5,0,EXP(1.76-(190/X8^2)))</f>
        <v>2.4981627346432429</v>
      </c>
      <c r="Z8" s="86">
        <f t="shared" ref="Z8:Z14" si="10">IF(X8&lt;5,1,0.99+(X8^1.5/1000))</f>
        <v>1.0480947501931113</v>
      </c>
      <c r="AA8" s="87">
        <f t="shared" ref="AA8:AA14" si="11">Y8+Z8*W8</f>
        <v>37.958701782843512</v>
      </c>
      <c r="AB8" s="62">
        <v>4.4999999999999998E-2</v>
      </c>
      <c r="AC8" s="88">
        <f t="shared" ref="AC8:AC14" si="12">IF(E8&lt;9.15,1-0.00765*E8,1.174-0.0267*E8)</f>
        <v>0.99541000000000002</v>
      </c>
      <c r="AD8" s="89">
        <f>0.65*AB8*(M8/N8)*AC8</f>
        <v>9.4429435135135152E-3</v>
      </c>
      <c r="AE8" s="88" t="e">
        <f>2.2*AI8</f>
        <v>#N/A</v>
      </c>
      <c r="AF8" s="89" t="e">
        <f>1.76*AI8</f>
        <v>#N/A</v>
      </c>
      <c r="AG8" s="89" t="e">
        <f>1.44*AI8</f>
        <v>#N/A</v>
      </c>
      <c r="AH8" s="53" t="e">
        <f t="shared" ref="AH8:AH18" si="13">1.19*AI8</f>
        <v>#N/A</v>
      </c>
      <c r="AI8" s="53" t="e">
        <f>IF(AND(AA8&lt;=30,OR(I8="SAND",I8="GRAVEL")),(0.048+-0.004721*AA8+0.0006136*AA8^2+-0.00001673*AA8^3)/(1+-0.1248*AA8+0.009578*AA8^2+-0.0003285*AA8^3+0.000003714*AA8^4),#N/A)</f>
        <v>#N/A</v>
      </c>
      <c r="AJ8" s="53" t="e">
        <f t="shared" ref="AJ8:AJ18" si="14">0.94*AI8</f>
        <v>#N/A</v>
      </c>
      <c r="AK8" s="53" t="e">
        <f>0.89*AI8</f>
        <v>#N/A</v>
      </c>
      <c r="AL8" s="27" t="str">
        <f t="shared" ref="AL8:AR18" si="15">IF(ISNA(AE8),"not applicable",AE8/(1.2*$AD8))</f>
        <v>not applicable</v>
      </c>
      <c r="AM8" s="27" t="str">
        <f t="shared" si="15"/>
        <v>not applicable</v>
      </c>
      <c r="AN8" s="27" t="str">
        <f t="shared" si="15"/>
        <v>not applicable</v>
      </c>
      <c r="AO8" s="27" t="str">
        <f t="shared" si="15"/>
        <v>not applicable</v>
      </c>
      <c r="AP8" s="27" t="str">
        <f t="shared" si="15"/>
        <v>not applicable</v>
      </c>
      <c r="AQ8" s="27" t="str">
        <f t="shared" si="15"/>
        <v>not applicable</v>
      </c>
      <c r="AR8" s="27" t="str">
        <f t="shared" si="15"/>
        <v>not applicable</v>
      </c>
      <c r="AS8" s="73"/>
      <c r="AT8" s="73"/>
      <c r="AU8" s="76"/>
      <c r="AX8" s="90">
        <f>IF(OR(AN8&gt;1,AN8="not applicable"),0,1-AN8)</f>
        <v>0</v>
      </c>
      <c r="AY8" s="91">
        <f>10-(0.5*E8)</f>
        <v>9.6999999999999993</v>
      </c>
      <c r="AZ8" s="91">
        <f>E8</f>
        <v>0.6</v>
      </c>
      <c r="BA8" s="92">
        <f>AZ8*AY8*AX8</f>
        <v>0</v>
      </c>
      <c r="BB8" s="305">
        <f>SUM(BA8:BA11)</f>
        <v>0</v>
      </c>
    </row>
    <row r="9" spans="2:54">
      <c r="B9" s="308"/>
      <c r="C9" s="15" t="s">
        <v>98</v>
      </c>
      <c r="D9" s="114">
        <v>2.85</v>
      </c>
      <c r="E9" s="84">
        <v>1.6</v>
      </c>
      <c r="F9" s="18">
        <v>2.536</v>
      </c>
      <c r="G9" s="85">
        <f t="shared" si="0"/>
        <v>0.93599999999999994</v>
      </c>
      <c r="H9" s="20" t="s">
        <v>10</v>
      </c>
      <c r="I9" s="21" t="s">
        <v>11</v>
      </c>
      <c r="J9" s="15">
        <v>20</v>
      </c>
      <c r="K9" s="15">
        <v>18</v>
      </c>
      <c r="L9" s="15">
        <v>18</v>
      </c>
      <c r="M9" s="86">
        <f t="shared" si="1"/>
        <v>28.800000000000004</v>
      </c>
      <c r="N9" s="86">
        <f t="shared" si="2"/>
        <v>41.300000000000004</v>
      </c>
      <c r="O9" s="23">
        <v>60</v>
      </c>
      <c r="P9" s="15">
        <v>1.05</v>
      </c>
      <c r="Q9" s="15">
        <v>1</v>
      </c>
      <c r="R9" s="15">
        <f t="shared" si="3"/>
        <v>0.75</v>
      </c>
      <c r="S9" s="60">
        <f t="shared" si="4"/>
        <v>16</v>
      </c>
      <c r="T9" s="24">
        <f t="shared" si="5"/>
        <v>1.5560551102236928</v>
      </c>
      <c r="U9" s="24">
        <f t="shared" si="6"/>
        <v>1.4154281670205238</v>
      </c>
      <c r="V9" s="24">
        <f t="shared" si="7"/>
        <v>1</v>
      </c>
      <c r="W9" s="61">
        <f t="shared" si="8"/>
        <v>23.333333333333336</v>
      </c>
      <c r="X9" s="15">
        <v>15</v>
      </c>
      <c r="Y9" s="86">
        <f t="shared" si="9"/>
        <v>2.4981627346432429</v>
      </c>
      <c r="Z9" s="86">
        <f t="shared" si="10"/>
        <v>1.0480947501931113</v>
      </c>
      <c r="AA9" s="87">
        <f t="shared" si="11"/>
        <v>26.953706905815842</v>
      </c>
      <c r="AB9" s="62">
        <v>4.4999999999999998E-2</v>
      </c>
      <c r="AC9" s="88">
        <f t="shared" si="12"/>
        <v>0.98775999999999997</v>
      </c>
      <c r="AD9" s="89">
        <f t="shared" ref="AD9:AD14" si="16">0.65*AB9*(M9/N9)*AC9</f>
        <v>2.0147433995157383E-2</v>
      </c>
      <c r="AE9" s="88">
        <f t="shared" ref="AE9:AE14" si="17">2.2*AI9</f>
        <v>0.70069682756305185</v>
      </c>
      <c r="AF9" s="89">
        <f t="shared" ref="AF9:AF14" si="18">1.76*AI9</f>
        <v>0.56055746205044144</v>
      </c>
      <c r="AG9" s="89">
        <f t="shared" ref="AG9:AG14" si="19">1.44*AI9</f>
        <v>0.45863792349581572</v>
      </c>
      <c r="AH9" s="53">
        <f t="shared" si="13"/>
        <v>0.37901328400001438</v>
      </c>
      <c r="AI9" s="53">
        <f t="shared" ref="AI9:AI14" si="20">IF(AND(AA9&lt;=30,OR(I9="SAND",I9="GRAVEL")),(0.048+-0.004721*AA9+0.0006136*AA9^2+-0.00001673*AA9^3)/(1+-0.1248*AA9+0.009578*AA9^2+-0.0003285*AA9^3+0.000003714*AA9^4),#N/A)</f>
        <v>0.31849855798320537</v>
      </c>
      <c r="AJ9" s="53">
        <f t="shared" si="14"/>
        <v>0.29938864450421304</v>
      </c>
      <c r="AK9" s="53">
        <f t="shared" ref="AK9:AK14" si="21">0.89*AI9</f>
        <v>0.28346371660505276</v>
      </c>
      <c r="AL9" s="27">
        <f t="shared" si="15"/>
        <v>28.982054146923073</v>
      </c>
      <c r="AM9" s="27">
        <f t="shared" si="15"/>
        <v>23.185643317538457</v>
      </c>
      <c r="AN9" s="27">
        <f t="shared" si="15"/>
        <v>18.970071805258737</v>
      </c>
      <c r="AO9" s="27">
        <f t="shared" si="15"/>
        <v>15.676656561290207</v>
      </c>
      <c r="AP9" s="27">
        <f t="shared" si="15"/>
        <v>13.173660975874123</v>
      </c>
      <c r="AQ9" s="27">
        <f t="shared" si="15"/>
        <v>12.383241317321675</v>
      </c>
      <c r="AR9" s="27">
        <f t="shared" si="15"/>
        <v>11.72455826852797</v>
      </c>
      <c r="AS9" s="73"/>
      <c r="AT9" s="73"/>
      <c r="AU9" s="76"/>
      <c r="AX9" s="93">
        <f t="shared" ref="AX9:AX14" si="22">IF(OR(AN9&gt;1,AN9="not applicable"),0,1-AN9)</f>
        <v>0</v>
      </c>
      <c r="AY9" s="29">
        <f t="shared" ref="AY9:AY14" si="23">10-(0.5*E9)</f>
        <v>9.1999999999999993</v>
      </c>
      <c r="AZ9" s="29">
        <f>E9-E8</f>
        <v>1</v>
      </c>
      <c r="BA9" s="30">
        <f t="shared" ref="BA9:BA14" si="24">AZ9*AY9*AX9</f>
        <v>0</v>
      </c>
      <c r="BB9" s="306"/>
    </row>
    <row r="10" spans="2:54">
      <c r="B10" s="308"/>
      <c r="C10" s="15" t="s">
        <v>98</v>
      </c>
      <c r="D10" s="114">
        <v>2.85</v>
      </c>
      <c r="E10" s="84">
        <v>2.6</v>
      </c>
      <c r="F10" s="18">
        <v>2.536</v>
      </c>
      <c r="G10" s="85">
        <f t="shared" si="0"/>
        <v>-6.4000000000000057E-2</v>
      </c>
      <c r="H10" s="20" t="s">
        <v>10</v>
      </c>
      <c r="I10" s="21" t="s">
        <v>11</v>
      </c>
      <c r="J10" s="15">
        <v>20</v>
      </c>
      <c r="K10" s="15">
        <v>18</v>
      </c>
      <c r="L10" s="15">
        <v>18</v>
      </c>
      <c r="M10" s="86">
        <f t="shared" si="1"/>
        <v>46.800000000000004</v>
      </c>
      <c r="N10" s="86">
        <f t="shared" si="2"/>
        <v>49.300000000000004</v>
      </c>
      <c r="O10" s="23">
        <v>60</v>
      </c>
      <c r="P10" s="15">
        <v>1.05</v>
      </c>
      <c r="Q10" s="15">
        <v>1</v>
      </c>
      <c r="R10" s="15">
        <f t="shared" si="3"/>
        <v>0.75</v>
      </c>
      <c r="S10" s="60">
        <f t="shared" si="4"/>
        <v>16</v>
      </c>
      <c r="T10" s="24">
        <f t="shared" si="5"/>
        <v>1.4242182297397126</v>
      </c>
      <c r="U10" s="24">
        <f t="shared" si="6"/>
        <v>1.3395847287340923</v>
      </c>
      <c r="V10" s="24">
        <f t="shared" si="7"/>
        <v>1</v>
      </c>
      <c r="W10" s="61">
        <f t="shared" si="8"/>
        <v>23.333333333333336</v>
      </c>
      <c r="X10" s="15">
        <v>15</v>
      </c>
      <c r="Y10" s="86">
        <f t="shared" si="9"/>
        <v>2.4981627346432429</v>
      </c>
      <c r="Z10" s="86">
        <f t="shared" si="10"/>
        <v>1.0480947501931113</v>
      </c>
      <c r="AA10" s="87">
        <f t="shared" si="11"/>
        <v>26.953706905815842</v>
      </c>
      <c r="AB10" s="62">
        <v>4.4999999999999998E-2</v>
      </c>
      <c r="AC10" s="88">
        <f t="shared" si="12"/>
        <v>0.98011000000000004</v>
      </c>
      <c r="AD10" s="89">
        <f t="shared" si="16"/>
        <v>2.7214453935091278E-2</v>
      </c>
      <c r="AE10" s="88">
        <f t="shared" si="17"/>
        <v>0.70069682756305185</v>
      </c>
      <c r="AF10" s="89">
        <f t="shared" si="18"/>
        <v>0.56055746205044144</v>
      </c>
      <c r="AG10" s="89">
        <f t="shared" si="19"/>
        <v>0.45863792349581572</v>
      </c>
      <c r="AH10" s="53">
        <f t="shared" si="13"/>
        <v>0.37901328400001438</v>
      </c>
      <c r="AI10" s="53">
        <f t="shared" si="20"/>
        <v>0.31849855798320537</v>
      </c>
      <c r="AJ10" s="53">
        <f t="shared" si="14"/>
        <v>0.29938864450421304</v>
      </c>
      <c r="AK10" s="53">
        <f t="shared" si="21"/>
        <v>0.28346371660505276</v>
      </c>
      <c r="AL10" s="27">
        <f t="shared" si="15"/>
        <v>21.456025697296486</v>
      </c>
      <c r="AM10" s="27">
        <f t="shared" si="15"/>
        <v>17.164820557837189</v>
      </c>
      <c r="AN10" s="27">
        <f t="shared" si="15"/>
        <v>14.043944092775881</v>
      </c>
      <c r="AO10" s="27">
        <f t="shared" si="15"/>
        <v>11.605759354446734</v>
      </c>
      <c r="AP10" s="27">
        <f t="shared" si="15"/>
        <v>9.7527389533165838</v>
      </c>
      <c r="AQ10" s="27">
        <f t="shared" si="15"/>
        <v>9.1675746161175891</v>
      </c>
      <c r="AR10" s="27">
        <f t="shared" si="15"/>
        <v>8.6799376684517586</v>
      </c>
      <c r="AS10" s="73"/>
      <c r="AT10" s="73"/>
      <c r="AU10" s="76"/>
      <c r="AX10" s="93">
        <f t="shared" si="22"/>
        <v>0</v>
      </c>
      <c r="AY10" s="29">
        <f t="shared" si="23"/>
        <v>8.6999999999999993</v>
      </c>
      <c r="AZ10" s="29">
        <f>E10-E9</f>
        <v>1</v>
      </c>
      <c r="BA10" s="30">
        <f t="shared" si="24"/>
        <v>0</v>
      </c>
      <c r="BB10" s="306"/>
    </row>
    <row r="11" spans="2:54" ht="12" thickBot="1">
      <c r="B11" s="308"/>
      <c r="C11" s="15" t="s">
        <v>98</v>
      </c>
      <c r="D11" s="114">
        <v>2.85</v>
      </c>
      <c r="E11" s="84">
        <v>3.6</v>
      </c>
      <c r="F11" s="18">
        <v>2.536</v>
      </c>
      <c r="G11" s="85">
        <f t="shared" si="0"/>
        <v>-1.0640000000000001</v>
      </c>
      <c r="H11" s="20" t="s">
        <v>10</v>
      </c>
      <c r="I11" s="21" t="s">
        <v>11</v>
      </c>
      <c r="J11" s="15">
        <v>32</v>
      </c>
      <c r="K11" s="15">
        <v>18</v>
      </c>
      <c r="L11" s="15">
        <v>18</v>
      </c>
      <c r="M11" s="86">
        <f t="shared" si="1"/>
        <v>64.800000000000011</v>
      </c>
      <c r="N11" s="86">
        <f t="shared" si="2"/>
        <v>57.300000000000004</v>
      </c>
      <c r="O11" s="23">
        <v>60</v>
      </c>
      <c r="P11" s="15">
        <v>1.05</v>
      </c>
      <c r="Q11" s="15">
        <v>1</v>
      </c>
      <c r="R11" s="15">
        <f t="shared" si="3"/>
        <v>0.75</v>
      </c>
      <c r="S11" s="60">
        <f t="shared" si="4"/>
        <v>25</v>
      </c>
      <c r="T11" s="24">
        <f t="shared" si="5"/>
        <v>1.3210604445218541</v>
      </c>
      <c r="U11" s="24">
        <f t="shared" si="6"/>
        <v>1.2714558169103625</v>
      </c>
      <c r="V11" s="24">
        <f t="shared" si="7"/>
        <v>1</v>
      </c>
      <c r="W11" s="61">
        <f t="shared" si="8"/>
        <v>37.333333333333336</v>
      </c>
      <c r="X11" s="15">
        <v>15</v>
      </c>
      <c r="Y11" s="86">
        <f t="shared" si="9"/>
        <v>2.4981627346432429</v>
      </c>
      <c r="Z11" s="86">
        <f t="shared" si="10"/>
        <v>1.0480947501931113</v>
      </c>
      <c r="AA11" s="87">
        <f t="shared" si="11"/>
        <v>41.627033408519402</v>
      </c>
      <c r="AB11" s="62">
        <v>4.4999999999999998E-2</v>
      </c>
      <c r="AC11" s="88">
        <f t="shared" si="12"/>
        <v>0.97245999999999999</v>
      </c>
      <c r="AD11" s="89">
        <f t="shared" si="16"/>
        <v>3.2167551204188481E-2</v>
      </c>
      <c r="AE11" s="88" t="e">
        <f t="shared" si="17"/>
        <v>#N/A</v>
      </c>
      <c r="AF11" s="89" t="e">
        <f t="shared" si="18"/>
        <v>#N/A</v>
      </c>
      <c r="AG11" s="89" t="e">
        <f t="shared" si="19"/>
        <v>#N/A</v>
      </c>
      <c r="AH11" s="53" t="e">
        <f t="shared" si="13"/>
        <v>#N/A</v>
      </c>
      <c r="AI11" s="53" t="e">
        <f t="shared" si="20"/>
        <v>#N/A</v>
      </c>
      <c r="AJ11" s="53" t="e">
        <f t="shared" si="14"/>
        <v>#N/A</v>
      </c>
      <c r="AK11" s="53" t="e">
        <f t="shared" si="21"/>
        <v>#N/A</v>
      </c>
      <c r="AL11" s="27" t="str">
        <f t="shared" si="15"/>
        <v>not applicable</v>
      </c>
      <c r="AM11" s="27" t="str">
        <f t="shared" si="15"/>
        <v>not applicable</v>
      </c>
      <c r="AN11" s="27" t="str">
        <f t="shared" si="15"/>
        <v>not applicable</v>
      </c>
      <c r="AO11" s="27" t="str">
        <f t="shared" si="15"/>
        <v>not applicable</v>
      </c>
      <c r="AP11" s="27" t="str">
        <f t="shared" si="15"/>
        <v>not applicable</v>
      </c>
      <c r="AQ11" s="27" t="str">
        <f t="shared" si="15"/>
        <v>not applicable</v>
      </c>
      <c r="AR11" s="27" t="str">
        <f t="shared" si="15"/>
        <v>not applicable</v>
      </c>
      <c r="AS11" s="73"/>
      <c r="AT11" s="73"/>
      <c r="AU11" s="76"/>
      <c r="AX11" s="93">
        <f t="shared" si="22"/>
        <v>0</v>
      </c>
      <c r="AY11" s="29">
        <f t="shared" si="23"/>
        <v>8.1999999999999993</v>
      </c>
      <c r="AZ11" s="29">
        <f>E11-E10</f>
        <v>1</v>
      </c>
      <c r="BA11" s="30">
        <f t="shared" si="24"/>
        <v>0</v>
      </c>
      <c r="BB11" s="306"/>
    </row>
    <row r="12" spans="2:54">
      <c r="B12" s="308" t="s">
        <v>96</v>
      </c>
      <c r="C12" s="33" t="s">
        <v>95</v>
      </c>
      <c r="D12" s="118">
        <v>2.8</v>
      </c>
      <c r="E12" s="38">
        <v>0.6</v>
      </c>
      <c r="F12" s="33">
        <v>2.5390000000000001</v>
      </c>
      <c r="G12" s="85">
        <f t="shared" si="0"/>
        <v>1.9390000000000001</v>
      </c>
      <c r="H12" s="41" t="s">
        <v>10</v>
      </c>
      <c r="I12" s="116" t="s">
        <v>11</v>
      </c>
      <c r="J12" s="33">
        <v>28</v>
      </c>
      <c r="K12" s="33">
        <v>18</v>
      </c>
      <c r="L12" s="33">
        <v>18</v>
      </c>
      <c r="M12" s="86">
        <f t="shared" si="1"/>
        <v>10.800000000000004</v>
      </c>
      <c r="N12" s="86">
        <f t="shared" si="2"/>
        <v>32.799999999999997</v>
      </c>
      <c r="O12" s="34">
        <v>60</v>
      </c>
      <c r="P12" s="33">
        <v>1.05</v>
      </c>
      <c r="Q12" s="33">
        <v>1</v>
      </c>
      <c r="R12" s="33">
        <f t="shared" si="3"/>
        <v>0.75</v>
      </c>
      <c r="S12" s="64">
        <f t="shared" si="4"/>
        <v>22</v>
      </c>
      <c r="T12" s="35">
        <f t="shared" si="5"/>
        <v>1.7460757394239457</v>
      </c>
      <c r="U12" s="35">
        <f t="shared" si="6"/>
        <v>1.5060240963855422</v>
      </c>
      <c r="V12" s="35">
        <f t="shared" si="7"/>
        <v>1</v>
      </c>
      <c r="W12" s="65">
        <f t="shared" si="8"/>
        <v>32.666666666666671</v>
      </c>
      <c r="X12" s="33">
        <v>23</v>
      </c>
      <c r="Y12" s="86">
        <f t="shared" si="9"/>
        <v>4.0585743151227893</v>
      </c>
      <c r="Z12" s="86">
        <f t="shared" si="10"/>
        <v>1.1003041250361925</v>
      </c>
      <c r="AA12" s="87">
        <f t="shared" si="11"/>
        <v>40.001842399638413</v>
      </c>
      <c r="AB12" s="63">
        <v>4.4999999999999998E-2</v>
      </c>
      <c r="AC12" s="88">
        <f t="shared" si="12"/>
        <v>0.99541000000000002</v>
      </c>
      <c r="AD12" s="89">
        <f t="shared" si="16"/>
        <v>9.5868908231707371E-3</v>
      </c>
      <c r="AE12" s="88" t="e">
        <f t="shared" si="17"/>
        <v>#N/A</v>
      </c>
      <c r="AF12" s="89" t="e">
        <f t="shared" si="18"/>
        <v>#N/A</v>
      </c>
      <c r="AG12" s="89" t="e">
        <f t="shared" si="19"/>
        <v>#N/A</v>
      </c>
      <c r="AH12" s="53" t="e">
        <f t="shared" si="13"/>
        <v>#N/A</v>
      </c>
      <c r="AI12" s="53" t="e">
        <f t="shared" si="20"/>
        <v>#N/A</v>
      </c>
      <c r="AJ12" s="53" t="e">
        <f t="shared" si="14"/>
        <v>#N/A</v>
      </c>
      <c r="AK12" s="53" t="e">
        <f t="shared" si="21"/>
        <v>#N/A</v>
      </c>
      <c r="AL12" s="27" t="str">
        <f t="shared" si="15"/>
        <v>not applicable</v>
      </c>
      <c r="AM12" s="27" t="str">
        <f t="shared" si="15"/>
        <v>not applicable</v>
      </c>
      <c r="AN12" s="27" t="str">
        <f t="shared" si="15"/>
        <v>not applicable</v>
      </c>
      <c r="AO12" s="27"/>
      <c r="AP12" s="27"/>
      <c r="AQ12" s="27"/>
      <c r="AR12" s="27"/>
      <c r="AS12" s="73"/>
      <c r="AT12" s="73"/>
      <c r="AU12" s="76"/>
      <c r="AX12" s="90">
        <f t="shared" si="22"/>
        <v>0</v>
      </c>
      <c r="AY12" s="91">
        <f t="shared" si="23"/>
        <v>9.6999999999999993</v>
      </c>
      <c r="AZ12" s="91">
        <f>E12</f>
        <v>0.6</v>
      </c>
      <c r="BA12" s="92">
        <f t="shared" si="24"/>
        <v>0</v>
      </c>
      <c r="BB12" s="305">
        <f>SUM(BA12:BA14)</f>
        <v>0</v>
      </c>
    </row>
    <row r="13" spans="2:54" ht="12.75" customHeight="1">
      <c r="B13" s="308"/>
      <c r="C13" s="33" t="s">
        <v>95</v>
      </c>
      <c r="D13" s="118">
        <v>2.8</v>
      </c>
      <c r="E13" s="38">
        <v>1.6</v>
      </c>
      <c r="F13" s="33">
        <v>2.5390000000000001</v>
      </c>
      <c r="G13" s="85">
        <f t="shared" si="0"/>
        <v>0.93900000000000006</v>
      </c>
      <c r="H13" s="64" t="s">
        <v>10</v>
      </c>
      <c r="I13" s="115" t="s">
        <v>11</v>
      </c>
      <c r="J13" s="115">
        <v>33</v>
      </c>
      <c r="K13" s="33">
        <v>18</v>
      </c>
      <c r="L13" s="33">
        <v>18</v>
      </c>
      <c r="M13" s="86">
        <f t="shared" si="1"/>
        <v>28.800000000000004</v>
      </c>
      <c r="N13" s="86">
        <f t="shared" si="2"/>
        <v>40.799999999999997</v>
      </c>
      <c r="O13" s="34">
        <v>60</v>
      </c>
      <c r="P13" s="33">
        <v>1.05</v>
      </c>
      <c r="Q13" s="33">
        <v>1</v>
      </c>
      <c r="R13" s="33">
        <f t="shared" si="3"/>
        <v>0.75</v>
      </c>
      <c r="S13" s="64">
        <f t="shared" si="4"/>
        <v>26</v>
      </c>
      <c r="T13" s="35">
        <f t="shared" si="5"/>
        <v>1.5655607277128738</v>
      </c>
      <c r="U13" s="35">
        <f t="shared" si="6"/>
        <v>1.4204545454545456</v>
      </c>
      <c r="V13" s="35">
        <f t="shared" si="7"/>
        <v>1</v>
      </c>
      <c r="W13" s="65">
        <f t="shared" si="8"/>
        <v>38.5</v>
      </c>
      <c r="X13" s="33">
        <v>23</v>
      </c>
      <c r="Y13" s="86">
        <f t="shared" si="9"/>
        <v>4.0585743151227893</v>
      </c>
      <c r="Z13" s="86">
        <f t="shared" si="10"/>
        <v>1.1003041250361925</v>
      </c>
      <c r="AA13" s="87">
        <f t="shared" si="11"/>
        <v>46.420283129016198</v>
      </c>
      <c r="AB13" s="63">
        <v>4.4999999999999998E-2</v>
      </c>
      <c r="AC13" s="88">
        <f t="shared" si="12"/>
        <v>0.98775999999999997</v>
      </c>
      <c r="AD13" s="89">
        <f t="shared" si="16"/>
        <v>2.0394338823529413E-2</v>
      </c>
      <c r="AE13" s="88" t="e">
        <f t="shared" si="17"/>
        <v>#N/A</v>
      </c>
      <c r="AF13" s="89" t="e">
        <f t="shared" si="18"/>
        <v>#N/A</v>
      </c>
      <c r="AG13" s="89" t="e">
        <f t="shared" si="19"/>
        <v>#N/A</v>
      </c>
      <c r="AH13" s="53" t="e">
        <f t="shared" si="13"/>
        <v>#N/A</v>
      </c>
      <c r="AI13" s="53" t="e">
        <f t="shared" si="20"/>
        <v>#N/A</v>
      </c>
      <c r="AJ13" s="53" t="e">
        <f t="shared" si="14"/>
        <v>#N/A</v>
      </c>
      <c r="AK13" s="53" t="e">
        <f t="shared" si="21"/>
        <v>#N/A</v>
      </c>
      <c r="AL13" s="27" t="str">
        <f t="shared" si="15"/>
        <v>not applicable</v>
      </c>
      <c r="AM13" s="27" t="str">
        <f t="shared" si="15"/>
        <v>not applicable</v>
      </c>
      <c r="AN13" s="27" t="str">
        <f t="shared" si="15"/>
        <v>not applicable</v>
      </c>
      <c r="AO13" s="27" t="str">
        <f t="shared" si="15"/>
        <v>not applicable</v>
      </c>
      <c r="AP13" s="27" t="str">
        <f t="shared" si="15"/>
        <v>not applicable</v>
      </c>
      <c r="AQ13" s="27" t="str">
        <f t="shared" si="15"/>
        <v>not applicable</v>
      </c>
      <c r="AR13" s="27" t="str">
        <f t="shared" si="15"/>
        <v>not applicable</v>
      </c>
      <c r="AS13" s="73"/>
      <c r="AT13" s="73"/>
      <c r="AU13" s="76"/>
      <c r="AX13" s="93">
        <f t="shared" si="22"/>
        <v>0</v>
      </c>
      <c r="AY13" s="29">
        <f t="shared" si="23"/>
        <v>9.1999999999999993</v>
      </c>
      <c r="AZ13" s="29">
        <f>E13-E12</f>
        <v>1</v>
      </c>
      <c r="BA13" s="30">
        <f t="shared" si="24"/>
        <v>0</v>
      </c>
      <c r="BB13" s="306"/>
    </row>
    <row r="14" spans="2:54" ht="12" thickBot="1">
      <c r="B14" s="308"/>
      <c r="C14" s="33" t="s">
        <v>95</v>
      </c>
      <c r="D14" s="118">
        <v>2.8</v>
      </c>
      <c r="E14" s="38">
        <v>2.6</v>
      </c>
      <c r="F14" s="33">
        <v>2.5390000000000001</v>
      </c>
      <c r="G14" s="85">
        <f t="shared" si="0"/>
        <v>-6.0999999999999943E-2</v>
      </c>
      <c r="H14" s="41" t="s">
        <v>10</v>
      </c>
      <c r="I14" s="117" t="s">
        <v>11</v>
      </c>
      <c r="J14" s="33">
        <v>27</v>
      </c>
      <c r="K14" s="33">
        <v>18</v>
      </c>
      <c r="L14" s="33">
        <v>18</v>
      </c>
      <c r="M14" s="86">
        <f t="shared" si="1"/>
        <v>46.800000000000004</v>
      </c>
      <c r="N14" s="86">
        <f t="shared" si="2"/>
        <v>48.8</v>
      </c>
      <c r="O14" s="34">
        <v>60</v>
      </c>
      <c r="P14" s="33">
        <v>1.05</v>
      </c>
      <c r="Q14" s="33">
        <v>1</v>
      </c>
      <c r="R14" s="33">
        <f t="shared" si="3"/>
        <v>0.75</v>
      </c>
      <c r="S14" s="64">
        <f t="shared" si="4"/>
        <v>21</v>
      </c>
      <c r="T14" s="35">
        <f t="shared" si="5"/>
        <v>1.4314958357846705</v>
      </c>
      <c r="U14" s="35">
        <f t="shared" si="6"/>
        <v>1.3440860215053763</v>
      </c>
      <c r="V14" s="35">
        <f t="shared" si="7"/>
        <v>1</v>
      </c>
      <c r="W14" s="65">
        <f t="shared" si="8"/>
        <v>31.500000000000004</v>
      </c>
      <c r="X14" s="33">
        <v>23</v>
      </c>
      <c r="Y14" s="86">
        <f t="shared" si="9"/>
        <v>4.0585743151227893</v>
      </c>
      <c r="Z14" s="86">
        <f t="shared" si="10"/>
        <v>1.1003041250361925</v>
      </c>
      <c r="AA14" s="87">
        <f t="shared" si="11"/>
        <v>38.718154253762854</v>
      </c>
      <c r="AB14" s="63">
        <v>4.4999999999999998E-2</v>
      </c>
      <c r="AC14" s="88">
        <f t="shared" si="12"/>
        <v>0.98011000000000004</v>
      </c>
      <c r="AD14" s="89">
        <f t="shared" si="16"/>
        <v>2.7493290553278694E-2</v>
      </c>
      <c r="AE14" s="88" t="e">
        <f t="shared" si="17"/>
        <v>#N/A</v>
      </c>
      <c r="AF14" s="89" t="e">
        <f t="shared" si="18"/>
        <v>#N/A</v>
      </c>
      <c r="AG14" s="89" t="e">
        <f t="shared" si="19"/>
        <v>#N/A</v>
      </c>
      <c r="AH14" s="53" t="e">
        <f t="shared" si="13"/>
        <v>#N/A</v>
      </c>
      <c r="AI14" s="53" t="e">
        <f t="shared" si="20"/>
        <v>#N/A</v>
      </c>
      <c r="AJ14" s="53" t="e">
        <f t="shared" si="14"/>
        <v>#N/A</v>
      </c>
      <c r="AK14" s="53" t="e">
        <f t="shared" si="21"/>
        <v>#N/A</v>
      </c>
      <c r="AL14" s="27" t="str">
        <f t="shared" si="15"/>
        <v>not applicable</v>
      </c>
      <c r="AM14" s="27" t="str">
        <f t="shared" si="15"/>
        <v>not applicable</v>
      </c>
      <c r="AN14" s="27" t="str">
        <f t="shared" si="15"/>
        <v>not applicable</v>
      </c>
      <c r="AO14" s="27" t="str">
        <f t="shared" si="15"/>
        <v>not applicable</v>
      </c>
      <c r="AP14" s="27" t="str">
        <f t="shared" si="15"/>
        <v>not applicable</v>
      </c>
      <c r="AQ14" s="27" t="str">
        <f t="shared" si="15"/>
        <v>not applicable</v>
      </c>
      <c r="AR14" s="27" t="str">
        <f t="shared" si="15"/>
        <v>not applicable</v>
      </c>
      <c r="AS14" s="73"/>
      <c r="AT14" s="73"/>
      <c r="AU14" s="76"/>
      <c r="AX14" s="93">
        <f t="shared" si="22"/>
        <v>0</v>
      </c>
      <c r="AY14" s="29">
        <f t="shared" si="23"/>
        <v>8.6999999999999993</v>
      </c>
      <c r="AZ14" s="29">
        <f>E14-E13</f>
        <v>1</v>
      </c>
      <c r="BA14" s="30">
        <f t="shared" si="24"/>
        <v>0</v>
      </c>
      <c r="BB14" s="306"/>
    </row>
    <row r="15" spans="2:54">
      <c r="B15" s="308" t="s">
        <v>94</v>
      </c>
      <c r="C15" s="15" t="s">
        <v>93</v>
      </c>
      <c r="D15" s="15">
        <v>4.3499999999999996</v>
      </c>
      <c r="E15" s="16">
        <v>0.6</v>
      </c>
      <c r="F15" s="114">
        <v>4.24</v>
      </c>
      <c r="G15" s="85">
        <f>F15-E15</f>
        <v>3.64</v>
      </c>
      <c r="H15" s="20" t="s">
        <v>10</v>
      </c>
      <c r="I15" s="21" t="s">
        <v>11</v>
      </c>
      <c r="J15" s="15">
        <v>31</v>
      </c>
      <c r="K15" s="15">
        <v>18</v>
      </c>
      <c r="L15" s="15">
        <v>18</v>
      </c>
      <c r="M15" s="86">
        <f>K15*D15+L15*(E15-D15)</f>
        <v>10.800000000000011</v>
      </c>
      <c r="N15" s="86">
        <f>K15*D15+(L15-10)*(E15-D15)</f>
        <v>48.3</v>
      </c>
      <c r="O15" s="23">
        <v>60</v>
      </c>
      <c r="P15" s="15">
        <v>1.05</v>
      </c>
      <c r="Q15" s="15">
        <v>1</v>
      </c>
      <c r="R15" s="15">
        <f t="shared" si="3"/>
        <v>0.75</v>
      </c>
      <c r="S15" s="60">
        <f t="shared" si="4"/>
        <v>24</v>
      </c>
      <c r="T15" s="24">
        <f t="shared" si="5"/>
        <v>1.4388861576723855</v>
      </c>
      <c r="U15" s="24">
        <f t="shared" si="6"/>
        <v>1.3486176668914363</v>
      </c>
      <c r="V15" s="24">
        <f t="shared" si="7"/>
        <v>1</v>
      </c>
      <c r="W15" s="61">
        <f>0.7/0.6*J15</f>
        <v>36.166666666666671</v>
      </c>
      <c r="X15" s="15">
        <v>13</v>
      </c>
      <c r="Y15" s="86">
        <f t="shared" si="9"/>
        <v>1.888418384193032</v>
      </c>
      <c r="Z15" s="86">
        <f>IF(X15&lt;5,1,0.99+(X15^1.5/1000))</f>
        <v>1.0368721665810319</v>
      </c>
      <c r="AA15" s="87">
        <f>Y15+Z15*W15</f>
        <v>39.388628408873686</v>
      </c>
      <c r="AB15" s="62">
        <v>4.4999999999999998E-2</v>
      </c>
      <c r="AC15" s="88">
        <f>IF(E15&lt;9.15,1-0.00765*E15,1.174-0.0267*E15)</f>
        <v>0.99541000000000002</v>
      </c>
      <c r="AD15" s="89">
        <f>0.65*AB15*(M15/N15)*AC15</f>
        <v>6.5103523602484548E-3</v>
      </c>
      <c r="AE15" s="88" t="e">
        <f>2.2*AI15</f>
        <v>#N/A</v>
      </c>
      <c r="AF15" s="89" t="e">
        <f>1.76*AI15</f>
        <v>#N/A</v>
      </c>
      <c r="AG15" s="89" t="e">
        <f>1.44*AI15</f>
        <v>#N/A</v>
      </c>
      <c r="AH15" s="53" t="e">
        <f t="shared" si="13"/>
        <v>#N/A</v>
      </c>
      <c r="AI15" s="53" t="e">
        <f>IF(AND(AA15&lt;=30,OR(I15="SAND",I15="GRAVEL")),(0.048+-0.004721*AA15+0.0006136*AA15^2+-0.00001673*AA15^3)/(1+-0.1248*AA15+0.009578*AA15^2+-0.0003285*AA15^3+0.000003714*AA15^4),#N/A)</f>
        <v>#N/A</v>
      </c>
      <c r="AJ15" s="53" t="e">
        <f t="shared" si="14"/>
        <v>#N/A</v>
      </c>
      <c r="AK15" s="53" t="e">
        <f>0.89*AI15</f>
        <v>#N/A</v>
      </c>
      <c r="AL15" s="27" t="str">
        <f t="shared" si="15"/>
        <v>not applicable</v>
      </c>
      <c r="AM15" s="27" t="str">
        <f t="shared" si="15"/>
        <v>not applicable</v>
      </c>
      <c r="AN15" s="27" t="str">
        <f t="shared" si="15"/>
        <v>not applicable</v>
      </c>
      <c r="AO15" s="27"/>
      <c r="AP15" s="27"/>
      <c r="AQ15" s="27"/>
      <c r="AR15" s="27"/>
      <c r="AS15" s="73"/>
      <c r="AT15" s="73"/>
      <c r="AU15" s="76"/>
      <c r="AX15" s="90">
        <f>IF(OR(AN15&gt;1,AN15="not applicable"),0,1-AN15)</f>
        <v>0</v>
      </c>
      <c r="AY15" s="91">
        <f>10-(0.5*E15)</f>
        <v>9.6999999999999993</v>
      </c>
      <c r="AZ15" s="91">
        <f>E15</f>
        <v>0.6</v>
      </c>
      <c r="BA15" s="92">
        <f>AZ15*AY15*AX15</f>
        <v>0</v>
      </c>
      <c r="BB15" s="305">
        <f>SUM(BA15:BA18)</f>
        <v>0</v>
      </c>
    </row>
    <row r="16" spans="2:54">
      <c r="B16" s="308"/>
      <c r="C16" s="15" t="s">
        <v>93</v>
      </c>
      <c r="D16" s="15">
        <v>4.3499999999999996</v>
      </c>
      <c r="E16" s="16">
        <v>1.6</v>
      </c>
      <c r="F16" s="114">
        <v>4.24</v>
      </c>
      <c r="G16" s="85">
        <f>F16-E16</f>
        <v>2.64</v>
      </c>
      <c r="H16" s="20" t="s">
        <v>10</v>
      </c>
      <c r="I16" s="21" t="s">
        <v>11</v>
      </c>
      <c r="J16" s="15">
        <v>33</v>
      </c>
      <c r="K16" s="15">
        <v>18</v>
      </c>
      <c r="L16" s="15">
        <v>18</v>
      </c>
      <c r="M16" s="86">
        <f>K16*D16+L16*(E16-D16)</f>
        <v>28.800000000000004</v>
      </c>
      <c r="N16" s="86">
        <f>K16*D16+(L16-10)*(E16-D16)</f>
        <v>56.3</v>
      </c>
      <c r="O16" s="23">
        <v>60</v>
      </c>
      <c r="P16" s="15">
        <v>1.05</v>
      </c>
      <c r="Q16" s="15">
        <v>1</v>
      </c>
      <c r="R16" s="15">
        <f t="shared" si="3"/>
        <v>0.75</v>
      </c>
      <c r="S16" s="60">
        <f t="shared" si="4"/>
        <v>26</v>
      </c>
      <c r="T16" s="24">
        <f t="shared" si="5"/>
        <v>1.3327411355100582</v>
      </c>
      <c r="U16" s="24">
        <f t="shared" si="6"/>
        <v>1.2795905310300704</v>
      </c>
      <c r="V16" s="24">
        <f t="shared" si="7"/>
        <v>1</v>
      </c>
      <c r="W16" s="61">
        <f>0.7/0.6*J16</f>
        <v>38.5</v>
      </c>
      <c r="X16" s="15">
        <v>13</v>
      </c>
      <c r="Y16" s="86">
        <f t="shared" si="9"/>
        <v>1.888418384193032</v>
      </c>
      <c r="Z16" s="86">
        <f>IF(X16&lt;5,1,0.99+(X16^1.5/1000))</f>
        <v>1.0368721665810319</v>
      </c>
      <c r="AA16" s="87">
        <f>Y16+Z16*W16</f>
        <v>41.807996797562758</v>
      </c>
      <c r="AB16" s="62">
        <v>4.4999999999999998E-2</v>
      </c>
      <c r="AC16" s="88">
        <f>IF(E16&lt;9.15,1-0.00765*E16,1.174-0.0267*E16)</f>
        <v>0.98775999999999997</v>
      </c>
      <c r="AD16" s="89">
        <f>0.65*AB16*(M16/N16)*AC16</f>
        <v>1.4779556376554174E-2</v>
      </c>
      <c r="AE16" s="88" t="e">
        <f>2.2*AI16</f>
        <v>#N/A</v>
      </c>
      <c r="AF16" s="89" t="e">
        <f>1.76*AI16</f>
        <v>#N/A</v>
      </c>
      <c r="AG16" s="89" t="e">
        <f>1.44*AI16</f>
        <v>#N/A</v>
      </c>
      <c r="AH16" s="53" t="e">
        <f t="shared" si="13"/>
        <v>#N/A</v>
      </c>
      <c r="AI16" s="53" t="e">
        <f>IF(AND(AA16&lt;=30,OR(I16="SAND",I16="GRAVEL")),(0.048+-0.004721*AA16+0.0006136*AA16^2+-0.00001673*AA16^3)/(1+-0.1248*AA16+0.009578*AA16^2+-0.0003285*AA16^3+0.000003714*AA16^4),#N/A)</f>
        <v>#N/A</v>
      </c>
      <c r="AJ16" s="53" t="e">
        <f t="shared" si="14"/>
        <v>#N/A</v>
      </c>
      <c r="AK16" s="53" t="e">
        <f>0.89*AI16</f>
        <v>#N/A</v>
      </c>
      <c r="AL16" s="27" t="str">
        <f t="shared" si="15"/>
        <v>not applicable</v>
      </c>
      <c r="AM16" s="27" t="str">
        <f t="shared" si="15"/>
        <v>not applicable</v>
      </c>
      <c r="AN16" s="27" t="str">
        <f t="shared" si="15"/>
        <v>not applicable</v>
      </c>
      <c r="AO16" s="27"/>
      <c r="AP16" s="27"/>
      <c r="AQ16" s="27"/>
      <c r="AR16" s="27"/>
      <c r="AS16" s="73"/>
      <c r="AT16" s="73"/>
      <c r="AU16" s="76"/>
      <c r="AX16" s="93">
        <f>IF(OR(AN16&gt;1,AN16="not applicable"),0,1-AN16)</f>
        <v>0</v>
      </c>
      <c r="AY16" s="29">
        <f>10-(0.5*E16)</f>
        <v>9.1999999999999993</v>
      </c>
      <c r="AZ16" s="29">
        <f>E16-E15</f>
        <v>1</v>
      </c>
      <c r="BA16" s="30">
        <f>AZ16*AY16*AX16</f>
        <v>0</v>
      </c>
      <c r="BB16" s="306"/>
    </row>
    <row r="17" spans="2:54">
      <c r="B17" s="308"/>
      <c r="C17" s="15" t="s">
        <v>93</v>
      </c>
      <c r="D17" s="15">
        <v>4.3499999999999996</v>
      </c>
      <c r="E17" s="16">
        <v>2.6</v>
      </c>
      <c r="F17" s="114">
        <v>4.24</v>
      </c>
      <c r="G17" s="85">
        <f>F17-E17</f>
        <v>1.6400000000000001</v>
      </c>
      <c r="H17" s="20" t="s">
        <v>10</v>
      </c>
      <c r="I17" s="21" t="s">
        <v>11</v>
      </c>
      <c r="J17" s="15">
        <v>29</v>
      </c>
      <c r="K17" s="15">
        <v>18</v>
      </c>
      <c r="L17" s="15">
        <v>18</v>
      </c>
      <c r="M17" s="86">
        <f>K17*D17+L17*(E17-D17)</f>
        <v>46.800000000000004</v>
      </c>
      <c r="N17" s="86">
        <f>K17*D17+(L17-10)*(E17-D17)</f>
        <v>64.3</v>
      </c>
      <c r="O17" s="23">
        <v>60</v>
      </c>
      <c r="P17" s="15">
        <v>1.05</v>
      </c>
      <c r="Q17" s="15">
        <v>1</v>
      </c>
      <c r="R17" s="15">
        <f t="shared" si="3"/>
        <v>0.75</v>
      </c>
      <c r="S17" s="60">
        <f t="shared" si="4"/>
        <v>23</v>
      </c>
      <c r="T17" s="24">
        <f t="shared" si="5"/>
        <v>1.2470805721138074</v>
      </c>
      <c r="U17" s="24">
        <f t="shared" si="6"/>
        <v>1.2172854534388313</v>
      </c>
      <c r="V17" s="24">
        <f t="shared" si="7"/>
        <v>1</v>
      </c>
      <c r="W17" s="61">
        <f>0.7/0.6*J17</f>
        <v>33.833333333333336</v>
      </c>
      <c r="X17" s="15">
        <v>13</v>
      </c>
      <c r="Y17" s="86">
        <f t="shared" si="9"/>
        <v>1.888418384193032</v>
      </c>
      <c r="Z17" s="86">
        <f>IF(X17&lt;5,1,0.99+(X17^1.5/1000))</f>
        <v>1.0368721665810319</v>
      </c>
      <c r="AA17" s="87">
        <f>Y17+Z17*W17</f>
        <v>36.969260020184613</v>
      </c>
      <c r="AB17" s="62">
        <v>4.4999999999999998E-2</v>
      </c>
      <c r="AC17" s="88">
        <f>IF(E17&lt;9.15,1-0.00765*E17,1.174-0.0267*E17)</f>
        <v>0.98011000000000004</v>
      </c>
      <c r="AD17" s="89">
        <f>0.65*AB17*(M17/N17)*AC17</f>
        <v>2.0865825489891136E-2</v>
      </c>
      <c r="AE17" s="88" t="e">
        <f>2.2*AI17</f>
        <v>#N/A</v>
      </c>
      <c r="AF17" s="89" t="e">
        <f>1.76*AI17</f>
        <v>#N/A</v>
      </c>
      <c r="AG17" s="89" t="e">
        <f>1.44*AI17</f>
        <v>#N/A</v>
      </c>
      <c r="AH17" s="53" t="e">
        <f t="shared" si="13"/>
        <v>#N/A</v>
      </c>
      <c r="AI17" s="53" t="e">
        <f>IF(AND(AA17&lt;=30,OR(I17="SAND",I17="GRAVEL")),(0.048+-0.004721*AA17+0.0006136*AA17^2+-0.00001673*AA17^3)/(1+-0.1248*AA17+0.009578*AA17^2+-0.0003285*AA17^3+0.000003714*AA17^4),#N/A)</f>
        <v>#N/A</v>
      </c>
      <c r="AJ17" s="53" t="e">
        <f t="shared" si="14"/>
        <v>#N/A</v>
      </c>
      <c r="AK17" s="53" t="e">
        <f>0.89*AI17</f>
        <v>#N/A</v>
      </c>
      <c r="AL17" s="27" t="str">
        <f t="shared" si="15"/>
        <v>not applicable</v>
      </c>
      <c r="AM17" s="27" t="str">
        <f t="shared" si="15"/>
        <v>not applicable</v>
      </c>
      <c r="AN17" s="27" t="str">
        <f t="shared" si="15"/>
        <v>not applicable</v>
      </c>
      <c r="AO17" s="27"/>
      <c r="AP17" s="27"/>
      <c r="AQ17" s="27"/>
      <c r="AR17" s="27"/>
      <c r="AS17" s="73"/>
      <c r="AT17" s="73"/>
      <c r="AU17" s="76"/>
      <c r="AX17" s="93">
        <f>IF(OR(AN17&gt;1,AN17="not applicable"),0,1-AN17)</f>
        <v>0</v>
      </c>
      <c r="AY17" s="29">
        <f>10-(0.5*E17)</f>
        <v>8.6999999999999993</v>
      </c>
      <c r="AZ17" s="29">
        <f>E17-E16</f>
        <v>1</v>
      </c>
      <c r="BA17" s="30">
        <f>AZ17*AY17*AX17</f>
        <v>0</v>
      </c>
      <c r="BB17" s="306"/>
    </row>
    <row r="18" spans="2:54" ht="12" thickBot="1">
      <c r="B18" s="308"/>
      <c r="C18" s="15" t="s">
        <v>93</v>
      </c>
      <c r="D18" s="15">
        <v>4.3499999999999996</v>
      </c>
      <c r="E18" s="16">
        <v>3.6</v>
      </c>
      <c r="F18" s="114">
        <v>4.24</v>
      </c>
      <c r="G18" s="85">
        <f>F18-E18</f>
        <v>0.64000000000000012</v>
      </c>
      <c r="H18" s="20" t="s">
        <v>10</v>
      </c>
      <c r="I18" s="21" t="s">
        <v>11</v>
      </c>
      <c r="J18" s="15">
        <v>47</v>
      </c>
      <c r="K18" s="15">
        <v>18</v>
      </c>
      <c r="L18" s="15">
        <v>18</v>
      </c>
      <c r="M18" s="86">
        <f>K18*D18+L18*(E18-D18)</f>
        <v>64.800000000000011</v>
      </c>
      <c r="N18" s="86">
        <f>K18*D18+(L18-10)*(E18-D18)</f>
        <v>72.3</v>
      </c>
      <c r="O18" s="23">
        <v>60</v>
      </c>
      <c r="P18" s="15">
        <v>1.05</v>
      </c>
      <c r="Q18" s="15">
        <v>1</v>
      </c>
      <c r="R18" s="15">
        <f t="shared" si="3"/>
        <v>0.75</v>
      </c>
      <c r="S18" s="60">
        <f t="shared" si="4"/>
        <v>37</v>
      </c>
      <c r="T18" s="24">
        <f t="shared" si="5"/>
        <v>1.1760637161538763</v>
      </c>
      <c r="U18" s="24">
        <f t="shared" si="6"/>
        <v>1.1607661056297156</v>
      </c>
      <c r="V18" s="24">
        <f t="shared" si="7"/>
        <v>1</v>
      </c>
      <c r="W18" s="61">
        <f>0.7/0.6*J18</f>
        <v>54.833333333333336</v>
      </c>
      <c r="X18" s="15">
        <v>13</v>
      </c>
      <c r="Y18" s="86">
        <f t="shared" si="9"/>
        <v>1.888418384193032</v>
      </c>
      <c r="Z18" s="86">
        <f>IF(X18&lt;5,1,0.99+(X18^1.5/1000))</f>
        <v>1.0368721665810319</v>
      </c>
      <c r="AA18" s="87">
        <f>Y18+Z18*W18</f>
        <v>58.74357551838628</v>
      </c>
      <c r="AB18" s="62">
        <v>4.4999999999999998E-2</v>
      </c>
      <c r="AC18" s="88">
        <f>IF(E18&lt;9.15,1-0.00765*E18,1.174-0.0267*E18)</f>
        <v>0.97245999999999999</v>
      </c>
      <c r="AD18" s="89">
        <f>0.65*AB18*(M18/N18)*AC18</f>
        <v>2.5493785394190872E-2</v>
      </c>
      <c r="AE18" s="88" t="e">
        <f>2.2*AI18</f>
        <v>#N/A</v>
      </c>
      <c r="AF18" s="89" t="e">
        <f>1.76*AI18</f>
        <v>#N/A</v>
      </c>
      <c r="AG18" s="89" t="e">
        <f>1.44*AI18</f>
        <v>#N/A</v>
      </c>
      <c r="AH18" s="53" t="e">
        <f t="shared" si="13"/>
        <v>#N/A</v>
      </c>
      <c r="AI18" s="53" t="e">
        <f>IF(AND(AA18&lt;=30,OR(I18="SAND",I18="GRAVEL")),(0.048+-0.004721*AA18+0.0006136*AA18^2+-0.00001673*AA18^3)/(1+-0.1248*AA18+0.009578*AA18^2+-0.0003285*AA18^3+0.000003714*AA18^4),#N/A)</f>
        <v>#N/A</v>
      </c>
      <c r="AJ18" s="53" t="e">
        <f t="shared" si="14"/>
        <v>#N/A</v>
      </c>
      <c r="AK18" s="53" t="e">
        <f>0.89*AI18</f>
        <v>#N/A</v>
      </c>
      <c r="AL18" s="27" t="str">
        <f t="shared" si="15"/>
        <v>not applicable</v>
      </c>
      <c r="AM18" s="27" t="str">
        <f t="shared" si="15"/>
        <v>not applicable</v>
      </c>
      <c r="AN18" s="27" t="str">
        <f t="shared" si="15"/>
        <v>not applicable</v>
      </c>
      <c r="AO18" s="27"/>
      <c r="AP18" s="27"/>
      <c r="AQ18" s="27"/>
      <c r="AR18" s="27"/>
      <c r="AS18" s="73"/>
      <c r="AT18" s="73"/>
      <c r="AU18" s="76"/>
      <c r="AX18" s="94">
        <f>IF(OR(AN18&gt;1,AN18="not applicable"),0,1-AN18)</f>
        <v>0</v>
      </c>
      <c r="AY18" s="95">
        <f>10-(0.5*E18)</f>
        <v>8.1999999999999993</v>
      </c>
      <c r="AZ18" s="95">
        <f>E18-E17</f>
        <v>1</v>
      </c>
      <c r="BA18" s="96">
        <f>AZ18*AY18*AX18</f>
        <v>0</v>
      </c>
      <c r="BB18" s="307"/>
    </row>
    <row r="19" spans="2:54" ht="14.25" customHeight="1">
      <c r="B19" s="74"/>
      <c r="C19" s="97" t="s">
        <v>25</v>
      </c>
      <c r="D19" s="75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6"/>
    </row>
    <row r="20" spans="2:54" ht="13.5" customHeight="1">
      <c r="B20" s="74"/>
      <c r="C20" s="98">
        <v>1</v>
      </c>
      <c r="D20" s="99" t="e">
        <v>#N/A</v>
      </c>
      <c r="E20" s="99" t="s">
        <v>19</v>
      </c>
      <c r="F20" s="46" t="s">
        <v>76</v>
      </c>
      <c r="G20" s="99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6"/>
    </row>
    <row r="21" spans="2:54">
      <c r="B21" s="74"/>
      <c r="C21" s="98">
        <v>2</v>
      </c>
      <c r="D21" s="73" t="s">
        <v>83</v>
      </c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6"/>
    </row>
    <row r="22" spans="2:54">
      <c r="B22" s="74"/>
      <c r="C22" s="98">
        <v>3</v>
      </c>
      <c r="D22" s="73" t="s">
        <v>22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6"/>
    </row>
    <row r="23" spans="2:54">
      <c r="B23" s="74"/>
      <c r="C23" s="98">
        <v>4</v>
      </c>
      <c r="D23" s="73" t="s">
        <v>24</v>
      </c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6"/>
    </row>
    <row r="24" spans="2:54">
      <c r="B24" s="74"/>
      <c r="C24" s="98">
        <v>5</v>
      </c>
      <c r="D24" s="73" t="s">
        <v>84</v>
      </c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6"/>
    </row>
    <row r="25" spans="2:54">
      <c r="B25" s="7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6"/>
    </row>
    <row r="26" spans="2:54">
      <c r="B26" s="74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6"/>
    </row>
    <row r="27" spans="2:54">
      <c r="B27" s="74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6"/>
    </row>
    <row r="28" spans="2:54">
      <c r="B28" s="74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6"/>
    </row>
    <row r="29" spans="2:54">
      <c r="B29" s="74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6"/>
    </row>
    <row r="30" spans="2:54">
      <c r="B30" s="74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6"/>
    </row>
    <row r="31" spans="2:54">
      <c r="B31" s="74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6"/>
    </row>
    <row r="32" spans="2:54">
      <c r="B32" s="74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6"/>
    </row>
    <row r="33" spans="2:47">
      <c r="B33" s="74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6"/>
    </row>
    <row r="34" spans="2:47">
      <c r="B34" s="74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6"/>
    </row>
    <row r="35" spans="2:47">
      <c r="B35" s="74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6"/>
    </row>
    <row r="36" spans="2:47">
      <c r="B36" s="74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6"/>
    </row>
    <row r="37" spans="2:47">
      <c r="B37" s="74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6"/>
    </row>
    <row r="38" spans="2:47">
      <c r="B38" s="74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6"/>
    </row>
    <row r="39" spans="2:47">
      <c r="B39" s="74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6"/>
    </row>
    <row r="40" spans="2:47">
      <c r="B40" s="74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6"/>
    </row>
    <row r="41" spans="2:47">
      <c r="B41" s="74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6"/>
    </row>
    <row r="42" spans="2:47">
      <c r="B42" s="74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6"/>
    </row>
    <row r="43" spans="2:47">
      <c r="B43" s="100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  <c r="AI43" s="101"/>
      <c r="AJ43" s="101"/>
      <c r="AK43" s="101"/>
      <c r="AL43" s="101"/>
      <c r="AM43" s="101"/>
      <c r="AN43" s="101"/>
      <c r="AO43" s="101"/>
      <c r="AP43" s="101"/>
      <c r="AQ43" s="101"/>
      <c r="AR43" s="101"/>
      <c r="AS43" s="101"/>
      <c r="AT43" s="101"/>
      <c r="AU43" s="102"/>
    </row>
    <row r="45" spans="2:47">
      <c r="C45" s="103"/>
      <c r="D45" s="103"/>
      <c r="E45" s="103"/>
      <c r="F45" s="103"/>
      <c r="G45" s="103"/>
      <c r="H45" s="104"/>
      <c r="I45" s="104"/>
      <c r="J45" s="103"/>
      <c r="K45" s="103"/>
      <c r="L45" s="10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105"/>
      <c r="Y45" s="73"/>
      <c r="Z45" s="73"/>
      <c r="AA45" s="73"/>
      <c r="AB45" s="73"/>
    </row>
    <row r="46" spans="2:47"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105"/>
      <c r="Y46" s="73"/>
      <c r="Z46" s="73"/>
      <c r="AA46" s="73"/>
      <c r="AB46" s="73"/>
    </row>
    <row r="47" spans="2:47">
      <c r="C47" s="106"/>
      <c r="D47" s="107"/>
      <c r="E47" s="108"/>
      <c r="F47" s="108"/>
      <c r="G47" s="108"/>
      <c r="H47" s="109"/>
      <c r="I47" s="109"/>
      <c r="J47" s="106"/>
      <c r="K47" s="99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105"/>
      <c r="Y47" s="73"/>
      <c r="Z47" s="73"/>
      <c r="AA47" s="73"/>
      <c r="AB47" s="73"/>
    </row>
    <row r="48" spans="2:47">
      <c r="C48" s="106"/>
      <c r="D48" s="107"/>
      <c r="E48" s="108"/>
      <c r="F48" s="108"/>
      <c r="G48" s="108"/>
      <c r="H48" s="109"/>
      <c r="I48" s="109"/>
      <c r="J48" s="106"/>
      <c r="K48" s="99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</row>
    <row r="49" spans="3:28">
      <c r="C49" s="106"/>
      <c r="D49" s="107"/>
      <c r="E49" s="108"/>
      <c r="F49" s="108"/>
      <c r="G49" s="108"/>
      <c r="H49" s="109"/>
      <c r="I49" s="109"/>
      <c r="J49" s="106"/>
      <c r="K49" s="99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</row>
    <row r="50" spans="3:28">
      <c r="C50" s="106"/>
      <c r="D50" s="107"/>
      <c r="E50" s="108"/>
      <c r="F50" s="108"/>
      <c r="G50" s="108"/>
      <c r="H50" s="109"/>
      <c r="I50" s="109"/>
      <c r="J50" s="106"/>
      <c r="K50" s="99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</row>
    <row r="51" spans="3:28">
      <c r="C51" s="106"/>
      <c r="D51" s="107"/>
      <c r="E51" s="108"/>
      <c r="F51" s="108"/>
      <c r="G51" s="108"/>
      <c r="H51" s="109"/>
      <c r="I51" s="109"/>
      <c r="J51" s="106"/>
      <c r="K51" s="99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</row>
    <row r="52" spans="3:28">
      <c r="C52" s="106"/>
      <c r="D52" s="107"/>
      <c r="E52" s="108"/>
      <c r="F52" s="108"/>
      <c r="G52" s="108"/>
      <c r="H52" s="109"/>
      <c r="I52" s="109"/>
      <c r="J52" s="106"/>
      <c r="K52" s="99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</row>
    <row r="53" spans="3:28">
      <c r="C53" s="106"/>
      <c r="D53" s="107"/>
      <c r="E53" s="108"/>
      <c r="F53" s="108"/>
      <c r="G53" s="108"/>
      <c r="H53" s="109"/>
      <c r="I53" s="109"/>
      <c r="J53" s="106"/>
      <c r="K53" s="99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</row>
    <row r="54" spans="3:28">
      <c r="C54" s="106"/>
      <c r="D54" s="107"/>
      <c r="E54" s="108"/>
      <c r="F54" s="108"/>
      <c r="G54" s="108"/>
      <c r="H54" s="109"/>
      <c r="I54" s="109"/>
      <c r="J54" s="106"/>
      <c r="K54" s="99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</row>
    <row r="55" spans="3:28">
      <c r="C55" s="106"/>
      <c r="D55" s="107"/>
      <c r="E55" s="108"/>
      <c r="F55" s="108"/>
      <c r="G55" s="108"/>
      <c r="H55" s="109"/>
      <c r="I55" s="109"/>
      <c r="J55" s="106"/>
      <c r="K55" s="99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</row>
    <row r="56" spans="3:28">
      <c r="C56" s="110"/>
      <c r="D56" s="111"/>
      <c r="E56" s="112"/>
      <c r="F56" s="112"/>
      <c r="G56" s="112"/>
      <c r="H56" s="113"/>
      <c r="I56" s="113"/>
      <c r="J56" s="110"/>
      <c r="K56" s="99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</row>
    <row r="57" spans="3:28">
      <c r="C57" s="110"/>
      <c r="D57" s="111"/>
      <c r="E57" s="112"/>
      <c r="F57" s="112"/>
      <c r="G57" s="112"/>
      <c r="H57" s="113"/>
      <c r="I57" s="113"/>
      <c r="J57" s="110"/>
      <c r="K57" s="99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</row>
    <row r="58" spans="3:28">
      <c r="C58" s="110"/>
      <c r="D58" s="111"/>
      <c r="E58" s="112"/>
      <c r="F58" s="112"/>
      <c r="G58" s="112"/>
      <c r="H58" s="113"/>
      <c r="I58" s="113"/>
      <c r="J58" s="110"/>
      <c r="K58" s="99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</row>
    <row r="59" spans="3:28">
      <c r="C59" s="110"/>
      <c r="D59" s="111"/>
      <c r="E59" s="112"/>
      <c r="F59" s="112"/>
      <c r="G59" s="112"/>
      <c r="H59" s="113"/>
      <c r="I59" s="113"/>
      <c r="J59" s="110"/>
      <c r="K59" s="99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</row>
    <row r="60" spans="3:28">
      <c r="C60" s="110"/>
      <c r="D60" s="111"/>
      <c r="E60" s="112"/>
      <c r="F60" s="112"/>
      <c r="G60" s="112"/>
      <c r="H60" s="113"/>
      <c r="I60" s="113"/>
      <c r="J60" s="110"/>
      <c r="K60" s="99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</row>
    <row r="61" spans="3:28">
      <c r="C61" s="110"/>
      <c r="D61" s="111"/>
      <c r="E61" s="112"/>
      <c r="F61" s="112"/>
      <c r="G61" s="112"/>
      <c r="H61" s="113"/>
      <c r="I61" s="113"/>
      <c r="J61" s="110"/>
      <c r="K61" s="99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</row>
    <row r="62" spans="3:28">
      <c r="C62" s="110"/>
      <c r="D62" s="111"/>
      <c r="E62" s="112"/>
      <c r="F62" s="112"/>
      <c r="G62" s="112"/>
      <c r="H62" s="113"/>
      <c r="I62" s="113"/>
      <c r="J62" s="110"/>
      <c r="K62" s="99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</row>
    <row r="63" spans="3:28">
      <c r="C63" s="110"/>
      <c r="D63" s="111"/>
      <c r="E63" s="112"/>
      <c r="F63" s="112"/>
      <c r="G63" s="112"/>
      <c r="H63" s="113"/>
      <c r="I63" s="113"/>
      <c r="J63" s="110"/>
      <c r="K63" s="99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</row>
    <row r="64" spans="3:28">
      <c r="C64" s="110"/>
      <c r="D64" s="111"/>
      <c r="E64" s="112"/>
      <c r="F64" s="112"/>
      <c r="G64" s="112"/>
      <c r="H64" s="113"/>
      <c r="I64" s="113"/>
      <c r="J64" s="110"/>
      <c r="K64" s="99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</row>
    <row r="65" spans="3:28">
      <c r="C65" s="110"/>
      <c r="D65" s="111"/>
      <c r="E65" s="112"/>
      <c r="F65" s="112"/>
      <c r="G65" s="112"/>
      <c r="H65" s="113"/>
      <c r="I65" s="113"/>
      <c r="J65" s="110"/>
      <c r="K65" s="99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</row>
  </sheetData>
  <mergeCells count="7">
    <mergeCell ref="AX5:BB5"/>
    <mergeCell ref="BB8:BB11"/>
    <mergeCell ref="BB12:BB14"/>
    <mergeCell ref="BB15:BB18"/>
    <mergeCell ref="B15:B18"/>
    <mergeCell ref="B12:B14"/>
    <mergeCell ref="B8:B11"/>
  </mergeCells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EF500-78A4-4D3C-905D-E2179D1DBA67}">
  <sheetPr>
    <tabColor rgb="FFFF0000"/>
  </sheetPr>
  <dimension ref="B2:Q7"/>
  <sheetViews>
    <sheetView workbookViewId="0">
      <selection activeCell="H13" sqref="H13"/>
    </sheetView>
  </sheetViews>
  <sheetFormatPr defaultRowHeight="12.5"/>
  <sheetData>
    <row r="2" spans="2:17" ht="13">
      <c r="B2" s="292" t="s">
        <v>182</v>
      </c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</row>
    <row r="3" spans="2:17" ht="22.25" customHeight="1">
      <c r="B3" s="309" t="s">
        <v>183</v>
      </c>
      <c r="C3" s="309"/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</row>
    <row r="4" spans="2:17" ht="22.25" customHeight="1">
      <c r="B4" s="309" t="s">
        <v>184</v>
      </c>
      <c r="C4" s="309"/>
      <c r="D4" s="309"/>
      <c r="E4" s="309"/>
      <c r="F4" s="309"/>
      <c r="G4" s="309"/>
      <c r="H4" s="309"/>
      <c r="I4" s="309"/>
      <c r="J4" s="309"/>
      <c r="K4" s="309"/>
      <c r="L4" s="309"/>
      <c r="M4" s="309"/>
      <c r="N4" s="309"/>
      <c r="O4" s="309"/>
      <c r="P4" s="309"/>
      <c r="Q4" s="309"/>
    </row>
    <row r="5" spans="2:17" ht="30.65" customHeight="1">
      <c r="B5" s="309" t="s">
        <v>185</v>
      </c>
      <c r="C5" s="309"/>
      <c r="D5" s="309"/>
      <c r="E5" s="309"/>
      <c r="F5" s="309"/>
      <c r="G5" s="309"/>
      <c r="H5" s="309"/>
      <c r="I5" s="309"/>
      <c r="J5" s="309"/>
      <c r="K5" s="309"/>
      <c r="L5" s="309"/>
      <c r="M5" s="309"/>
      <c r="N5" s="309"/>
      <c r="O5" s="309"/>
      <c r="P5" s="309"/>
      <c r="Q5" s="309"/>
    </row>
    <row r="6" spans="2:17" ht="27.65" customHeight="1">
      <c r="B6" s="310" t="s">
        <v>186</v>
      </c>
      <c r="C6" s="309"/>
      <c r="D6" s="309"/>
      <c r="E6" s="309"/>
      <c r="F6" s="309"/>
      <c r="G6" s="309"/>
      <c r="H6" s="309"/>
      <c r="I6" s="309"/>
      <c r="J6" s="309"/>
      <c r="K6" s="309"/>
      <c r="L6" s="309"/>
      <c r="M6" s="309"/>
      <c r="N6" s="309"/>
      <c r="O6" s="309"/>
      <c r="P6" s="309"/>
      <c r="Q6" s="309"/>
    </row>
    <row r="7" spans="2:17">
      <c r="B7" s="310" t="s">
        <v>187</v>
      </c>
      <c r="C7" s="310"/>
      <c r="D7" s="310"/>
      <c r="E7" s="310"/>
      <c r="F7" s="310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</row>
  </sheetData>
  <mergeCells count="5">
    <mergeCell ref="B3:Q3"/>
    <mergeCell ref="B4:Q4"/>
    <mergeCell ref="B5:Q5"/>
    <mergeCell ref="B6:Q6"/>
    <mergeCell ref="B7:Q7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B067E-CDF8-412F-8243-3BDA97A4DDF7}">
  <sheetPr>
    <pageSetUpPr fitToPage="1"/>
  </sheetPr>
  <dimension ref="B1:BP153"/>
  <sheetViews>
    <sheetView tabSelected="1" view="pageBreakPreview" topLeftCell="A13" zoomScaleNormal="100" zoomScaleSheetLayoutView="100" workbookViewId="0">
      <selection activeCell="E24" sqref="E24:E30"/>
    </sheetView>
  </sheetViews>
  <sheetFormatPr defaultColWidth="9.1796875" defaultRowHeight="11.5"/>
  <cols>
    <col min="1" max="2" width="1.81640625" style="6" customWidth="1"/>
    <col min="3" max="3" width="7.1796875" style="6" customWidth="1"/>
    <col min="4" max="6" width="6.1796875" style="143" customWidth="1"/>
    <col min="7" max="7" width="10" style="161" customWidth="1"/>
    <col min="8" max="8" width="8.81640625" style="6" customWidth="1"/>
    <col min="9" max="10" width="5.81640625" style="6" bestFit="1" customWidth="1"/>
    <col min="11" max="12" width="7.54296875" style="154" customWidth="1"/>
    <col min="13" max="14" width="7.81640625" style="154" customWidth="1"/>
    <col min="15" max="15" width="7.54296875" style="154" customWidth="1"/>
    <col min="16" max="16" width="7.1796875" style="154" bestFit="1" customWidth="1"/>
    <col min="17" max="17" width="5" style="154" bestFit="1" customWidth="1"/>
    <col min="18" max="18" width="4.81640625" style="6" customWidth="1"/>
    <col min="19" max="19" width="3" style="154" customWidth="1"/>
    <col min="20" max="20" width="4.81640625" style="6" customWidth="1"/>
    <col min="21" max="21" width="7.54296875" style="150" customWidth="1"/>
    <col min="22" max="22" width="8.1796875" style="150" customWidth="1"/>
    <col min="23" max="23" width="7.1796875" style="150" customWidth="1"/>
    <col min="24" max="24" width="8.90625" style="150" bestFit="1" customWidth="1"/>
    <col min="25" max="25" width="10.1796875" style="150" customWidth="1"/>
    <col min="26" max="26" width="6.36328125" style="150" bestFit="1" customWidth="1"/>
    <col min="27" max="27" width="6.1796875" style="150" customWidth="1"/>
    <col min="28" max="28" width="4.453125" style="150" customWidth="1"/>
    <col min="29" max="29" width="4.1796875" style="150" customWidth="1"/>
    <col min="30" max="30" width="6.453125" style="150" customWidth="1"/>
    <col min="31" max="31" width="7.54296875" style="150" customWidth="1"/>
    <col min="32" max="32" width="5.1796875" style="150" customWidth="1"/>
    <col min="33" max="33" width="7.81640625" style="161" customWidth="1"/>
    <col min="34" max="34" width="6.453125" style="150" customWidth="1"/>
    <col min="35" max="35" width="5.54296875" style="150" customWidth="1"/>
    <col min="36" max="36" width="7.6328125" style="150" customWidth="1"/>
    <col min="37" max="37" width="6.453125" style="150" customWidth="1"/>
    <col min="38" max="38" width="5.54296875" style="150" customWidth="1"/>
    <col min="39" max="39" width="6.453125" style="150" customWidth="1"/>
    <col min="40" max="40" width="5.54296875" style="150" customWidth="1"/>
    <col min="41" max="41" width="6.453125" style="150" customWidth="1"/>
    <col min="42" max="42" width="12.81640625" style="150" customWidth="1"/>
    <col min="43" max="44" width="13.81640625" style="150" customWidth="1"/>
    <col min="45" max="45" width="13.81640625" style="6" customWidth="1"/>
    <col min="46" max="49" width="12.81640625" style="6" customWidth="1"/>
    <col min="50" max="50" width="11.54296875" style="45" customWidth="1"/>
    <col min="51" max="51" width="11.54296875" style="45" bestFit="1" customWidth="1"/>
    <col min="52" max="52" width="14" style="6" customWidth="1"/>
    <col min="53" max="53" width="4.453125" style="73" customWidth="1"/>
    <col min="54" max="54" width="4.453125" style="6" customWidth="1"/>
    <col min="55" max="58" width="9.1796875" style="6"/>
    <col min="59" max="59" width="12.54296875" style="6" customWidth="1"/>
    <col min="60" max="66" width="9.1796875" style="6"/>
    <col min="67" max="67" width="10.36328125" style="6" customWidth="1"/>
    <col min="68" max="68" width="14" style="6" customWidth="1"/>
    <col min="69" max="16384" width="9.1796875" style="6"/>
  </cols>
  <sheetData>
    <row r="1" spans="2:59" ht="21.65" customHeight="1" thickBot="1">
      <c r="AZ1" s="136"/>
      <c r="BA1" s="6"/>
    </row>
    <row r="2" spans="2:59">
      <c r="B2" s="127"/>
      <c r="C2" s="128"/>
      <c r="D2" s="144"/>
      <c r="E2" s="144"/>
      <c r="F2" s="144"/>
      <c r="G2" s="162"/>
      <c r="H2" s="128"/>
      <c r="I2" s="128"/>
      <c r="J2" s="128"/>
      <c r="K2" s="155"/>
      <c r="L2" s="155"/>
      <c r="M2" s="155"/>
      <c r="N2" s="155"/>
      <c r="O2" s="155"/>
      <c r="P2" s="155"/>
      <c r="Q2" s="155"/>
      <c r="R2" s="128"/>
      <c r="S2" s="155"/>
      <c r="T2" s="128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162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128"/>
      <c r="AT2" s="128"/>
      <c r="AU2" s="128"/>
      <c r="AV2" s="128"/>
      <c r="AW2" s="128"/>
      <c r="AX2" s="134"/>
      <c r="AY2" s="138"/>
      <c r="AZ2" s="130"/>
    </row>
    <row r="3" spans="2:59" ht="13">
      <c r="B3" s="129"/>
      <c r="C3" s="311"/>
      <c r="D3" s="311"/>
      <c r="E3" s="311"/>
      <c r="F3" s="311"/>
      <c r="G3" s="312" t="s">
        <v>103</v>
      </c>
      <c r="H3" s="312"/>
      <c r="I3" s="313" t="s">
        <v>129</v>
      </c>
      <c r="J3" s="313"/>
      <c r="K3" s="313"/>
      <c r="L3" s="313"/>
      <c r="M3" s="313"/>
      <c r="N3" s="313"/>
      <c r="O3" s="313"/>
      <c r="P3" s="313"/>
      <c r="Q3" s="313"/>
      <c r="R3" s="313"/>
      <c r="S3" s="313"/>
      <c r="T3" s="313"/>
      <c r="U3" s="313"/>
      <c r="V3" s="313"/>
      <c r="W3" s="313"/>
      <c r="X3" s="313"/>
      <c r="Y3" s="313"/>
      <c r="Z3" s="314" t="s">
        <v>104</v>
      </c>
      <c r="AA3" s="314"/>
      <c r="AB3" s="314"/>
      <c r="AC3" s="315" t="s">
        <v>130</v>
      </c>
      <c r="AD3" s="315"/>
      <c r="AE3" s="31"/>
      <c r="AF3" s="31"/>
      <c r="AG3" s="119"/>
      <c r="AH3" s="31"/>
      <c r="AI3" s="31"/>
      <c r="AJ3" s="245" t="s">
        <v>118</v>
      </c>
      <c r="AK3" s="245">
        <v>5.5</v>
      </c>
      <c r="AL3" s="245">
        <v>6</v>
      </c>
      <c r="AM3" s="245">
        <v>6.2</v>
      </c>
      <c r="AN3" s="245">
        <v>6.5</v>
      </c>
      <c r="AO3" s="245">
        <v>7</v>
      </c>
      <c r="AP3" s="248">
        <v>7.5</v>
      </c>
      <c r="AQ3" s="248">
        <v>8</v>
      </c>
      <c r="AR3" s="248">
        <v>8.5</v>
      </c>
      <c r="AS3" s="31"/>
      <c r="AT3" s="31"/>
      <c r="AU3" s="31"/>
      <c r="AV3" s="31"/>
      <c r="AW3" s="31"/>
      <c r="AX3" s="31"/>
      <c r="AY3" s="130"/>
      <c r="AZ3" s="130"/>
    </row>
    <row r="4" spans="2:59" ht="23">
      <c r="B4" s="129"/>
      <c r="C4" s="311"/>
      <c r="D4" s="311"/>
      <c r="E4" s="311"/>
      <c r="F4" s="311"/>
      <c r="G4" s="316" t="s">
        <v>105</v>
      </c>
      <c r="H4" s="316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  <c r="W4" s="317"/>
      <c r="X4" s="317"/>
      <c r="Y4" s="317"/>
      <c r="Z4" s="314" t="s">
        <v>106</v>
      </c>
      <c r="AA4" s="314"/>
      <c r="AB4" s="314"/>
      <c r="AC4" s="315" t="s">
        <v>131</v>
      </c>
      <c r="AD4" s="315"/>
      <c r="AE4" s="31"/>
      <c r="AF4" s="31"/>
      <c r="AG4" s="119"/>
      <c r="AH4" s="31"/>
      <c r="AI4" s="31"/>
      <c r="AJ4" s="246" t="s">
        <v>148</v>
      </c>
      <c r="AK4" s="249">
        <f t="shared" ref="AK4:AR4" si="0">10^2.24/(AK3^2.56)</f>
        <v>2.2114214353149442</v>
      </c>
      <c r="AL4" s="249">
        <f t="shared" si="0"/>
        <v>1.7698350799635774</v>
      </c>
      <c r="AM4" s="249">
        <f t="shared" si="0"/>
        <v>1.6273361605887691</v>
      </c>
      <c r="AN4" s="249">
        <f t="shared" si="0"/>
        <v>1.4419221291650139</v>
      </c>
      <c r="AO4" s="249">
        <f t="shared" si="0"/>
        <v>1.192748880379199</v>
      </c>
      <c r="AP4" s="249">
        <f t="shared" si="0"/>
        <v>0.99963894091599059</v>
      </c>
      <c r="AQ4" s="249">
        <f t="shared" si="0"/>
        <v>0.84740229001343259</v>
      </c>
      <c r="AR4" s="249">
        <f t="shared" si="0"/>
        <v>0.72558375395246755</v>
      </c>
      <c r="AS4" s="73"/>
      <c r="AT4" s="73"/>
      <c r="AU4" s="73"/>
      <c r="AV4" s="73"/>
      <c r="AW4" s="73"/>
      <c r="AX4" s="99"/>
      <c r="AY4" s="139"/>
      <c r="AZ4" s="130"/>
    </row>
    <row r="5" spans="2:59" ht="51.65" customHeight="1">
      <c r="B5" s="129"/>
      <c r="C5" s="314" t="s">
        <v>107</v>
      </c>
      <c r="D5" s="314"/>
      <c r="E5" s="314"/>
      <c r="F5" s="314"/>
      <c r="G5" s="312" t="s">
        <v>108</v>
      </c>
      <c r="H5" s="312"/>
      <c r="I5" s="317" t="s">
        <v>27</v>
      </c>
      <c r="J5" s="317"/>
      <c r="K5" s="317"/>
      <c r="L5" s="317"/>
      <c r="M5" s="317"/>
      <c r="N5" s="317"/>
      <c r="O5" s="317"/>
      <c r="P5" s="317"/>
      <c r="Q5" s="317"/>
      <c r="R5" s="317"/>
      <c r="S5" s="317"/>
      <c r="T5" s="317"/>
      <c r="U5" s="317"/>
      <c r="V5" s="317"/>
      <c r="W5" s="317"/>
      <c r="X5" s="317"/>
      <c r="Y5" s="317"/>
      <c r="Z5" s="314" t="s">
        <v>109</v>
      </c>
      <c r="AA5" s="314"/>
      <c r="AB5" s="314"/>
      <c r="AC5" s="318">
        <v>45650</v>
      </c>
      <c r="AD5" s="318"/>
      <c r="AE5" s="31"/>
      <c r="AF5" s="31"/>
      <c r="AG5" s="119"/>
      <c r="AH5" s="31"/>
      <c r="AI5" s="31"/>
      <c r="AJ5" s="247" t="s">
        <v>149</v>
      </c>
      <c r="AK5" s="245">
        <v>1.43</v>
      </c>
      <c r="AL5" s="245">
        <v>1.32</v>
      </c>
      <c r="AM5" s="245">
        <v>1.27</v>
      </c>
      <c r="AN5" s="245">
        <v>1.19</v>
      </c>
      <c r="AO5" s="245">
        <v>1.08</v>
      </c>
      <c r="AP5" s="245">
        <v>1</v>
      </c>
      <c r="AQ5" s="245">
        <v>0.94</v>
      </c>
      <c r="AR5" s="245">
        <v>0.89</v>
      </c>
      <c r="AS5" s="73"/>
      <c r="AT5" s="31"/>
      <c r="AU5" s="31"/>
      <c r="AV5" s="31"/>
      <c r="AW5" s="31"/>
      <c r="AX5" s="31"/>
      <c r="AY5" s="262"/>
      <c r="AZ5" s="130"/>
      <c r="BA5" s="31"/>
    </row>
    <row r="6" spans="2:59" ht="13">
      <c r="B6" s="129"/>
      <c r="C6" s="314"/>
      <c r="D6" s="314"/>
      <c r="E6" s="314"/>
      <c r="F6" s="314"/>
      <c r="G6" s="312"/>
      <c r="H6" s="312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  <c r="Z6" s="314" t="s">
        <v>110</v>
      </c>
      <c r="AA6" s="314"/>
      <c r="AB6" s="314"/>
      <c r="AC6" s="315">
        <v>0</v>
      </c>
      <c r="AD6" s="315"/>
      <c r="AE6" s="31"/>
      <c r="AF6" s="31"/>
      <c r="AG6" s="119"/>
      <c r="AH6" s="31"/>
      <c r="AI6" s="31"/>
      <c r="AJ6" s="245" t="s">
        <v>140</v>
      </c>
      <c r="AK6" s="245">
        <f>AVERAGE(AK4:AK5)</f>
        <v>1.8207107176574722</v>
      </c>
      <c r="AL6" s="245">
        <f t="shared" ref="AL6:AR6" si="1">AVERAGE(AL4:AL5)</f>
        <v>1.5449175399817887</v>
      </c>
      <c r="AM6" s="245">
        <f t="shared" si="1"/>
        <v>1.4486680802943845</v>
      </c>
      <c r="AN6" s="245">
        <f t="shared" si="1"/>
        <v>1.3159610645825071</v>
      </c>
      <c r="AO6" s="245">
        <f t="shared" si="1"/>
        <v>1.1363744401895994</v>
      </c>
      <c r="AP6" s="245">
        <f t="shared" si="1"/>
        <v>0.99981947045799524</v>
      </c>
      <c r="AQ6" s="245">
        <f t="shared" si="1"/>
        <v>0.89370114500671627</v>
      </c>
      <c r="AR6" s="245">
        <f t="shared" si="1"/>
        <v>0.80779187697623378</v>
      </c>
      <c r="AS6" s="73"/>
      <c r="AT6" s="73"/>
      <c r="AU6" s="73"/>
      <c r="AV6" s="73"/>
      <c r="AW6" s="73"/>
      <c r="AX6" s="99"/>
      <c r="AY6" s="139"/>
      <c r="AZ6" s="130"/>
    </row>
    <row r="7" spans="2:59">
      <c r="B7" s="129"/>
      <c r="C7" s="75" t="s">
        <v>27</v>
      </c>
      <c r="D7" s="181"/>
      <c r="E7" s="145"/>
      <c r="F7" s="145"/>
      <c r="G7" s="119"/>
      <c r="H7" s="73"/>
      <c r="I7" s="73"/>
      <c r="J7" s="73"/>
      <c r="K7" s="156"/>
      <c r="L7" s="156"/>
      <c r="M7" s="156"/>
      <c r="N7" s="156"/>
      <c r="O7" s="156"/>
      <c r="P7" s="156"/>
      <c r="Q7" s="156"/>
      <c r="R7" s="73"/>
      <c r="S7" s="156"/>
      <c r="T7" s="73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119"/>
      <c r="AH7" s="31"/>
      <c r="AI7" s="31"/>
      <c r="AJ7" s="31"/>
      <c r="AS7" s="73"/>
      <c r="AT7" s="31"/>
      <c r="AU7" s="73"/>
      <c r="AV7" s="73"/>
      <c r="AW7" s="73"/>
      <c r="AX7" s="99"/>
      <c r="AY7" s="139"/>
      <c r="AZ7" s="130"/>
    </row>
    <row r="8" spans="2:59" ht="12">
      <c r="B8" s="129"/>
      <c r="C8" s="77" t="s">
        <v>77</v>
      </c>
      <c r="D8" s="182"/>
      <c r="E8" s="145"/>
      <c r="F8" s="145"/>
      <c r="G8" s="119"/>
      <c r="H8" s="73"/>
      <c r="I8" s="73"/>
      <c r="J8" s="73"/>
      <c r="K8" s="156"/>
      <c r="L8" s="156"/>
      <c r="M8" s="156"/>
      <c r="N8" s="156"/>
      <c r="O8" s="156"/>
      <c r="P8" s="156"/>
      <c r="Q8" s="156"/>
      <c r="R8" s="73"/>
      <c r="S8" s="156"/>
      <c r="T8" s="73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119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73"/>
      <c r="AT8" s="73"/>
      <c r="AU8" s="73"/>
      <c r="AV8" s="73"/>
      <c r="AW8" s="73"/>
      <c r="AX8" s="99"/>
      <c r="AY8" s="139"/>
      <c r="AZ8" s="130"/>
    </row>
    <row r="9" spans="2:59">
      <c r="B9" s="129"/>
      <c r="C9" s="73"/>
      <c r="D9" s="145"/>
      <c r="E9" s="145"/>
      <c r="F9" s="145"/>
      <c r="G9" s="119"/>
      <c r="H9" s="73"/>
      <c r="I9" s="73"/>
      <c r="J9" s="73"/>
      <c r="K9" s="156"/>
      <c r="L9" s="156"/>
      <c r="M9" s="156"/>
      <c r="N9" s="156"/>
      <c r="O9" s="156"/>
      <c r="P9" s="156"/>
      <c r="Q9" s="156"/>
      <c r="R9" s="73"/>
      <c r="S9" s="156"/>
      <c r="T9" s="73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119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73"/>
      <c r="AT9" s="73"/>
      <c r="AU9" s="73"/>
      <c r="AV9" s="73"/>
      <c r="AW9" s="73"/>
      <c r="AX9" s="99"/>
      <c r="AY9" s="139"/>
      <c r="AZ9" s="130"/>
      <c r="BC9" s="298" t="s">
        <v>168</v>
      </c>
      <c r="BD9" s="298"/>
      <c r="BE9" s="298"/>
      <c r="BF9" s="298"/>
      <c r="BG9" s="298"/>
    </row>
    <row r="10" spans="2:59" ht="13.5">
      <c r="B10" s="129"/>
      <c r="C10" s="1" t="s">
        <v>4</v>
      </c>
      <c r="D10" s="146" t="s">
        <v>20</v>
      </c>
      <c r="E10" s="146" t="s">
        <v>5</v>
      </c>
      <c r="F10" s="319" t="s">
        <v>100</v>
      </c>
      <c r="G10" s="175" t="s">
        <v>45</v>
      </c>
      <c r="H10" s="2" t="s">
        <v>46</v>
      </c>
      <c r="I10" s="3" t="s">
        <v>26</v>
      </c>
      <c r="J10" s="4"/>
      <c r="K10" s="157" t="s">
        <v>6</v>
      </c>
      <c r="L10" s="157" t="s">
        <v>48</v>
      </c>
      <c r="M10" s="157" t="s">
        <v>49</v>
      </c>
      <c r="N10" s="204" t="s">
        <v>116</v>
      </c>
      <c r="O10" s="165" t="s">
        <v>50</v>
      </c>
      <c r="P10" s="165" t="s">
        <v>51</v>
      </c>
      <c r="Q10" s="157" t="s">
        <v>52</v>
      </c>
      <c r="R10" s="1" t="s">
        <v>53</v>
      </c>
      <c r="S10" s="157" t="s">
        <v>54</v>
      </c>
      <c r="T10" s="1" t="s">
        <v>55</v>
      </c>
      <c r="U10" s="151" t="s">
        <v>56</v>
      </c>
      <c r="V10" s="151" t="s">
        <v>57</v>
      </c>
      <c r="W10" s="151" t="s">
        <v>58</v>
      </c>
      <c r="X10" s="151" t="s">
        <v>101</v>
      </c>
      <c r="Y10" s="151" t="s">
        <v>21</v>
      </c>
      <c r="Z10" s="151" t="s">
        <v>59</v>
      </c>
      <c r="AA10" s="151" t="s">
        <v>3</v>
      </c>
      <c r="AB10" s="195" t="s">
        <v>111</v>
      </c>
      <c r="AC10" s="151" t="s">
        <v>112</v>
      </c>
      <c r="AD10" s="151" t="s">
        <v>60</v>
      </c>
      <c r="AE10" s="151" t="s">
        <v>102</v>
      </c>
      <c r="AF10" s="151" t="s">
        <v>62</v>
      </c>
      <c r="AG10" s="173" t="s">
        <v>0</v>
      </c>
      <c r="AH10" s="151" t="s">
        <v>63</v>
      </c>
      <c r="AI10" s="151" t="s">
        <v>64</v>
      </c>
      <c r="AJ10" s="151" t="s">
        <v>117</v>
      </c>
      <c r="AK10" s="151" t="s">
        <v>65</v>
      </c>
      <c r="AL10" s="151" t="s">
        <v>66</v>
      </c>
      <c r="AM10" s="151" t="s">
        <v>67</v>
      </c>
      <c r="AN10" s="151" t="s">
        <v>68</v>
      </c>
      <c r="AO10" s="151" t="s">
        <v>69</v>
      </c>
      <c r="AP10" s="255" t="s">
        <v>23</v>
      </c>
      <c r="AQ10" s="256"/>
      <c r="AR10" s="255" t="s">
        <v>23</v>
      </c>
      <c r="AS10" s="256"/>
      <c r="AT10" s="256"/>
      <c r="AU10" s="256"/>
      <c r="AV10" s="256"/>
      <c r="AW10" s="257"/>
      <c r="AX10" s="137" t="s">
        <v>99</v>
      </c>
      <c r="AY10" s="140" t="s">
        <v>99</v>
      </c>
      <c r="AZ10" s="130"/>
      <c r="BC10" s="11" t="s">
        <v>32</v>
      </c>
      <c r="BD10" s="11" t="s">
        <v>29</v>
      </c>
      <c r="BE10" s="11" t="s">
        <v>28</v>
      </c>
      <c r="BF10" s="11" t="s">
        <v>31</v>
      </c>
      <c r="BG10" s="11" t="s">
        <v>70</v>
      </c>
    </row>
    <row r="11" spans="2:59" ht="18.75" customHeight="1">
      <c r="B11" s="129"/>
      <c r="C11" s="7"/>
      <c r="D11" s="147" t="s">
        <v>7</v>
      </c>
      <c r="E11" s="147" t="s">
        <v>7</v>
      </c>
      <c r="F11" s="320"/>
      <c r="G11" s="176" t="s">
        <v>114</v>
      </c>
      <c r="H11" s="8" t="s">
        <v>115</v>
      </c>
      <c r="I11" s="8"/>
      <c r="J11" s="9"/>
      <c r="K11" s="158" t="s">
        <v>8</v>
      </c>
      <c r="L11" s="158" t="s">
        <v>71</v>
      </c>
      <c r="M11" s="158" t="s">
        <v>71</v>
      </c>
      <c r="N11" s="158" t="s">
        <v>71</v>
      </c>
      <c r="O11" s="158" t="s">
        <v>72</v>
      </c>
      <c r="P11" s="158" t="s">
        <v>72</v>
      </c>
      <c r="Q11" s="158" t="s">
        <v>9</v>
      </c>
      <c r="R11" s="7"/>
      <c r="S11" s="158"/>
      <c r="T11" s="7"/>
      <c r="U11" s="152"/>
      <c r="V11" s="152">
        <v>1986</v>
      </c>
      <c r="W11" s="152">
        <v>1986</v>
      </c>
      <c r="X11" s="152">
        <v>1992</v>
      </c>
      <c r="Y11" s="152" t="s">
        <v>73</v>
      </c>
      <c r="Z11" s="152"/>
      <c r="AA11" s="152" t="s">
        <v>9</v>
      </c>
      <c r="AB11" s="152"/>
      <c r="AC11" s="152"/>
      <c r="AD11" s="152"/>
      <c r="AE11" s="187"/>
      <c r="AF11" s="187"/>
      <c r="AG11" s="190"/>
      <c r="AH11" s="187"/>
      <c r="AI11" s="187"/>
      <c r="AJ11" s="187"/>
      <c r="AK11" s="187"/>
      <c r="AL11" s="187"/>
      <c r="AM11" s="187"/>
      <c r="AN11" s="187"/>
      <c r="AO11" s="187"/>
      <c r="AP11" s="186" t="s">
        <v>12</v>
      </c>
      <c r="AQ11" s="186" t="s">
        <v>13</v>
      </c>
      <c r="AR11" s="186" t="s">
        <v>119</v>
      </c>
      <c r="AS11" s="11" t="s">
        <v>14</v>
      </c>
      <c r="AT11" s="11" t="s">
        <v>15</v>
      </c>
      <c r="AU11" s="11" t="s">
        <v>16</v>
      </c>
      <c r="AV11" s="11" t="s">
        <v>17</v>
      </c>
      <c r="AW11" s="120" t="s">
        <v>18</v>
      </c>
      <c r="AX11" s="137"/>
      <c r="AY11" s="140"/>
      <c r="AZ11" s="130"/>
      <c r="BC11" s="259" t="s">
        <v>74</v>
      </c>
      <c r="BD11" s="259" t="s">
        <v>30</v>
      </c>
      <c r="BE11" s="11"/>
      <c r="BF11" s="11"/>
      <c r="BG11" s="259" t="s">
        <v>75</v>
      </c>
    </row>
    <row r="12" spans="2:59" ht="18.75" customHeight="1">
      <c r="B12" s="129"/>
      <c r="C12" s="7"/>
      <c r="D12" s="147">
        <v>2.5</v>
      </c>
      <c r="E12" s="198">
        <v>0</v>
      </c>
      <c r="F12" s="199"/>
      <c r="G12" s="176"/>
      <c r="H12" s="8"/>
      <c r="I12" s="8"/>
      <c r="J12" s="9"/>
      <c r="K12" s="200"/>
      <c r="L12" s="200">
        <v>18</v>
      </c>
      <c r="M12" s="200">
        <v>18</v>
      </c>
      <c r="N12" s="200">
        <f>IF(D12&gt;E12,L12,(L12-9.81))</f>
        <v>18</v>
      </c>
      <c r="O12" s="158">
        <f>IF(D12&lt;E12,L12*D12+M12*(D12-E12),E12*L12)</f>
        <v>0</v>
      </c>
      <c r="P12" s="158">
        <f>N12*E12</f>
        <v>0</v>
      </c>
      <c r="Q12" s="158"/>
      <c r="R12" s="7"/>
      <c r="S12" s="158"/>
      <c r="T12" s="7"/>
      <c r="U12" s="201"/>
      <c r="V12" s="201"/>
      <c r="W12" s="201"/>
      <c r="X12" s="201"/>
      <c r="Y12" s="201"/>
      <c r="Z12" s="201"/>
      <c r="AA12" s="152"/>
      <c r="AB12" s="152"/>
      <c r="AC12" s="152"/>
      <c r="AD12" s="201"/>
      <c r="AE12" s="202"/>
      <c r="AF12" s="202"/>
      <c r="AG12" s="190"/>
      <c r="AH12" s="202"/>
      <c r="AI12" s="187"/>
      <c r="AJ12" s="187"/>
      <c r="AK12" s="187"/>
      <c r="AL12" s="187"/>
      <c r="AM12" s="187"/>
      <c r="AN12" s="187"/>
      <c r="AO12" s="187"/>
      <c r="AP12" s="186"/>
      <c r="AQ12" s="186"/>
      <c r="AR12" s="186"/>
      <c r="AS12" s="11"/>
      <c r="AT12" s="11"/>
      <c r="AU12" s="11"/>
      <c r="AV12" s="11"/>
      <c r="AW12" s="120"/>
      <c r="AX12" s="196"/>
      <c r="AY12" s="203"/>
      <c r="AZ12" s="130"/>
      <c r="BC12" s="259"/>
      <c r="BD12" s="259"/>
      <c r="BE12" s="11"/>
      <c r="BF12" s="11"/>
      <c r="BG12" s="259"/>
    </row>
    <row r="13" spans="2:59">
      <c r="B13" s="321"/>
      <c r="C13" s="122" t="s">
        <v>33</v>
      </c>
      <c r="D13" s="123">
        <v>2.5</v>
      </c>
      <c r="E13" s="193">
        <v>0.62</v>
      </c>
      <c r="F13" s="193">
        <f>E13-E12</f>
        <v>0.62</v>
      </c>
      <c r="G13" s="193">
        <v>0</v>
      </c>
      <c r="H13" s="193">
        <f>G13-E13</f>
        <v>-0.62</v>
      </c>
      <c r="I13" s="124" t="s">
        <v>10</v>
      </c>
      <c r="J13" s="125" t="s">
        <v>11</v>
      </c>
      <c r="K13" s="194">
        <v>21</v>
      </c>
      <c r="L13" s="194">
        <v>18</v>
      </c>
      <c r="M13" s="194">
        <f>L13</f>
        <v>18</v>
      </c>
      <c r="N13" s="194">
        <f>IF(D13&gt;E13,L13,(L13-9.81))</f>
        <v>18</v>
      </c>
      <c r="O13" s="159">
        <f>IF(D13&lt;E13,((E13-E12)*L13+O12),E13*L13)</f>
        <v>11.16</v>
      </c>
      <c r="P13" s="148">
        <f>N13*(E13-E12)+P12</f>
        <v>11.16</v>
      </c>
      <c r="Q13" s="159">
        <v>60</v>
      </c>
      <c r="R13" s="122">
        <v>1</v>
      </c>
      <c r="S13" s="159">
        <v>1</v>
      </c>
      <c r="T13" s="122">
        <v>1</v>
      </c>
      <c r="U13" s="189">
        <v>21</v>
      </c>
      <c r="V13" s="189">
        <v>1</v>
      </c>
      <c r="W13" s="189">
        <v>1</v>
      </c>
      <c r="X13" s="189">
        <v>1</v>
      </c>
      <c r="Y13" s="189">
        <v>1</v>
      </c>
      <c r="Z13" s="189">
        <f>K13</f>
        <v>21</v>
      </c>
      <c r="AA13" s="123">
        <v>8</v>
      </c>
      <c r="AB13" s="123">
        <f>IF(AA13&lt;5,0,IF(AA13&gt;35,5,EXP(1.76-(190/(AA13^2)))))</f>
        <v>0.29857025909289908</v>
      </c>
      <c r="AC13" s="123">
        <f>IF(AA13&lt;5,1,IF(AA13&gt;35,1.2,0.99+((AA13^1.5)/1000)))</f>
        <v>1.0126274169979694</v>
      </c>
      <c r="AD13" s="189">
        <f>Z13</f>
        <v>21</v>
      </c>
      <c r="AE13" s="189">
        <v>1.5</v>
      </c>
      <c r="AF13" s="189">
        <f t="shared" ref="AF13:AF32" si="2">IF(E13&lt;9.15,1-0.00765*E13,1.174-0.0267*E13)</f>
        <v>0.99525699999999995</v>
      </c>
      <c r="AG13" s="163">
        <f>IF(P13=0,0,0.6*(AE13)*(O13/P13)*AF13)</f>
        <v>0.8957312999999999</v>
      </c>
      <c r="AH13" s="189">
        <f>$AK$4*AM13</f>
        <v>0.50475156333600635</v>
      </c>
      <c r="AI13" s="189">
        <f>$AL$4*AM13</f>
        <v>0.40396055188426644</v>
      </c>
      <c r="AJ13" s="189">
        <f>$AM$4*AM13</f>
        <v>0.37143552016507153</v>
      </c>
      <c r="AK13" s="189">
        <f>$AN$4*AM13</f>
        <v>0.32911521851155917</v>
      </c>
      <c r="AL13" s="189">
        <f>$AO$4*AM13</f>
        <v>0.27224203058922186</v>
      </c>
      <c r="AM13" s="372">
        <f>IF(AND(AD13&lt;=30,OR(J13="SAND",J13="GRAVEL")),(1/(34-AD13)+AD13/135+50/((10*AD13+45)^2)-1/200),#N/A)</f>
        <v>0.22824756750362288</v>
      </c>
      <c r="AN13" s="189">
        <f>$AQ$4*AM13</f>
        <v>0.19341751139256558</v>
      </c>
      <c r="AO13" s="189">
        <f>$AR$4*AM13</f>
        <v>0.16561272685979794</v>
      </c>
      <c r="AP13" s="188">
        <f>IF(OR(ISNA(AH13),AG13=0),"not applicable",AH13/(1.2*$AG13))</f>
        <v>0.46958982317577308</v>
      </c>
      <c r="AQ13" s="188">
        <f>IF(OR(ISNA(AI13),AG13=0),"not applicable",AI13/(1.2*$AG13))</f>
        <v>0.3758200625978893</v>
      </c>
      <c r="AR13" s="188">
        <f>IF(OR(ISNA(AJ13),AH13=0),"not applicable",AJ13/(1.2*$AG13))</f>
        <v>0.3455607726754214</v>
      </c>
      <c r="AS13" s="27">
        <f>IF(ISNA(AK13),"not applicable",AK13/(1.2*$AG13))</f>
        <v>0.30618856580423842</v>
      </c>
      <c r="AT13" s="27">
        <f>IF(ISNA(AL13),"not applicable",AL13/(1.2*$AG13))</f>
        <v>0.25327724823767084</v>
      </c>
      <c r="AU13" s="27">
        <f>IF(ISNA(AM13),"not applicable",AM13/(1.2*$AG13))</f>
        <v>0.21234750449495191</v>
      </c>
      <c r="AV13" s="27">
        <f>IF(ISNA(AN13),"not applicable",AN13/(1.2*$AG13))</f>
        <v>0.17994376158765993</v>
      </c>
      <c r="AW13" s="121">
        <f>IF(ISNA(AO13),"not applicable",AO13/(1.2*$AG13))</f>
        <v>0.1540758994538857</v>
      </c>
      <c r="AX13" s="135">
        <f>IF(AR13&gt;1,((10-0.5*E13)*0*(F13)),((10-0.5*E13)*(1-AR13)*(F13)))</f>
        <v>3.9317399899206031</v>
      </c>
      <c r="AY13" s="322" t="e">
        <f>SUM(AX13:AX25)</f>
        <v>#N/A</v>
      </c>
      <c r="AZ13" s="130"/>
      <c r="BA13" s="6"/>
      <c r="BC13" s="260">
        <f>IF(OR(AR13&gt;1,AR13="not applicable"),0,1-AR13)</f>
        <v>0.6544392273245786</v>
      </c>
      <c r="BD13" s="261">
        <f>10-(0.5*E13)</f>
        <v>9.69</v>
      </c>
      <c r="BE13" s="261">
        <f>E13</f>
        <v>0.62</v>
      </c>
      <c r="BF13" s="260">
        <f>BE13*BD13*BC13</f>
        <v>3.9317399899206031</v>
      </c>
      <c r="BG13" s="325" t="e">
        <f>SUM(BF13:BF32)</f>
        <v>#N/A</v>
      </c>
    </row>
    <row r="14" spans="2:59" ht="13.75" customHeight="1">
      <c r="B14" s="321"/>
      <c r="C14" s="122" t="s">
        <v>33</v>
      </c>
      <c r="D14" s="123">
        <v>2.5</v>
      </c>
      <c r="E14" s="193">
        <v>1.1200000000000001</v>
      </c>
      <c r="F14" s="193">
        <f t="shared" ref="F14:F22" si="3">E14-E13</f>
        <v>0.50000000000000011</v>
      </c>
      <c r="G14" s="193">
        <v>0</v>
      </c>
      <c r="H14" s="193">
        <f t="shared" ref="H14:H22" si="4">G14-E14</f>
        <v>-1.1200000000000001</v>
      </c>
      <c r="I14" s="124" t="s">
        <v>10</v>
      </c>
      <c r="J14" s="125" t="s">
        <v>11</v>
      </c>
      <c r="K14" s="194">
        <v>12</v>
      </c>
      <c r="L14" s="194">
        <v>18</v>
      </c>
      <c r="M14" s="194">
        <f t="shared" ref="M14:M22" si="5">L14</f>
        <v>18</v>
      </c>
      <c r="N14" s="194">
        <f t="shared" ref="N14:N22" si="6">IF(D14&gt;E14,L14,(L14-9.81))</f>
        <v>18</v>
      </c>
      <c r="O14" s="159">
        <f t="shared" ref="O14:O22" si="7">IF(D14&lt;E14,((E14-E13)*L14+O13),E14*L14)</f>
        <v>20.160000000000004</v>
      </c>
      <c r="P14" s="148">
        <f t="shared" ref="P14:P22" si="8">N14*(E14-E13)+P13</f>
        <v>20.160000000000004</v>
      </c>
      <c r="Q14" s="159">
        <v>60</v>
      </c>
      <c r="R14" s="122">
        <v>1</v>
      </c>
      <c r="S14" s="159">
        <v>1</v>
      </c>
      <c r="T14" s="122">
        <v>1</v>
      </c>
      <c r="U14" s="189">
        <v>12</v>
      </c>
      <c r="V14" s="189">
        <v>1</v>
      </c>
      <c r="W14" s="189">
        <v>1</v>
      </c>
      <c r="X14" s="189">
        <v>1</v>
      </c>
      <c r="Y14" s="189">
        <v>1</v>
      </c>
      <c r="Z14" s="189">
        <f t="shared" ref="Z14:Z22" si="9">K14</f>
        <v>12</v>
      </c>
      <c r="AA14" s="123">
        <v>8</v>
      </c>
      <c r="AB14" s="123">
        <f t="shared" ref="AB14:AB22" si="10">IF(AA14&lt;5,0,IF(AA14&gt;35,5,EXP(1.76-(190/(AA14^2)))))</f>
        <v>0.29857025909289908</v>
      </c>
      <c r="AC14" s="123">
        <f t="shared" ref="AC14:AC22" si="11">IF(AA14&lt;5,1,IF(AA14&gt;35,1.2,0.99+((AA14^1.5)/1000)))</f>
        <v>1.0126274169979694</v>
      </c>
      <c r="AD14" s="189">
        <f t="shared" ref="AD14:AD22" si="12">Z14</f>
        <v>12</v>
      </c>
      <c r="AE14" s="189">
        <v>1.5</v>
      </c>
      <c r="AF14" s="189">
        <f t="shared" ref="AF14:AF22" si="13">IF(E14&lt;9.15,1-0.00765*E14,1.174-0.0267*E14)</f>
        <v>0.99143199999999998</v>
      </c>
      <c r="AG14" s="163">
        <f t="shared" ref="AG14:AG22" si="14">IF(P14=0,0,0.6*(AE14)*(O14/P14)*AF14)</f>
        <v>0.89228879999999988</v>
      </c>
      <c r="AH14" s="189">
        <f t="shared" ref="AH14:AH22" si="15">$AK$4*AM14</f>
        <v>0.29009422327081391</v>
      </c>
      <c r="AI14" s="189">
        <f t="shared" ref="AI14:AI22" si="16">$AL$4*AM14</f>
        <v>0.23216693328576388</v>
      </c>
      <c r="AJ14" s="189">
        <f t="shared" ref="AJ14:AJ22" si="17">$AM$4*AM14</f>
        <v>0.21347392765923656</v>
      </c>
      <c r="AK14" s="189">
        <f t="shared" ref="AK14:AK22" si="18">$AN$4*AM14</f>
        <v>0.18915131842228475</v>
      </c>
      <c r="AL14" s="189">
        <f t="shared" ref="AL14:AL22" si="19">$AO$4*AM14</f>
        <v>0.1564647762227461</v>
      </c>
      <c r="AM14" s="372">
        <f t="shared" ref="AM14:AM22" si="20">IF(AND(AD14&lt;=30,OR(J14="SAND",J14="GRAVEL")),(1/(34-AD14)+AD14/135+50/((10*AD14+45)^2)-1/200),#N/A)</f>
        <v>0.1311799816345271</v>
      </c>
      <c r="AN14" s="189">
        <f t="shared" ref="AN14:AN22" si="21">$AQ$4*AM14</f>
        <v>0.11116221684101829</v>
      </c>
      <c r="AO14" s="189">
        <f t="shared" ref="AO14:AO22" si="22">$AR$4*AM14</f>
        <v>9.5182063517795928E-2</v>
      </c>
      <c r="AP14" s="188">
        <f t="shared" ref="AP14:AP77" si="23">IF(OR(ISNA(AH14),AG14=0),"not applicable",AH14/(1.2*$AG14))</f>
        <v>0.2709270653840008</v>
      </c>
      <c r="AQ14" s="188">
        <f t="shared" ref="AQ14:AQ77" si="24">IF(OR(ISNA(AI14),AG14=0),"not applicable",AI14/(1.2*$AG14))</f>
        <v>0.21682715775968861</v>
      </c>
      <c r="AR14" s="188">
        <f t="shared" ref="AR14:AR77" si="25">IF(OR(ISNA(AJ14),AH14=0),"not applicable",AJ14/(1.2*$AG14))</f>
        <v>0.19936923977531767</v>
      </c>
      <c r="AS14" s="27">
        <f t="shared" ref="AS14:AS77" si="26">IF(ISNA(AK14),"not applicable",AK14/(1.2*$AG14))</f>
        <v>0.17665367836650792</v>
      </c>
      <c r="AT14" s="27">
        <f t="shared" ref="AT14:AT77" si="27">IF(ISNA(AL14),"not applicable",AL14/(1.2*$AG14))</f>
        <v>0.14612680728364527</v>
      </c>
      <c r="AU14" s="27">
        <f t="shared" ref="AU14:AU77" si="28">IF(ISNA(AM14),"not applicable",AM14/(1.2*$AG14))</f>
        <v>0.1225126342077878</v>
      </c>
      <c r="AV14" s="27">
        <f t="shared" ref="AV14:AV77" si="29">IF(ISNA(AN14),"not applicable",AN14/(1.2*$AG14))</f>
        <v>0.10381748678325738</v>
      </c>
      <c r="AW14" s="121">
        <f t="shared" ref="AW14:AW77" si="30">IF(ISNA(AO14),"not applicable",AO14/(1.2*$AG14))</f>
        <v>8.8893177035092169E-2</v>
      </c>
      <c r="AX14" s="135">
        <f t="shared" ref="AX14:AX77" si="31">IF(AR14&gt;1,((10-0.5*E14)*0*(F14)),((10-0.5*E14)*(1-AR14)*(F14)))</f>
        <v>3.7789771882605012</v>
      </c>
      <c r="AY14" s="323"/>
      <c r="AZ14" s="130"/>
      <c r="BA14" s="6"/>
      <c r="BC14" s="260">
        <f t="shared" ref="BC14:BC77" si="32">IF(OR(AR14&gt;1,AR14="not applicable"),0,1-AR14)</f>
        <v>0.80063076022468227</v>
      </c>
      <c r="BD14" s="261">
        <f t="shared" ref="BD14:BD77" si="33">10-(0.5*E14)</f>
        <v>9.44</v>
      </c>
      <c r="BE14" s="261">
        <f>E14-E13</f>
        <v>0.50000000000000011</v>
      </c>
      <c r="BF14" s="260">
        <f t="shared" ref="BF14:BF77" si="34">BE14*BD14*BC14</f>
        <v>3.7789771882605008</v>
      </c>
      <c r="BG14" s="325"/>
    </row>
    <row r="15" spans="2:59" ht="13.75" customHeight="1">
      <c r="B15" s="321"/>
      <c r="C15" s="122" t="s">
        <v>33</v>
      </c>
      <c r="D15" s="123">
        <v>2.5</v>
      </c>
      <c r="E15" s="193">
        <v>1.62</v>
      </c>
      <c r="F15" s="193">
        <f t="shared" si="3"/>
        <v>0.5</v>
      </c>
      <c r="G15" s="193">
        <v>0</v>
      </c>
      <c r="H15" s="193">
        <f t="shared" si="4"/>
        <v>-1.62</v>
      </c>
      <c r="I15" s="124" t="s">
        <v>10</v>
      </c>
      <c r="J15" s="125" t="s">
        <v>11</v>
      </c>
      <c r="K15" s="194">
        <v>46</v>
      </c>
      <c r="L15" s="194">
        <v>18</v>
      </c>
      <c r="M15" s="194">
        <f t="shared" si="5"/>
        <v>18</v>
      </c>
      <c r="N15" s="194">
        <f t="shared" si="6"/>
        <v>18</v>
      </c>
      <c r="O15" s="159">
        <f t="shared" si="7"/>
        <v>29.160000000000004</v>
      </c>
      <c r="P15" s="148">
        <f t="shared" si="8"/>
        <v>29.160000000000004</v>
      </c>
      <c r="Q15" s="159">
        <v>60</v>
      </c>
      <c r="R15" s="122">
        <v>1</v>
      </c>
      <c r="S15" s="159">
        <v>1</v>
      </c>
      <c r="T15" s="122">
        <v>1</v>
      </c>
      <c r="U15" s="189">
        <v>46</v>
      </c>
      <c r="V15" s="189">
        <v>1</v>
      </c>
      <c r="W15" s="189">
        <v>1</v>
      </c>
      <c r="X15" s="189">
        <v>1</v>
      </c>
      <c r="Y15" s="189">
        <v>1</v>
      </c>
      <c r="Z15" s="189">
        <f t="shared" si="9"/>
        <v>46</v>
      </c>
      <c r="AA15" s="123">
        <v>8</v>
      </c>
      <c r="AB15" s="123">
        <f t="shared" si="10"/>
        <v>0.29857025909289908</v>
      </c>
      <c r="AC15" s="123">
        <f t="shared" si="11"/>
        <v>1.0126274169979694</v>
      </c>
      <c r="AD15" s="189">
        <f t="shared" si="12"/>
        <v>46</v>
      </c>
      <c r="AE15" s="189">
        <v>1.5</v>
      </c>
      <c r="AF15" s="189">
        <f t="shared" si="13"/>
        <v>0.98760700000000001</v>
      </c>
      <c r="AG15" s="163">
        <f t="shared" si="14"/>
        <v>0.88884629999999998</v>
      </c>
      <c r="AH15" s="189" t="e">
        <f t="shared" si="15"/>
        <v>#N/A</v>
      </c>
      <c r="AI15" s="189" t="e">
        <f t="shared" si="16"/>
        <v>#N/A</v>
      </c>
      <c r="AJ15" s="189" t="e">
        <f t="shared" si="17"/>
        <v>#N/A</v>
      </c>
      <c r="AK15" s="189" t="e">
        <f t="shared" si="18"/>
        <v>#N/A</v>
      </c>
      <c r="AL15" s="189" t="e">
        <f t="shared" si="19"/>
        <v>#N/A</v>
      </c>
      <c r="AM15" s="372" t="e">
        <f t="shared" si="20"/>
        <v>#N/A</v>
      </c>
      <c r="AN15" s="189" t="e">
        <f t="shared" si="21"/>
        <v>#N/A</v>
      </c>
      <c r="AO15" s="189" t="e">
        <f t="shared" si="22"/>
        <v>#N/A</v>
      </c>
      <c r="AP15" s="188" t="str">
        <f t="shared" si="23"/>
        <v>not applicable</v>
      </c>
      <c r="AQ15" s="188" t="str">
        <f t="shared" si="24"/>
        <v>not applicable</v>
      </c>
      <c r="AR15" s="188" t="e">
        <f t="shared" si="25"/>
        <v>#N/A</v>
      </c>
      <c r="AS15" s="27" t="str">
        <f t="shared" si="26"/>
        <v>not applicable</v>
      </c>
      <c r="AT15" s="27" t="e">
        <f>IF(ISNA(AL15),AL15/(1.2*$AG15))</f>
        <v>#N/A</v>
      </c>
      <c r="AU15" s="27" t="str">
        <f t="shared" si="28"/>
        <v>not applicable</v>
      </c>
      <c r="AV15" s="27" t="str">
        <f t="shared" si="29"/>
        <v>not applicable</v>
      </c>
      <c r="AW15" s="121" t="str">
        <f t="shared" si="30"/>
        <v>not applicable</v>
      </c>
      <c r="AX15" s="135" t="e">
        <f t="shared" si="31"/>
        <v>#N/A</v>
      </c>
      <c r="AY15" s="323"/>
      <c r="AZ15" s="130"/>
      <c r="BA15" s="6"/>
      <c r="BC15" s="260" t="e">
        <f t="shared" si="32"/>
        <v>#N/A</v>
      </c>
      <c r="BD15" s="261">
        <f t="shared" si="33"/>
        <v>9.19</v>
      </c>
      <c r="BE15" s="261">
        <f t="shared" ref="BE15:BE30" si="35">E15-E14</f>
        <v>0.5</v>
      </c>
      <c r="BF15" s="260" t="e">
        <f t="shared" si="34"/>
        <v>#N/A</v>
      </c>
      <c r="BG15" s="325"/>
    </row>
    <row r="16" spans="2:59" ht="13.75" customHeight="1">
      <c r="B16" s="321"/>
      <c r="C16" s="122" t="s">
        <v>33</v>
      </c>
      <c r="D16" s="123">
        <v>2.5</v>
      </c>
      <c r="E16" s="193">
        <v>2.12</v>
      </c>
      <c r="F16" s="193">
        <f t="shared" si="3"/>
        <v>0.5</v>
      </c>
      <c r="G16" s="193">
        <v>0</v>
      </c>
      <c r="H16" s="193">
        <f t="shared" si="4"/>
        <v>-2.12</v>
      </c>
      <c r="I16" s="124" t="s">
        <v>10</v>
      </c>
      <c r="J16" s="125" t="s">
        <v>11</v>
      </c>
      <c r="K16" s="194">
        <v>14</v>
      </c>
      <c r="L16" s="194">
        <v>18</v>
      </c>
      <c r="M16" s="194">
        <f t="shared" si="5"/>
        <v>18</v>
      </c>
      <c r="N16" s="194">
        <f t="shared" si="6"/>
        <v>18</v>
      </c>
      <c r="O16" s="159">
        <f t="shared" si="7"/>
        <v>38.160000000000004</v>
      </c>
      <c r="P16" s="148">
        <f t="shared" si="8"/>
        <v>38.160000000000004</v>
      </c>
      <c r="Q16" s="159">
        <v>60</v>
      </c>
      <c r="R16" s="122">
        <v>1</v>
      </c>
      <c r="S16" s="159">
        <v>1</v>
      </c>
      <c r="T16" s="122">
        <v>1</v>
      </c>
      <c r="U16" s="189">
        <v>14</v>
      </c>
      <c r="V16" s="189">
        <v>1</v>
      </c>
      <c r="W16" s="189">
        <v>1</v>
      </c>
      <c r="X16" s="189">
        <v>1</v>
      </c>
      <c r="Y16" s="189">
        <v>1</v>
      </c>
      <c r="Z16" s="189">
        <f t="shared" si="9"/>
        <v>14</v>
      </c>
      <c r="AA16" s="123">
        <v>8</v>
      </c>
      <c r="AB16" s="123">
        <f t="shared" si="10"/>
        <v>0.29857025909289908</v>
      </c>
      <c r="AC16" s="123">
        <f t="shared" si="11"/>
        <v>1.0126274169979694</v>
      </c>
      <c r="AD16" s="189">
        <f t="shared" si="12"/>
        <v>14</v>
      </c>
      <c r="AE16" s="189">
        <v>1.5</v>
      </c>
      <c r="AF16" s="189">
        <f t="shared" si="13"/>
        <v>0.98378200000000005</v>
      </c>
      <c r="AG16" s="163">
        <f t="shared" si="14"/>
        <v>0.88540379999999996</v>
      </c>
      <c r="AH16" s="189">
        <f t="shared" si="15"/>
        <v>0.3320772685243577</v>
      </c>
      <c r="AI16" s="189">
        <f t="shared" si="16"/>
        <v>0.26576661947259789</v>
      </c>
      <c r="AJ16" s="189">
        <f t="shared" si="17"/>
        <v>0.24436832281236867</v>
      </c>
      <c r="AK16" s="189">
        <f t="shared" si="18"/>
        <v>0.21652569448380626</v>
      </c>
      <c r="AL16" s="189">
        <f t="shared" si="19"/>
        <v>0.17910868724820922</v>
      </c>
      <c r="AM16" s="372">
        <f t="shared" si="20"/>
        <v>0.150164624083543</v>
      </c>
      <c r="AN16" s="189">
        <f t="shared" si="21"/>
        <v>0.12724984632740058</v>
      </c>
      <c r="AO16" s="189">
        <f t="shared" si="22"/>
        <v>0.10895701165339824</v>
      </c>
      <c r="AP16" s="188">
        <f t="shared" si="23"/>
        <v>0.31254785342420199</v>
      </c>
      <c r="AQ16" s="188">
        <f t="shared" si="24"/>
        <v>0.25013692384630787</v>
      </c>
      <c r="AR16" s="188">
        <f t="shared" si="25"/>
        <v>0.22999705785123944</v>
      </c>
      <c r="AS16" s="27">
        <f t="shared" si="26"/>
        <v>0.20379185038115405</v>
      </c>
      <c r="AT16" s="27">
        <f t="shared" si="27"/>
        <v>0.16857533181301876</v>
      </c>
      <c r="AU16" s="27">
        <f t="shared" si="28"/>
        <v>0.1413334647268126</v>
      </c>
      <c r="AV16" s="27">
        <f t="shared" si="29"/>
        <v>0.11976630166503369</v>
      </c>
      <c r="AW16" s="121">
        <f t="shared" si="30"/>
        <v>0.10254926589558935</v>
      </c>
      <c r="AX16" s="135">
        <f t="shared" si="31"/>
        <v>3.4419131514049592</v>
      </c>
      <c r="AY16" s="323"/>
      <c r="AZ16" s="130"/>
      <c r="BA16" s="6"/>
      <c r="BC16" s="260">
        <f t="shared" si="32"/>
        <v>0.77000294214876053</v>
      </c>
      <c r="BD16" s="261">
        <f t="shared" si="33"/>
        <v>8.94</v>
      </c>
      <c r="BE16" s="261">
        <f t="shared" si="35"/>
        <v>0.5</v>
      </c>
      <c r="BF16" s="260">
        <f t="shared" si="34"/>
        <v>3.4419131514049592</v>
      </c>
      <c r="BG16" s="325"/>
    </row>
    <row r="17" spans="2:59" ht="13.75" customHeight="1">
      <c r="B17" s="129"/>
      <c r="C17" s="122" t="s">
        <v>33</v>
      </c>
      <c r="D17" s="123">
        <v>2.5</v>
      </c>
      <c r="E17" s="193">
        <v>2.62</v>
      </c>
      <c r="F17" s="193">
        <f t="shared" si="3"/>
        <v>0.5</v>
      </c>
      <c r="G17" s="193">
        <v>0</v>
      </c>
      <c r="H17" s="193">
        <f t="shared" si="4"/>
        <v>-2.62</v>
      </c>
      <c r="I17" s="124" t="s">
        <v>10</v>
      </c>
      <c r="J17" s="125" t="s">
        <v>11</v>
      </c>
      <c r="K17" s="194">
        <v>22</v>
      </c>
      <c r="L17" s="194">
        <v>18</v>
      </c>
      <c r="M17" s="194">
        <f t="shared" si="5"/>
        <v>18</v>
      </c>
      <c r="N17" s="194">
        <f t="shared" si="6"/>
        <v>8.19</v>
      </c>
      <c r="O17" s="159">
        <f t="shared" si="7"/>
        <v>47.160000000000004</v>
      </c>
      <c r="P17" s="148">
        <f>N17*(E17-E16)+P16</f>
        <v>42.255000000000003</v>
      </c>
      <c r="Q17" s="159">
        <v>60</v>
      </c>
      <c r="R17" s="122">
        <v>1</v>
      </c>
      <c r="S17" s="159">
        <v>1</v>
      </c>
      <c r="T17" s="122">
        <v>1</v>
      </c>
      <c r="U17" s="189">
        <v>22</v>
      </c>
      <c r="V17" s="189">
        <v>1</v>
      </c>
      <c r="W17" s="189">
        <v>1</v>
      </c>
      <c r="X17" s="189">
        <v>1</v>
      </c>
      <c r="Y17" s="189">
        <v>1</v>
      </c>
      <c r="Z17" s="189">
        <f t="shared" si="9"/>
        <v>22</v>
      </c>
      <c r="AA17" s="123">
        <v>8</v>
      </c>
      <c r="AB17" s="123">
        <f t="shared" si="10"/>
        <v>0.29857025909289908</v>
      </c>
      <c r="AC17" s="123">
        <f t="shared" si="11"/>
        <v>1.0126274169979694</v>
      </c>
      <c r="AD17" s="189">
        <f t="shared" si="12"/>
        <v>22</v>
      </c>
      <c r="AE17" s="189">
        <v>1.5</v>
      </c>
      <c r="AF17" s="189">
        <f t="shared" si="13"/>
        <v>0.97995699999999997</v>
      </c>
      <c r="AG17" s="163">
        <f t="shared" si="14"/>
        <v>0.98434019424920105</v>
      </c>
      <c r="AH17" s="189">
        <f t="shared" si="15"/>
        <v>0.53518232765557683</v>
      </c>
      <c r="AI17" s="189">
        <f t="shared" si="16"/>
        <v>0.42831476738693453</v>
      </c>
      <c r="AJ17" s="189">
        <f t="shared" si="17"/>
        <v>0.39382884709080918</v>
      </c>
      <c r="AK17" s="189">
        <f t="shared" si="18"/>
        <v>0.34895711376457533</v>
      </c>
      <c r="AL17" s="189">
        <f t="shared" si="19"/>
        <v>0.28865512105294966</v>
      </c>
      <c r="AM17" s="372">
        <f t="shared" si="20"/>
        <v>0.24200829344830768</v>
      </c>
      <c r="AN17" s="189">
        <f t="shared" si="21"/>
        <v>0.20507838207033874</v>
      </c>
      <c r="AO17" s="189">
        <f t="shared" si="22"/>
        <v>0.17559728604785343</v>
      </c>
      <c r="AP17" s="188"/>
      <c r="AQ17" s="188"/>
      <c r="AR17" s="188"/>
      <c r="AS17" s="27"/>
      <c r="AT17" s="27"/>
      <c r="AU17" s="27"/>
      <c r="AV17" s="27"/>
      <c r="AW17" s="121"/>
      <c r="AX17" s="135"/>
      <c r="AY17" s="323"/>
      <c r="AZ17" s="130"/>
      <c r="BA17" s="6"/>
      <c r="BC17" s="260">
        <f t="shared" si="32"/>
        <v>1</v>
      </c>
      <c r="BD17" s="261">
        <f t="shared" si="33"/>
        <v>8.69</v>
      </c>
      <c r="BE17" s="261">
        <f t="shared" si="35"/>
        <v>0.5</v>
      </c>
      <c r="BF17" s="260">
        <f t="shared" si="34"/>
        <v>4.3449999999999998</v>
      </c>
      <c r="BG17" s="325"/>
    </row>
    <row r="18" spans="2:59" ht="13.75" customHeight="1">
      <c r="B18" s="129"/>
      <c r="C18" s="122" t="s">
        <v>33</v>
      </c>
      <c r="D18" s="123">
        <v>2.5</v>
      </c>
      <c r="E18" s="193">
        <v>3.12</v>
      </c>
      <c r="F18" s="193">
        <f t="shared" si="3"/>
        <v>0.5</v>
      </c>
      <c r="G18" s="193">
        <v>0</v>
      </c>
      <c r="H18" s="193">
        <f t="shared" si="4"/>
        <v>-3.12</v>
      </c>
      <c r="I18" s="124" t="s">
        <v>10</v>
      </c>
      <c r="J18" s="125" t="s">
        <v>11</v>
      </c>
      <c r="K18" s="194">
        <v>11</v>
      </c>
      <c r="L18" s="194">
        <v>18</v>
      </c>
      <c r="M18" s="194">
        <f t="shared" si="5"/>
        <v>18</v>
      </c>
      <c r="N18" s="194">
        <f t="shared" si="6"/>
        <v>8.19</v>
      </c>
      <c r="O18" s="159">
        <f t="shared" si="7"/>
        <v>56.160000000000004</v>
      </c>
      <c r="P18" s="148">
        <f t="shared" si="8"/>
        <v>46.35</v>
      </c>
      <c r="Q18" s="159">
        <v>60</v>
      </c>
      <c r="R18" s="122">
        <v>1</v>
      </c>
      <c r="S18" s="159">
        <v>1</v>
      </c>
      <c r="T18" s="122">
        <v>1</v>
      </c>
      <c r="U18" s="189">
        <v>11</v>
      </c>
      <c r="V18" s="189">
        <v>1</v>
      </c>
      <c r="W18" s="189">
        <v>1</v>
      </c>
      <c r="X18" s="189">
        <v>1</v>
      </c>
      <c r="Y18" s="189">
        <v>1</v>
      </c>
      <c r="Z18" s="189">
        <f t="shared" si="9"/>
        <v>11</v>
      </c>
      <c r="AA18" s="123">
        <v>8</v>
      </c>
      <c r="AB18" s="123">
        <f t="shared" si="10"/>
        <v>0.29857025909289908</v>
      </c>
      <c r="AC18" s="123">
        <f t="shared" si="11"/>
        <v>1.0126274169979694</v>
      </c>
      <c r="AD18" s="189">
        <f t="shared" si="12"/>
        <v>11</v>
      </c>
      <c r="AE18" s="189">
        <v>1.5</v>
      </c>
      <c r="AF18" s="189">
        <f t="shared" si="13"/>
        <v>0.976132</v>
      </c>
      <c r="AG18" s="163">
        <f t="shared" si="14"/>
        <v>1.0644577304854368</v>
      </c>
      <c r="AH18" s="189">
        <f t="shared" si="15"/>
        <v>0.26988387950239745</v>
      </c>
      <c r="AI18" s="189">
        <f t="shared" si="16"/>
        <v>0.21599227982158931</v>
      </c>
      <c r="AJ18" s="189">
        <f t="shared" si="17"/>
        <v>0.19860158234004141</v>
      </c>
      <c r="AK18" s="189">
        <f t="shared" si="18"/>
        <v>0.17597348562554255</v>
      </c>
      <c r="AL18" s="189">
        <f t="shared" si="19"/>
        <v>0.14556415614332446</v>
      </c>
      <c r="AM18" s="372">
        <f t="shared" si="20"/>
        <v>0.12204090780370019</v>
      </c>
      <c r="AN18" s="189">
        <f t="shared" si="21"/>
        <v>0.10341774474817374</v>
      </c>
      <c r="AO18" s="189">
        <f t="shared" si="22"/>
        <v>8.8550900019975773E-2</v>
      </c>
      <c r="AP18" s="188"/>
      <c r="AQ18" s="188"/>
      <c r="AR18" s="188"/>
      <c r="AS18" s="27"/>
      <c r="AT18" s="27"/>
      <c r="AU18" s="27"/>
      <c r="AV18" s="27"/>
      <c r="AW18" s="121"/>
      <c r="AX18" s="135"/>
      <c r="AY18" s="323"/>
      <c r="AZ18" s="130"/>
      <c r="BA18" s="6"/>
      <c r="BC18" s="260">
        <f t="shared" si="32"/>
        <v>1</v>
      </c>
      <c r="BD18" s="261">
        <f t="shared" si="33"/>
        <v>8.44</v>
      </c>
      <c r="BE18" s="261">
        <f t="shared" si="35"/>
        <v>0.5</v>
      </c>
      <c r="BF18" s="260">
        <f t="shared" si="34"/>
        <v>4.22</v>
      </c>
      <c r="BG18" s="325"/>
    </row>
    <row r="19" spans="2:59" ht="13.75" customHeight="1">
      <c r="B19" s="129"/>
      <c r="C19" s="122" t="s">
        <v>33</v>
      </c>
      <c r="D19" s="123">
        <v>2.5</v>
      </c>
      <c r="E19" s="193">
        <v>4.12</v>
      </c>
      <c r="F19" s="193">
        <f t="shared" si="3"/>
        <v>1</v>
      </c>
      <c r="G19" s="193">
        <v>0</v>
      </c>
      <c r="H19" s="193">
        <f t="shared" si="4"/>
        <v>-4.12</v>
      </c>
      <c r="I19" s="124" t="s">
        <v>10</v>
      </c>
      <c r="J19" s="125" t="s">
        <v>11</v>
      </c>
      <c r="K19" s="194">
        <v>12</v>
      </c>
      <c r="L19" s="194">
        <v>18</v>
      </c>
      <c r="M19" s="194">
        <f t="shared" si="5"/>
        <v>18</v>
      </c>
      <c r="N19" s="194">
        <f t="shared" si="6"/>
        <v>8.19</v>
      </c>
      <c r="O19" s="159">
        <f t="shared" si="7"/>
        <v>74.16</v>
      </c>
      <c r="P19" s="148">
        <f t="shared" si="8"/>
        <v>54.54</v>
      </c>
      <c r="Q19" s="159">
        <v>60</v>
      </c>
      <c r="R19" s="122">
        <v>1</v>
      </c>
      <c r="S19" s="159">
        <v>1</v>
      </c>
      <c r="T19" s="122">
        <v>1</v>
      </c>
      <c r="U19" s="189">
        <v>12</v>
      </c>
      <c r="V19" s="189">
        <v>1</v>
      </c>
      <c r="W19" s="189">
        <v>1</v>
      </c>
      <c r="X19" s="189">
        <v>1</v>
      </c>
      <c r="Y19" s="189">
        <v>1</v>
      </c>
      <c r="Z19" s="189">
        <f t="shared" si="9"/>
        <v>12</v>
      </c>
      <c r="AA19" s="123">
        <v>8</v>
      </c>
      <c r="AB19" s="123">
        <f t="shared" si="10"/>
        <v>0.29857025909289908</v>
      </c>
      <c r="AC19" s="123">
        <f t="shared" si="11"/>
        <v>1.0126274169979694</v>
      </c>
      <c r="AD19" s="189">
        <f t="shared" si="12"/>
        <v>12</v>
      </c>
      <c r="AE19" s="189">
        <v>1.5</v>
      </c>
      <c r="AF19" s="189">
        <f t="shared" si="13"/>
        <v>0.96848199999999995</v>
      </c>
      <c r="AG19" s="163">
        <f t="shared" si="14"/>
        <v>1.1851918336633662</v>
      </c>
      <c r="AH19" s="189">
        <f t="shared" si="15"/>
        <v>0.29009422327081391</v>
      </c>
      <c r="AI19" s="189">
        <f t="shared" si="16"/>
        <v>0.23216693328576388</v>
      </c>
      <c r="AJ19" s="189">
        <f t="shared" si="17"/>
        <v>0.21347392765923656</v>
      </c>
      <c r="AK19" s="189">
        <f t="shared" si="18"/>
        <v>0.18915131842228475</v>
      </c>
      <c r="AL19" s="189">
        <f t="shared" si="19"/>
        <v>0.1564647762227461</v>
      </c>
      <c r="AM19" s="372">
        <f t="shared" si="20"/>
        <v>0.1311799816345271</v>
      </c>
      <c r="AN19" s="189">
        <f t="shared" si="21"/>
        <v>0.11116221684101829</v>
      </c>
      <c r="AO19" s="189">
        <f t="shared" si="22"/>
        <v>9.5182063517795928E-2</v>
      </c>
      <c r="AP19" s="188"/>
      <c r="AQ19" s="188"/>
      <c r="AR19" s="188"/>
      <c r="AS19" s="27"/>
      <c r="AT19" s="27"/>
      <c r="AU19" s="27"/>
      <c r="AV19" s="27"/>
      <c r="AW19" s="121"/>
      <c r="AX19" s="135"/>
      <c r="AY19" s="323"/>
      <c r="AZ19" s="130"/>
      <c r="BA19" s="6"/>
      <c r="BC19" s="260">
        <f t="shared" si="32"/>
        <v>1</v>
      </c>
      <c r="BD19" s="261">
        <f t="shared" si="33"/>
        <v>7.9399999999999995</v>
      </c>
      <c r="BE19" s="261">
        <f t="shared" si="35"/>
        <v>1</v>
      </c>
      <c r="BF19" s="260">
        <f t="shared" si="34"/>
        <v>7.9399999999999995</v>
      </c>
      <c r="BG19" s="325"/>
    </row>
    <row r="20" spans="2:59" ht="13.75" customHeight="1">
      <c r="B20" s="129"/>
      <c r="C20" s="122" t="s">
        <v>33</v>
      </c>
      <c r="D20" s="123">
        <v>2.5</v>
      </c>
      <c r="E20" s="193">
        <v>5.12</v>
      </c>
      <c r="F20" s="193">
        <f t="shared" si="3"/>
        <v>1</v>
      </c>
      <c r="G20" s="193">
        <v>0</v>
      </c>
      <c r="H20" s="193">
        <f t="shared" si="4"/>
        <v>-5.12</v>
      </c>
      <c r="I20" s="124" t="s">
        <v>10</v>
      </c>
      <c r="J20" s="125" t="s">
        <v>11</v>
      </c>
      <c r="K20" s="194">
        <v>8</v>
      </c>
      <c r="L20" s="194">
        <v>18</v>
      </c>
      <c r="M20" s="194">
        <f t="shared" si="5"/>
        <v>18</v>
      </c>
      <c r="N20" s="194">
        <f t="shared" si="6"/>
        <v>8.19</v>
      </c>
      <c r="O20" s="159">
        <f t="shared" si="7"/>
        <v>92.16</v>
      </c>
      <c r="P20" s="148">
        <f t="shared" si="8"/>
        <v>62.73</v>
      </c>
      <c r="Q20" s="159">
        <v>60</v>
      </c>
      <c r="R20" s="122">
        <v>1</v>
      </c>
      <c r="S20" s="159">
        <v>1</v>
      </c>
      <c r="T20" s="122">
        <v>1</v>
      </c>
      <c r="U20" s="189">
        <v>8</v>
      </c>
      <c r="V20" s="189">
        <v>1</v>
      </c>
      <c r="W20" s="189">
        <v>1</v>
      </c>
      <c r="X20" s="189">
        <v>1</v>
      </c>
      <c r="Y20" s="189">
        <v>1</v>
      </c>
      <c r="Z20" s="189">
        <f t="shared" si="9"/>
        <v>8</v>
      </c>
      <c r="AA20" s="123">
        <v>8</v>
      </c>
      <c r="AB20" s="123">
        <f t="shared" si="10"/>
        <v>0.29857025909289908</v>
      </c>
      <c r="AC20" s="123">
        <f t="shared" si="11"/>
        <v>1.0126274169979694</v>
      </c>
      <c r="AD20" s="189">
        <f t="shared" si="12"/>
        <v>8</v>
      </c>
      <c r="AE20" s="189">
        <v>1.5</v>
      </c>
      <c r="AF20" s="189">
        <f t="shared" si="13"/>
        <v>0.96083200000000002</v>
      </c>
      <c r="AG20" s="163">
        <f t="shared" si="14"/>
        <v>1.2704487391678623</v>
      </c>
      <c r="AH20" s="189">
        <f t="shared" si="15"/>
        <v>0.21212130817228092</v>
      </c>
      <c r="AI20" s="189">
        <f t="shared" si="16"/>
        <v>0.16976399270435816</v>
      </c>
      <c r="AJ20" s="189">
        <f t="shared" si="17"/>
        <v>0.1560953826835749</v>
      </c>
      <c r="AK20" s="189">
        <f t="shared" si="18"/>
        <v>0.13831032088077927</v>
      </c>
      <c r="AL20" s="189">
        <f t="shared" si="19"/>
        <v>0.1144094240865611</v>
      </c>
      <c r="AM20" s="372">
        <f t="shared" si="20"/>
        <v>9.5920797720797715E-2</v>
      </c>
      <c r="AN20" s="189">
        <f t="shared" si="21"/>
        <v>8.1283503648519231E-2</v>
      </c>
      <c r="AO20" s="189">
        <f t="shared" si="22"/>
        <v>6.9598572492371696E-2</v>
      </c>
      <c r="AP20" s="188"/>
      <c r="AQ20" s="188"/>
      <c r="AR20" s="188"/>
      <c r="AS20" s="27"/>
      <c r="AT20" s="27"/>
      <c r="AU20" s="27"/>
      <c r="AV20" s="27"/>
      <c r="AW20" s="121"/>
      <c r="AX20" s="135"/>
      <c r="AY20" s="323"/>
      <c r="AZ20" s="130"/>
      <c r="BA20" s="6"/>
      <c r="BC20" s="260">
        <f t="shared" si="32"/>
        <v>1</v>
      </c>
      <c r="BD20" s="261">
        <f t="shared" si="33"/>
        <v>7.4399999999999995</v>
      </c>
      <c r="BE20" s="261">
        <f t="shared" si="35"/>
        <v>1</v>
      </c>
      <c r="BF20" s="260">
        <f t="shared" si="34"/>
        <v>7.4399999999999995</v>
      </c>
      <c r="BG20" s="325"/>
    </row>
    <row r="21" spans="2:59" ht="13.75" customHeight="1">
      <c r="B21" s="129"/>
      <c r="C21" s="122" t="s">
        <v>33</v>
      </c>
      <c r="D21" s="123">
        <v>2.5</v>
      </c>
      <c r="E21" s="205">
        <v>6.12</v>
      </c>
      <c r="F21" s="193">
        <f t="shared" si="3"/>
        <v>1</v>
      </c>
      <c r="G21" s="193">
        <v>0</v>
      </c>
      <c r="H21" s="193">
        <f t="shared" si="4"/>
        <v>-6.12</v>
      </c>
      <c r="I21" s="124" t="s">
        <v>10</v>
      </c>
      <c r="J21" s="125" t="s">
        <v>11</v>
      </c>
      <c r="K21" s="206">
        <v>12</v>
      </c>
      <c r="L21" s="194">
        <v>18</v>
      </c>
      <c r="M21" s="194">
        <f t="shared" si="5"/>
        <v>18</v>
      </c>
      <c r="N21" s="194">
        <f t="shared" si="6"/>
        <v>8.19</v>
      </c>
      <c r="O21" s="159">
        <f t="shared" si="7"/>
        <v>110.16</v>
      </c>
      <c r="P21" s="148">
        <f t="shared" si="8"/>
        <v>70.92</v>
      </c>
      <c r="Q21" s="159">
        <v>60</v>
      </c>
      <c r="R21" s="122">
        <v>1</v>
      </c>
      <c r="S21" s="159">
        <v>1</v>
      </c>
      <c r="T21" s="122">
        <v>1</v>
      </c>
      <c r="U21" s="189">
        <v>12</v>
      </c>
      <c r="V21" s="189">
        <v>1</v>
      </c>
      <c r="W21" s="189">
        <v>1</v>
      </c>
      <c r="X21" s="189">
        <v>1</v>
      </c>
      <c r="Y21" s="189">
        <v>1</v>
      </c>
      <c r="Z21" s="189">
        <f t="shared" si="9"/>
        <v>12</v>
      </c>
      <c r="AA21" s="123">
        <v>8</v>
      </c>
      <c r="AB21" s="123">
        <f t="shared" si="10"/>
        <v>0.29857025909289908</v>
      </c>
      <c r="AC21" s="123">
        <f t="shared" si="11"/>
        <v>1.0126274169979694</v>
      </c>
      <c r="AD21" s="189">
        <f t="shared" si="12"/>
        <v>12</v>
      </c>
      <c r="AE21" s="189">
        <v>1.5</v>
      </c>
      <c r="AF21" s="189">
        <f t="shared" si="13"/>
        <v>0.95318199999999997</v>
      </c>
      <c r="AG21" s="163">
        <f t="shared" si="14"/>
        <v>1.332519405076142</v>
      </c>
      <c r="AH21" s="189">
        <f t="shared" si="15"/>
        <v>0.29009422327081391</v>
      </c>
      <c r="AI21" s="189">
        <f t="shared" si="16"/>
        <v>0.23216693328576388</v>
      </c>
      <c r="AJ21" s="189">
        <f t="shared" si="17"/>
        <v>0.21347392765923656</v>
      </c>
      <c r="AK21" s="189">
        <f t="shared" si="18"/>
        <v>0.18915131842228475</v>
      </c>
      <c r="AL21" s="189">
        <f t="shared" si="19"/>
        <v>0.1564647762227461</v>
      </c>
      <c r="AM21" s="372">
        <f t="shared" si="20"/>
        <v>0.1311799816345271</v>
      </c>
      <c r="AN21" s="189">
        <f t="shared" si="21"/>
        <v>0.11116221684101829</v>
      </c>
      <c r="AO21" s="189">
        <f t="shared" si="22"/>
        <v>9.5182063517795928E-2</v>
      </c>
      <c r="AP21" s="188"/>
      <c r="AQ21" s="188"/>
      <c r="AR21" s="188"/>
      <c r="AS21" s="27"/>
      <c r="AT21" s="27"/>
      <c r="AU21" s="27"/>
      <c r="AV21" s="27"/>
      <c r="AW21" s="121"/>
      <c r="AX21" s="135"/>
      <c r="AY21" s="323"/>
      <c r="AZ21" s="130"/>
      <c r="BA21" s="6"/>
      <c r="BC21" s="260">
        <f t="shared" si="32"/>
        <v>1</v>
      </c>
      <c r="BD21" s="261">
        <f t="shared" si="33"/>
        <v>6.9399999999999995</v>
      </c>
      <c r="BE21" s="261">
        <f t="shared" si="35"/>
        <v>1</v>
      </c>
      <c r="BF21" s="260">
        <f t="shared" si="34"/>
        <v>6.9399999999999995</v>
      </c>
      <c r="BG21" s="325"/>
    </row>
    <row r="22" spans="2:59" ht="13.75" customHeight="1">
      <c r="B22" s="129"/>
      <c r="C22" s="122" t="s">
        <v>33</v>
      </c>
      <c r="D22" s="123">
        <v>2.5</v>
      </c>
      <c r="E22" s="193">
        <v>7.12</v>
      </c>
      <c r="F22" s="193">
        <f t="shared" si="3"/>
        <v>1</v>
      </c>
      <c r="G22" s="193">
        <v>0</v>
      </c>
      <c r="H22" s="193">
        <f t="shared" si="4"/>
        <v>-7.12</v>
      </c>
      <c r="I22" s="124" t="s">
        <v>10</v>
      </c>
      <c r="J22" s="125" t="s">
        <v>11</v>
      </c>
      <c r="K22" s="194">
        <v>18</v>
      </c>
      <c r="L22" s="194">
        <v>18</v>
      </c>
      <c r="M22" s="194">
        <f t="shared" si="5"/>
        <v>18</v>
      </c>
      <c r="N22" s="194">
        <f t="shared" si="6"/>
        <v>8.19</v>
      </c>
      <c r="O22" s="159">
        <f t="shared" si="7"/>
        <v>128.16</v>
      </c>
      <c r="P22" s="148">
        <f t="shared" si="8"/>
        <v>79.11</v>
      </c>
      <c r="Q22" s="159">
        <v>60</v>
      </c>
      <c r="R22" s="122">
        <v>1</v>
      </c>
      <c r="S22" s="159">
        <v>1</v>
      </c>
      <c r="T22" s="122">
        <v>1</v>
      </c>
      <c r="U22" s="189">
        <v>18</v>
      </c>
      <c r="V22" s="189">
        <v>1</v>
      </c>
      <c r="W22" s="189">
        <v>1</v>
      </c>
      <c r="X22" s="189">
        <v>1</v>
      </c>
      <c r="Y22" s="189">
        <v>1</v>
      </c>
      <c r="Z22" s="189">
        <f t="shared" si="9"/>
        <v>18</v>
      </c>
      <c r="AA22" s="123">
        <v>8</v>
      </c>
      <c r="AB22" s="123">
        <f t="shared" si="10"/>
        <v>0.29857025909289908</v>
      </c>
      <c r="AC22" s="123">
        <f t="shared" si="11"/>
        <v>1.0126274169979694</v>
      </c>
      <c r="AD22" s="189">
        <f t="shared" si="12"/>
        <v>18</v>
      </c>
      <c r="AE22" s="189">
        <v>1.5</v>
      </c>
      <c r="AF22" s="189">
        <f t="shared" si="13"/>
        <v>0.94553200000000004</v>
      </c>
      <c r="AG22" s="163">
        <f t="shared" si="14"/>
        <v>1.378605018430034</v>
      </c>
      <c r="AH22" s="189">
        <f t="shared" si="15"/>
        <v>0.4241970438420487</v>
      </c>
      <c r="AI22" s="189">
        <f t="shared" si="16"/>
        <v>0.33949151302387759</v>
      </c>
      <c r="AJ22" s="189">
        <f t="shared" si="17"/>
        <v>0.31215722956972836</v>
      </c>
      <c r="AK22" s="189">
        <f t="shared" si="18"/>
        <v>0.27659092693705439</v>
      </c>
      <c r="AL22" s="189">
        <f t="shared" si="19"/>
        <v>0.22879426825792351</v>
      </c>
      <c r="AM22" s="372">
        <f t="shared" si="20"/>
        <v>0.19182098765432098</v>
      </c>
      <c r="AN22" s="189">
        <f t="shared" si="21"/>
        <v>0.16254954421090997</v>
      </c>
      <c r="AO22" s="189">
        <f t="shared" si="22"/>
        <v>0.13918219230909215</v>
      </c>
      <c r="AP22" s="188"/>
      <c r="AQ22" s="188"/>
      <c r="AR22" s="188"/>
      <c r="AS22" s="27"/>
      <c r="AT22" s="27"/>
      <c r="AU22" s="27"/>
      <c r="AV22" s="27"/>
      <c r="AW22" s="121"/>
      <c r="AX22" s="135"/>
      <c r="AY22" s="323"/>
      <c r="AZ22" s="130"/>
      <c r="BA22" s="6"/>
      <c r="BC22" s="260">
        <f t="shared" si="32"/>
        <v>1</v>
      </c>
      <c r="BD22" s="261">
        <f t="shared" si="33"/>
        <v>6.4399999999999995</v>
      </c>
      <c r="BE22" s="261">
        <f t="shared" si="35"/>
        <v>1</v>
      </c>
      <c r="BF22" s="260">
        <f t="shared" si="34"/>
        <v>6.4399999999999995</v>
      </c>
      <c r="BG22" s="325"/>
    </row>
    <row r="23" spans="2:59" ht="13.75" customHeight="1">
      <c r="B23" s="129"/>
      <c r="C23" s="122"/>
      <c r="D23" s="123"/>
      <c r="E23" s="193"/>
      <c r="F23" s="185"/>
      <c r="G23" s="193"/>
      <c r="H23" s="193"/>
      <c r="I23" s="124"/>
      <c r="J23" s="125"/>
      <c r="K23" s="194"/>
      <c r="L23" s="194"/>
      <c r="M23" s="194"/>
      <c r="N23" s="194"/>
      <c r="O23" s="159"/>
      <c r="P23" s="159"/>
      <c r="Q23" s="159"/>
      <c r="R23" s="122"/>
      <c r="S23" s="159"/>
      <c r="T23" s="122"/>
      <c r="U23" s="189"/>
      <c r="V23" s="189"/>
      <c r="W23" s="189"/>
      <c r="X23" s="189"/>
      <c r="Y23" s="189"/>
      <c r="Z23" s="189"/>
      <c r="AA23" s="123"/>
      <c r="AB23" s="123"/>
      <c r="AC23" s="123"/>
      <c r="AD23" s="123"/>
      <c r="AE23" s="123"/>
      <c r="AF23" s="189"/>
      <c r="AG23" s="163"/>
      <c r="AH23" s="189"/>
      <c r="AI23" s="189"/>
      <c r="AJ23" s="189"/>
      <c r="AK23" s="189"/>
      <c r="AL23" s="189"/>
      <c r="AM23" s="123"/>
      <c r="AN23" s="189"/>
      <c r="AO23" s="189"/>
      <c r="AP23" s="188"/>
      <c r="AQ23" s="188"/>
      <c r="AR23" s="188"/>
      <c r="AS23" s="27"/>
      <c r="AT23" s="27"/>
      <c r="AU23" s="27"/>
      <c r="AV23" s="27"/>
      <c r="AW23" s="121"/>
      <c r="AX23" s="135"/>
      <c r="AY23" s="323"/>
      <c r="AZ23" s="130"/>
      <c r="BA23" s="6"/>
      <c r="BC23" s="260">
        <f t="shared" si="32"/>
        <v>1</v>
      </c>
      <c r="BD23" s="261">
        <f t="shared" si="33"/>
        <v>10</v>
      </c>
      <c r="BE23" s="261">
        <f t="shared" si="35"/>
        <v>-7.12</v>
      </c>
      <c r="BF23" s="260">
        <f t="shared" si="34"/>
        <v>-71.2</v>
      </c>
      <c r="BG23" s="325"/>
    </row>
    <row r="24" spans="2:59" ht="13.75" customHeight="1">
      <c r="B24" s="129"/>
      <c r="C24" s="122"/>
      <c r="D24" s="123"/>
      <c r="E24" s="193"/>
      <c r="F24" s="185"/>
      <c r="G24" s="193"/>
      <c r="H24" s="193"/>
      <c r="I24" s="124"/>
      <c r="J24" s="125"/>
      <c r="K24" s="194"/>
      <c r="L24" s="194"/>
      <c r="M24" s="194"/>
      <c r="N24" s="193"/>
      <c r="O24" s="159"/>
      <c r="P24" s="159"/>
      <c r="Q24" s="159"/>
      <c r="R24" s="122"/>
      <c r="S24" s="159"/>
      <c r="T24" s="122"/>
      <c r="U24" s="189"/>
      <c r="V24" s="189"/>
      <c r="W24" s="189"/>
      <c r="X24" s="189"/>
      <c r="Y24" s="189"/>
      <c r="Z24" s="189"/>
      <c r="AA24" s="123"/>
      <c r="AB24" s="123"/>
      <c r="AC24" s="123"/>
      <c r="AD24" s="123"/>
      <c r="AE24" s="123"/>
      <c r="AF24" s="189"/>
      <c r="AG24" s="163"/>
      <c r="AH24" s="189"/>
      <c r="AI24" s="189"/>
      <c r="AJ24" s="189"/>
      <c r="AK24" s="189"/>
      <c r="AL24" s="189"/>
      <c r="AM24" s="123"/>
      <c r="AN24" s="189"/>
      <c r="AO24" s="189"/>
      <c r="AP24" s="188"/>
      <c r="AQ24" s="188"/>
      <c r="AR24" s="188"/>
      <c r="AS24" s="27"/>
      <c r="AT24" s="27"/>
      <c r="AU24" s="27"/>
      <c r="AV24" s="27"/>
      <c r="AW24" s="121"/>
      <c r="AX24" s="135"/>
      <c r="AY24" s="323"/>
      <c r="AZ24" s="130"/>
      <c r="BA24" s="6"/>
      <c r="BC24" s="260">
        <f t="shared" si="32"/>
        <v>1</v>
      </c>
      <c r="BD24" s="261">
        <f t="shared" si="33"/>
        <v>10</v>
      </c>
      <c r="BE24" s="261">
        <f t="shared" si="35"/>
        <v>0</v>
      </c>
      <c r="BF24" s="260">
        <f t="shared" si="34"/>
        <v>0</v>
      </c>
      <c r="BG24" s="325"/>
    </row>
    <row r="25" spans="2:59" ht="13.75" customHeight="1">
      <c r="B25" s="129"/>
      <c r="C25" s="122"/>
      <c r="D25" s="123"/>
      <c r="E25" s="193"/>
      <c r="F25" s="185"/>
      <c r="G25" s="193"/>
      <c r="H25" s="193"/>
      <c r="I25" s="124"/>
      <c r="J25" s="125"/>
      <c r="K25" s="194"/>
      <c r="L25" s="194"/>
      <c r="M25" s="194"/>
      <c r="N25" s="193"/>
      <c r="O25" s="159"/>
      <c r="P25" s="159"/>
      <c r="Q25" s="159"/>
      <c r="R25" s="122"/>
      <c r="S25" s="159"/>
      <c r="T25" s="122"/>
      <c r="U25" s="189"/>
      <c r="V25" s="189"/>
      <c r="W25" s="189"/>
      <c r="X25" s="189"/>
      <c r="Y25" s="189"/>
      <c r="Z25" s="189"/>
      <c r="AA25" s="123"/>
      <c r="AB25" s="123"/>
      <c r="AC25" s="123"/>
      <c r="AD25" s="123"/>
      <c r="AE25" s="123"/>
      <c r="AF25" s="189"/>
      <c r="AG25" s="163"/>
      <c r="AH25" s="189"/>
      <c r="AI25" s="189"/>
      <c r="AJ25" s="189"/>
      <c r="AK25" s="189"/>
      <c r="AL25" s="189"/>
      <c r="AM25" s="123"/>
      <c r="AN25" s="189"/>
      <c r="AO25" s="189"/>
      <c r="AP25" s="188"/>
      <c r="AQ25" s="188"/>
      <c r="AR25" s="188"/>
      <c r="AS25" s="27"/>
      <c r="AT25" s="27"/>
      <c r="AU25" s="27"/>
      <c r="AV25" s="27"/>
      <c r="AW25" s="121"/>
      <c r="AX25" s="135"/>
      <c r="AY25" s="324"/>
      <c r="AZ25" s="130"/>
      <c r="BA25" s="6"/>
      <c r="BC25" s="260">
        <f t="shared" si="32"/>
        <v>1</v>
      </c>
      <c r="BD25" s="261">
        <f t="shared" si="33"/>
        <v>10</v>
      </c>
      <c r="BE25" s="261">
        <f t="shared" si="35"/>
        <v>0</v>
      </c>
      <c r="BF25" s="260">
        <f t="shared" si="34"/>
        <v>0</v>
      </c>
      <c r="BG25" s="325"/>
    </row>
    <row r="26" spans="2:59" ht="13.75" customHeight="1">
      <c r="B26" s="321"/>
      <c r="C26" s="122"/>
      <c r="D26" s="123"/>
      <c r="E26" s="193"/>
      <c r="F26" s="185"/>
      <c r="G26" s="193"/>
      <c r="H26" s="193"/>
      <c r="I26" s="124"/>
      <c r="J26" s="125"/>
      <c r="K26" s="194"/>
      <c r="L26" s="194"/>
      <c r="M26" s="194"/>
      <c r="N26" s="371"/>
      <c r="O26" s="159"/>
      <c r="P26" s="159"/>
      <c r="Q26" s="159"/>
      <c r="R26" s="122"/>
      <c r="S26" s="159"/>
      <c r="T26" s="122"/>
      <c r="U26" s="189"/>
      <c r="V26" s="189"/>
      <c r="W26" s="189"/>
      <c r="X26" s="189"/>
      <c r="Y26" s="189"/>
      <c r="Z26" s="189"/>
      <c r="AA26" s="123"/>
      <c r="AB26" s="123"/>
      <c r="AC26" s="123"/>
      <c r="AD26" s="123"/>
      <c r="AE26" s="123"/>
      <c r="AF26" s="189"/>
      <c r="AG26" s="163"/>
      <c r="AH26" s="189"/>
      <c r="AI26" s="189"/>
      <c r="AJ26" s="189"/>
      <c r="AK26" s="189"/>
      <c r="AL26" s="189"/>
      <c r="AM26" s="123"/>
      <c r="AN26" s="189"/>
      <c r="AO26" s="189"/>
      <c r="AP26" s="188"/>
      <c r="AQ26" s="188"/>
      <c r="AR26" s="188"/>
      <c r="AS26" s="27"/>
      <c r="AT26" s="27"/>
      <c r="AU26" s="27"/>
      <c r="AV26" s="27"/>
      <c r="AW26" s="121"/>
      <c r="AX26" s="135"/>
      <c r="AY26" s="322">
        <f>SUM(AX26:AX38)</f>
        <v>0</v>
      </c>
      <c r="AZ26" s="130"/>
      <c r="BC26" s="260">
        <f t="shared" si="32"/>
        <v>1</v>
      </c>
      <c r="BD26" s="261">
        <f t="shared" si="33"/>
        <v>10</v>
      </c>
      <c r="BE26" s="261">
        <f t="shared" si="35"/>
        <v>0</v>
      </c>
      <c r="BF26" s="260">
        <f t="shared" si="34"/>
        <v>0</v>
      </c>
      <c r="BG26" s="325"/>
    </row>
    <row r="27" spans="2:59" ht="13.75" customHeight="1">
      <c r="B27" s="321"/>
      <c r="C27" s="122"/>
      <c r="D27" s="123"/>
      <c r="E27" s="193"/>
      <c r="F27" s="185"/>
      <c r="G27" s="193"/>
      <c r="H27" s="193"/>
      <c r="I27" s="124"/>
      <c r="J27" s="125"/>
      <c r="K27" s="194"/>
      <c r="L27" s="194"/>
      <c r="M27" s="194"/>
      <c r="N27" s="194"/>
      <c r="O27" s="159"/>
      <c r="P27" s="159"/>
      <c r="Q27" s="159"/>
      <c r="R27" s="122"/>
      <c r="S27" s="159"/>
      <c r="T27" s="122"/>
      <c r="U27" s="189"/>
      <c r="V27" s="189"/>
      <c r="W27" s="189"/>
      <c r="X27" s="189"/>
      <c r="Y27" s="189"/>
      <c r="Z27" s="189"/>
      <c r="AA27" s="123"/>
      <c r="AB27" s="123"/>
      <c r="AC27" s="123"/>
      <c r="AD27" s="123"/>
      <c r="AE27" s="123"/>
      <c r="AF27" s="189"/>
      <c r="AG27" s="163"/>
      <c r="AH27" s="189"/>
      <c r="AI27" s="189"/>
      <c r="AJ27" s="189"/>
      <c r="AK27" s="189"/>
      <c r="AL27" s="189"/>
      <c r="AM27" s="123"/>
      <c r="AN27" s="189"/>
      <c r="AO27" s="189"/>
      <c r="AP27" s="188"/>
      <c r="AQ27" s="188"/>
      <c r="AR27" s="188"/>
      <c r="AS27" s="27"/>
      <c r="AT27" s="27"/>
      <c r="AU27" s="27"/>
      <c r="AV27" s="27"/>
      <c r="AW27" s="121"/>
      <c r="AX27" s="135"/>
      <c r="AY27" s="323"/>
      <c r="AZ27" s="130"/>
      <c r="BC27" s="260">
        <f t="shared" si="32"/>
        <v>1</v>
      </c>
      <c r="BD27" s="261">
        <f t="shared" si="33"/>
        <v>10</v>
      </c>
      <c r="BE27" s="261">
        <f t="shared" si="35"/>
        <v>0</v>
      </c>
      <c r="BF27" s="260">
        <f t="shared" si="34"/>
        <v>0</v>
      </c>
      <c r="BG27" s="325"/>
    </row>
    <row r="28" spans="2:59" ht="13.75" customHeight="1">
      <c r="B28" s="321"/>
      <c r="C28" s="122"/>
      <c r="D28" s="123"/>
      <c r="E28" s="193"/>
      <c r="F28" s="185"/>
      <c r="G28" s="193"/>
      <c r="H28" s="193"/>
      <c r="I28" s="124"/>
      <c r="J28" s="125"/>
      <c r="K28" s="194"/>
      <c r="L28" s="370"/>
      <c r="M28" s="194"/>
      <c r="N28" s="370"/>
      <c r="O28" s="159"/>
      <c r="P28" s="159"/>
      <c r="Q28" s="159"/>
      <c r="R28" s="122"/>
      <c r="S28" s="159"/>
      <c r="T28" s="122"/>
      <c r="U28" s="189"/>
      <c r="V28" s="189"/>
      <c r="W28" s="189"/>
      <c r="X28" s="189"/>
      <c r="Y28" s="189"/>
      <c r="Z28" s="189"/>
      <c r="AA28" s="123"/>
      <c r="AB28" s="123"/>
      <c r="AC28" s="123"/>
      <c r="AD28" s="123"/>
      <c r="AE28" s="123"/>
      <c r="AF28" s="189"/>
      <c r="AG28" s="163"/>
      <c r="AH28" s="189"/>
      <c r="AI28" s="189"/>
      <c r="AJ28" s="189"/>
      <c r="AK28" s="189"/>
      <c r="AL28" s="189"/>
      <c r="AM28" s="123"/>
      <c r="AN28" s="189"/>
      <c r="AO28" s="189"/>
      <c r="AP28" s="188"/>
      <c r="AQ28" s="188"/>
      <c r="AR28" s="188"/>
      <c r="AS28" s="27"/>
      <c r="AT28" s="27"/>
      <c r="AU28" s="27"/>
      <c r="AV28" s="27"/>
      <c r="AW28" s="121"/>
      <c r="AX28" s="135"/>
      <c r="AY28" s="323"/>
      <c r="AZ28" s="130"/>
      <c r="BC28" s="260">
        <f t="shared" si="32"/>
        <v>1</v>
      </c>
      <c r="BD28" s="261">
        <f t="shared" si="33"/>
        <v>10</v>
      </c>
      <c r="BE28" s="261">
        <f t="shared" si="35"/>
        <v>0</v>
      </c>
      <c r="BF28" s="260">
        <f t="shared" si="34"/>
        <v>0</v>
      </c>
      <c r="BG28" s="325"/>
    </row>
    <row r="29" spans="2:59" ht="13.75" customHeight="1">
      <c r="B29" s="321"/>
      <c r="C29" s="122"/>
      <c r="D29" s="123"/>
      <c r="E29" s="193"/>
      <c r="F29" s="185"/>
      <c r="G29" s="193"/>
      <c r="H29" s="193"/>
      <c r="I29" s="124"/>
      <c r="J29" s="125"/>
      <c r="K29" s="194"/>
      <c r="L29" s="194"/>
      <c r="M29" s="194"/>
      <c r="N29" s="194"/>
      <c r="O29" s="159"/>
      <c r="P29" s="159"/>
      <c r="Q29" s="159"/>
      <c r="R29" s="122"/>
      <c r="S29" s="159"/>
      <c r="T29" s="122"/>
      <c r="U29" s="189"/>
      <c r="V29" s="189"/>
      <c r="W29" s="189"/>
      <c r="X29" s="189"/>
      <c r="Y29" s="189"/>
      <c r="Z29" s="189"/>
      <c r="AA29" s="123"/>
      <c r="AB29" s="123"/>
      <c r="AC29" s="123"/>
      <c r="AD29" s="123"/>
      <c r="AE29" s="123"/>
      <c r="AF29" s="189"/>
      <c r="AG29" s="163"/>
      <c r="AH29" s="189"/>
      <c r="AI29" s="189"/>
      <c r="AJ29" s="189"/>
      <c r="AK29" s="189"/>
      <c r="AL29" s="189"/>
      <c r="AM29" s="123"/>
      <c r="AN29" s="189"/>
      <c r="AO29" s="189"/>
      <c r="AP29" s="188"/>
      <c r="AQ29" s="188"/>
      <c r="AR29" s="188"/>
      <c r="AS29" s="27"/>
      <c r="AT29" s="27"/>
      <c r="AU29" s="27"/>
      <c r="AV29" s="27"/>
      <c r="AW29" s="121"/>
      <c r="AX29" s="135"/>
      <c r="AY29" s="323"/>
      <c r="AZ29" s="130"/>
      <c r="BC29" s="260">
        <f t="shared" si="32"/>
        <v>1</v>
      </c>
      <c r="BD29" s="261">
        <f t="shared" si="33"/>
        <v>10</v>
      </c>
      <c r="BE29" s="261">
        <f t="shared" si="35"/>
        <v>0</v>
      </c>
      <c r="BF29" s="260">
        <f t="shared" si="34"/>
        <v>0</v>
      </c>
      <c r="BG29" s="325"/>
    </row>
    <row r="30" spans="2:59" ht="13.75" customHeight="1">
      <c r="B30" s="327"/>
      <c r="C30" s="122"/>
      <c r="D30" s="123"/>
      <c r="E30" s="193"/>
      <c r="F30" s="185"/>
      <c r="G30" s="193"/>
      <c r="H30" s="193"/>
      <c r="I30" s="124"/>
      <c r="J30" s="125"/>
      <c r="K30" s="194"/>
      <c r="L30" s="194"/>
      <c r="M30" s="194"/>
      <c r="N30" s="194"/>
      <c r="O30" s="159"/>
      <c r="P30" s="159"/>
      <c r="Q30" s="159"/>
      <c r="R30" s="122"/>
      <c r="S30" s="159"/>
      <c r="T30" s="122"/>
      <c r="U30" s="189"/>
      <c r="V30" s="189"/>
      <c r="W30" s="189"/>
      <c r="X30" s="189"/>
      <c r="Y30" s="189"/>
      <c r="Z30" s="189"/>
      <c r="AA30" s="123"/>
      <c r="AB30" s="123"/>
      <c r="AC30" s="123"/>
      <c r="AD30" s="123"/>
      <c r="AE30" s="123"/>
      <c r="AF30" s="189"/>
      <c r="AG30" s="163"/>
      <c r="AH30" s="189"/>
      <c r="AI30" s="189"/>
      <c r="AJ30" s="189"/>
      <c r="AK30" s="189"/>
      <c r="AL30" s="189"/>
      <c r="AM30" s="123"/>
      <c r="AN30" s="189"/>
      <c r="AO30" s="189"/>
      <c r="AP30" s="188"/>
      <c r="AQ30" s="188"/>
      <c r="AR30" s="188"/>
      <c r="AS30" s="27"/>
      <c r="AT30" s="27"/>
      <c r="AU30" s="27"/>
      <c r="AV30" s="27"/>
      <c r="AW30" s="121"/>
      <c r="AX30" s="135"/>
      <c r="AY30" s="323"/>
      <c r="AZ30" s="130"/>
      <c r="BC30" s="260">
        <f t="shared" si="32"/>
        <v>1</v>
      </c>
      <c r="BD30" s="261">
        <f t="shared" si="33"/>
        <v>10</v>
      </c>
      <c r="BE30" s="261">
        <f t="shared" si="35"/>
        <v>0</v>
      </c>
      <c r="BF30" s="260">
        <f t="shared" si="34"/>
        <v>0</v>
      </c>
      <c r="BG30" s="325"/>
    </row>
    <row r="31" spans="2:59" ht="13.75" customHeight="1">
      <c r="B31" s="327"/>
      <c r="C31" s="122"/>
      <c r="D31" s="123"/>
      <c r="E31" s="193"/>
      <c r="F31" s="185"/>
      <c r="G31" s="193"/>
      <c r="H31" s="193"/>
      <c r="I31" s="124"/>
      <c r="J31" s="125"/>
      <c r="K31" s="194"/>
      <c r="L31" s="370"/>
      <c r="M31" s="194"/>
      <c r="N31" s="194"/>
      <c r="O31" s="159"/>
      <c r="P31" s="159"/>
      <c r="Q31" s="159"/>
      <c r="R31" s="122"/>
      <c r="S31" s="159"/>
      <c r="T31" s="122"/>
      <c r="U31" s="189"/>
      <c r="V31" s="189"/>
      <c r="W31" s="189"/>
      <c r="X31" s="189"/>
      <c r="Y31" s="189"/>
      <c r="Z31" s="189"/>
      <c r="AA31" s="123"/>
      <c r="AB31" s="123"/>
      <c r="AC31" s="123"/>
      <c r="AD31" s="123"/>
      <c r="AE31" s="123"/>
      <c r="AF31" s="189"/>
      <c r="AG31" s="163"/>
      <c r="AH31" s="189"/>
      <c r="AI31" s="189"/>
      <c r="AJ31" s="189"/>
      <c r="AK31" s="189"/>
      <c r="AL31" s="189"/>
      <c r="AM31" s="123"/>
      <c r="AN31" s="189"/>
      <c r="AO31" s="189"/>
      <c r="AP31" s="188"/>
      <c r="AQ31" s="188"/>
      <c r="AR31" s="188"/>
      <c r="AS31" s="27"/>
      <c r="AT31" s="27"/>
      <c r="AU31" s="27"/>
      <c r="AV31" s="27"/>
      <c r="AW31" s="121"/>
      <c r="AX31" s="135"/>
      <c r="AY31" s="323"/>
      <c r="AZ31" s="130"/>
      <c r="BC31" s="260">
        <f t="shared" si="32"/>
        <v>1</v>
      </c>
      <c r="BD31" s="261">
        <f t="shared" si="33"/>
        <v>10</v>
      </c>
      <c r="BE31" s="261">
        <f>E31-E30</f>
        <v>0</v>
      </c>
      <c r="BF31" s="260">
        <f t="shared" si="34"/>
        <v>0</v>
      </c>
      <c r="BG31" s="325"/>
    </row>
    <row r="32" spans="2:59" ht="13.75" customHeight="1">
      <c r="B32" s="327"/>
      <c r="C32" s="122"/>
      <c r="D32" s="123"/>
      <c r="E32" s="193"/>
      <c r="F32" s="185"/>
      <c r="G32" s="193"/>
      <c r="H32" s="193"/>
      <c r="I32" s="124"/>
      <c r="J32" s="125"/>
      <c r="K32" s="194"/>
      <c r="L32" s="194"/>
      <c r="M32" s="194"/>
      <c r="N32" s="194"/>
      <c r="O32" s="159"/>
      <c r="P32" s="159"/>
      <c r="Q32" s="159"/>
      <c r="R32" s="122"/>
      <c r="S32" s="159"/>
      <c r="T32" s="122"/>
      <c r="U32" s="189"/>
      <c r="V32" s="189"/>
      <c r="W32" s="189"/>
      <c r="X32" s="189"/>
      <c r="Y32" s="189"/>
      <c r="Z32" s="189"/>
      <c r="AA32" s="123"/>
      <c r="AB32" s="123"/>
      <c r="AC32" s="123"/>
      <c r="AD32" s="123"/>
      <c r="AE32" s="123"/>
      <c r="AF32" s="189"/>
      <c r="AG32" s="163"/>
      <c r="AH32" s="189"/>
      <c r="AI32" s="189"/>
      <c r="AJ32" s="189"/>
      <c r="AK32" s="189"/>
      <c r="AL32" s="189"/>
      <c r="AM32" s="123"/>
      <c r="AN32" s="189"/>
      <c r="AO32" s="189"/>
      <c r="AP32" s="188"/>
      <c r="AQ32" s="188"/>
      <c r="AR32" s="188"/>
      <c r="AS32" s="27"/>
      <c r="AT32" s="27"/>
      <c r="AU32" s="27"/>
      <c r="AV32" s="27"/>
      <c r="AW32" s="121"/>
      <c r="AX32" s="135"/>
      <c r="AY32" s="323"/>
      <c r="AZ32" s="130"/>
      <c r="BC32" s="260">
        <f t="shared" si="32"/>
        <v>1</v>
      </c>
      <c r="BD32" s="261">
        <f t="shared" si="33"/>
        <v>10</v>
      </c>
      <c r="BE32" s="261">
        <f>E32-E31</f>
        <v>0</v>
      </c>
      <c r="BF32" s="260">
        <f t="shared" si="34"/>
        <v>0</v>
      </c>
      <c r="BG32" s="325"/>
    </row>
    <row r="33" spans="2:59">
      <c r="B33" s="327"/>
      <c r="C33" s="15"/>
      <c r="D33" s="15"/>
      <c r="E33" s="15"/>
      <c r="F33" s="166"/>
      <c r="G33" s="177"/>
      <c r="H33" s="177"/>
      <c r="I33" s="20"/>
      <c r="J33" s="21"/>
      <c r="K33" s="167"/>
      <c r="L33" s="167"/>
      <c r="M33" s="167"/>
      <c r="N33" s="167"/>
      <c r="O33" s="126"/>
      <c r="P33" s="126"/>
      <c r="Q33" s="126"/>
      <c r="R33" s="15"/>
      <c r="S33" s="126"/>
      <c r="T33" s="15"/>
      <c r="U33" s="24"/>
      <c r="V33" s="24"/>
      <c r="W33" s="24"/>
      <c r="X33" s="24"/>
      <c r="Y33" s="24"/>
      <c r="Z33" s="24"/>
      <c r="AA33" s="114"/>
      <c r="AB33" s="114"/>
      <c r="AC33" s="114"/>
      <c r="AD33" s="114"/>
      <c r="AE33" s="114"/>
      <c r="AF33" s="24"/>
      <c r="AG33" s="142"/>
      <c r="AH33" s="24"/>
      <c r="AI33" s="114"/>
      <c r="AJ33" s="114"/>
      <c r="AK33" s="114"/>
      <c r="AL33" s="114"/>
      <c r="AM33" s="114"/>
      <c r="AN33" s="114"/>
      <c r="AO33" s="114"/>
      <c r="AP33" s="188"/>
      <c r="AQ33" s="188"/>
      <c r="AR33" s="188"/>
      <c r="AS33" s="27"/>
      <c r="AT33" s="27"/>
      <c r="AU33" s="27"/>
      <c r="AV33" s="27"/>
      <c r="AW33" s="121"/>
      <c r="AX33" s="135"/>
      <c r="AY33" s="323"/>
      <c r="AZ33" s="130"/>
      <c r="BC33" s="260">
        <f t="shared" si="32"/>
        <v>1</v>
      </c>
      <c r="BD33" s="261">
        <f t="shared" si="33"/>
        <v>10</v>
      </c>
      <c r="BE33" s="261">
        <f>E33</f>
        <v>0</v>
      </c>
      <c r="BF33" s="260">
        <f t="shared" si="34"/>
        <v>0</v>
      </c>
      <c r="BG33" s="325">
        <f>SUM(BF33:BF53)</f>
        <v>0</v>
      </c>
    </row>
    <row r="34" spans="2:59">
      <c r="B34" s="327"/>
      <c r="C34" s="15"/>
      <c r="D34" s="15"/>
      <c r="E34" s="15"/>
      <c r="F34" s="166"/>
      <c r="G34" s="177"/>
      <c r="H34" s="177"/>
      <c r="I34" s="20"/>
      <c r="J34" s="21"/>
      <c r="K34" s="167"/>
      <c r="L34" s="167"/>
      <c r="M34" s="167"/>
      <c r="N34" s="167"/>
      <c r="O34" s="126"/>
      <c r="P34" s="126"/>
      <c r="Q34" s="126"/>
      <c r="R34" s="15"/>
      <c r="S34" s="126"/>
      <c r="T34" s="15"/>
      <c r="U34" s="24"/>
      <c r="V34" s="24"/>
      <c r="W34" s="24"/>
      <c r="X34" s="24"/>
      <c r="Y34" s="24"/>
      <c r="Z34" s="24"/>
      <c r="AA34" s="114"/>
      <c r="AB34" s="114"/>
      <c r="AC34" s="114"/>
      <c r="AD34" s="114"/>
      <c r="AE34" s="114"/>
      <c r="AF34" s="24"/>
      <c r="AG34" s="142"/>
      <c r="AH34" s="24"/>
      <c r="AI34" s="114"/>
      <c r="AJ34" s="114"/>
      <c r="AK34" s="114"/>
      <c r="AL34" s="114"/>
      <c r="AM34" s="114"/>
      <c r="AN34" s="114"/>
      <c r="AO34" s="114"/>
      <c r="AP34" s="188"/>
      <c r="AQ34" s="188"/>
      <c r="AR34" s="188"/>
      <c r="AS34" s="27"/>
      <c r="AT34" s="27"/>
      <c r="AU34" s="27"/>
      <c r="AV34" s="27"/>
      <c r="AW34" s="121"/>
      <c r="AX34" s="135"/>
      <c r="AY34" s="323"/>
      <c r="AZ34" s="130"/>
      <c r="BC34" s="260">
        <f t="shared" si="32"/>
        <v>1</v>
      </c>
      <c r="BD34" s="261">
        <f t="shared" si="33"/>
        <v>10</v>
      </c>
      <c r="BE34" s="261">
        <f>E34-E33</f>
        <v>0</v>
      </c>
      <c r="BF34" s="260">
        <f t="shared" si="34"/>
        <v>0</v>
      </c>
      <c r="BG34" s="325"/>
    </row>
    <row r="35" spans="2:59">
      <c r="B35" s="327"/>
      <c r="C35" s="15"/>
      <c r="D35" s="15"/>
      <c r="E35" s="15"/>
      <c r="F35" s="166"/>
      <c r="G35" s="177"/>
      <c r="H35" s="177"/>
      <c r="I35" s="20"/>
      <c r="J35" s="21"/>
      <c r="K35" s="167"/>
      <c r="L35" s="167"/>
      <c r="M35" s="167"/>
      <c r="N35" s="167"/>
      <c r="O35" s="126"/>
      <c r="P35" s="126"/>
      <c r="Q35" s="126"/>
      <c r="R35" s="15"/>
      <c r="S35" s="126"/>
      <c r="T35" s="15"/>
      <c r="U35" s="24"/>
      <c r="V35" s="24"/>
      <c r="W35" s="24"/>
      <c r="X35" s="24"/>
      <c r="Y35" s="24"/>
      <c r="Z35" s="24"/>
      <c r="AA35" s="114"/>
      <c r="AB35" s="114"/>
      <c r="AC35" s="114"/>
      <c r="AD35" s="114"/>
      <c r="AE35" s="114"/>
      <c r="AF35" s="24"/>
      <c r="AG35" s="142"/>
      <c r="AH35" s="24"/>
      <c r="AI35" s="114"/>
      <c r="AJ35" s="114"/>
      <c r="AK35" s="114"/>
      <c r="AL35" s="114"/>
      <c r="AM35" s="114"/>
      <c r="AN35" s="114"/>
      <c r="AO35" s="114"/>
      <c r="AP35" s="188"/>
      <c r="AQ35" s="188"/>
      <c r="AR35" s="188"/>
      <c r="AS35" s="27"/>
      <c r="AT35" s="27"/>
      <c r="AU35" s="27"/>
      <c r="AV35" s="27"/>
      <c r="AW35" s="121"/>
      <c r="AX35" s="135"/>
      <c r="AY35" s="323"/>
      <c r="AZ35" s="130"/>
      <c r="BC35" s="260">
        <f t="shared" si="32"/>
        <v>1</v>
      </c>
      <c r="BD35" s="261">
        <f t="shared" si="33"/>
        <v>10</v>
      </c>
      <c r="BE35" s="261">
        <f t="shared" ref="BE35:BE53" si="36">E35-E34</f>
        <v>0</v>
      </c>
      <c r="BF35" s="260">
        <f t="shared" si="34"/>
        <v>0</v>
      </c>
      <c r="BG35" s="325"/>
    </row>
    <row r="36" spans="2:59">
      <c r="B36" s="327"/>
      <c r="C36" s="15"/>
      <c r="D36" s="15"/>
      <c r="E36" s="15"/>
      <c r="F36" s="166"/>
      <c r="G36" s="177"/>
      <c r="H36" s="177"/>
      <c r="I36" s="20"/>
      <c r="J36" s="21"/>
      <c r="K36" s="167"/>
      <c r="L36" s="167"/>
      <c r="M36" s="167"/>
      <c r="N36" s="167"/>
      <c r="O36" s="126"/>
      <c r="P36" s="126"/>
      <c r="Q36" s="126"/>
      <c r="R36" s="15"/>
      <c r="S36" s="126"/>
      <c r="T36" s="15"/>
      <c r="U36" s="24"/>
      <c r="V36" s="24"/>
      <c r="W36" s="24"/>
      <c r="X36" s="24"/>
      <c r="Y36" s="24"/>
      <c r="Z36" s="24"/>
      <c r="AA36" s="114"/>
      <c r="AB36" s="114"/>
      <c r="AC36" s="114"/>
      <c r="AD36" s="114"/>
      <c r="AE36" s="114"/>
      <c r="AF36" s="24"/>
      <c r="AG36" s="142"/>
      <c r="AH36" s="24"/>
      <c r="AI36" s="114"/>
      <c r="AJ36" s="114"/>
      <c r="AK36" s="114"/>
      <c r="AL36" s="114"/>
      <c r="AM36" s="114"/>
      <c r="AN36" s="114"/>
      <c r="AO36" s="114"/>
      <c r="AP36" s="188"/>
      <c r="AQ36" s="188"/>
      <c r="AR36" s="188"/>
      <c r="AS36" s="27"/>
      <c r="AT36" s="27"/>
      <c r="AU36" s="27"/>
      <c r="AV36" s="27"/>
      <c r="AW36" s="121"/>
      <c r="AX36" s="135"/>
      <c r="AY36" s="323"/>
      <c r="AZ36" s="130"/>
      <c r="BC36" s="260">
        <f t="shared" si="32"/>
        <v>1</v>
      </c>
      <c r="BD36" s="261">
        <f t="shared" si="33"/>
        <v>10</v>
      </c>
      <c r="BE36" s="261">
        <f t="shared" si="36"/>
        <v>0</v>
      </c>
      <c r="BF36" s="260">
        <f t="shared" si="34"/>
        <v>0</v>
      </c>
      <c r="BG36" s="325"/>
    </row>
    <row r="37" spans="2:59">
      <c r="B37" s="327"/>
      <c r="C37" s="15"/>
      <c r="D37" s="15"/>
      <c r="E37" s="15"/>
      <c r="F37" s="166"/>
      <c r="G37" s="177"/>
      <c r="H37" s="177"/>
      <c r="I37" s="20"/>
      <c r="J37" s="21"/>
      <c r="K37" s="167"/>
      <c r="L37" s="167"/>
      <c r="M37" s="167"/>
      <c r="N37" s="167"/>
      <c r="O37" s="126"/>
      <c r="P37" s="126"/>
      <c r="Q37" s="126"/>
      <c r="R37" s="15"/>
      <c r="S37" s="126"/>
      <c r="T37" s="15"/>
      <c r="U37" s="24"/>
      <c r="V37" s="24"/>
      <c r="W37" s="24"/>
      <c r="X37" s="24"/>
      <c r="Y37" s="24"/>
      <c r="Z37" s="24"/>
      <c r="AA37" s="114"/>
      <c r="AB37" s="114"/>
      <c r="AC37" s="114"/>
      <c r="AD37" s="114"/>
      <c r="AE37" s="114"/>
      <c r="AF37" s="24"/>
      <c r="AG37" s="142"/>
      <c r="AH37" s="24"/>
      <c r="AI37" s="114"/>
      <c r="AJ37" s="114"/>
      <c r="AK37" s="114"/>
      <c r="AL37" s="114"/>
      <c r="AM37" s="114"/>
      <c r="AN37" s="114"/>
      <c r="AO37" s="114"/>
      <c r="AP37" s="188"/>
      <c r="AQ37" s="188"/>
      <c r="AR37" s="188"/>
      <c r="AS37" s="27"/>
      <c r="AT37" s="27"/>
      <c r="AU37" s="27"/>
      <c r="AV37" s="27"/>
      <c r="AW37" s="121"/>
      <c r="AX37" s="135"/>
      <c r="AY37" s="323"/>
      <c r="AZ37" s="130"/>
      <c r="BC37" s="260">
        <f t="shared" si="32"/>
        <v>1</v>
      </c>
      <c r="BD37" s="261">
        <f t="shared" si="33"/>
        <v>10</v>
      </c>
      <c r="BE37" s="261">
        <f t="shared" si="36"/>
        <v>0</v>
      </c>
      <c r="BF37" s="260">
        <f t="shared" si="34"/>
        <v>0</v>
      </c>
      <c r="BG37" s="325"/>
    </row>
    <row r="38" spans="2:59">
      <c r="B38" s="327"/>
      <c r="C38" s="15"/>
      <c r="D38" s="15"/>
      <c r="E38" s="15"/>
      <c r="F38" s="166"/>
      <c r="G38" s="177"/>
      <c r="H38" s="177"/>
      <c r="I38" s="20"/>
      <c r="J38" s="21"/>
      <c r="K38" s="167"/>
      <c r="L38" s="167"/>
      <c r="M38" s="167"/>
      <c r="N38" s="167"/>
      <c r="O38" s="126"/>
      <c r="P38" s="126"/>
      <c r="Q38" s="126"/>
      <c r="R38" s="15"/>
      <c r="S38" s="126"/>
      <c r="T38" s="15"/>
      <c r="U38" s="24"/>
      <c r="V38" s="24"/>
      <c r="W38" s="24"/>
      <c r="X38" s="24"/>
      <c r="Y38" s="24"/>
      <c r="Z38" s="24"/>
      <c r="AA38" s="114"/>
      <c r="AB38" s="114"/>
      <c r="AC38" s="114"/>
      <c r="AD38" s="114"/>
      <c r="AE38" s="114"/>
      <c r="AF38" s="24"/>
      <c r="AG38" s="142"/>
      <c r="AH38" s="24"/>
      <c r="AI38" s="114"/>
      <c r="AJ38" s="114"/>
      <c r="AK38" s="114"/>
      <c r="AL38" s="114"/>
      <c r="AM38" s="114"/>
      <c r="AN38" s="114"/>
      <c r="AO38" s="114"/>
      <c r="AP38" s="188"/>
      <c r="AQ38" s="188"/>
      <c r="AR38" s="188"/>
      <c r="AS38" s="27"/>
      <c r="AT38" s="27"/>
      <c r="AU38" s="27"/>
      <c r="AV38" s="27"/>
      <c r="AW38" s="121"/>
      <c r="AX38" s="135"/>
      <c r="AY38" s="324"/>
      <c r="AZ38" s="130"/>
      <c r="BC38" s="260">
        <f t="shared" si="32"/>
        <v>1</v>
      </c>
      <c r="BD38" s="261">
        <f t="shared" si="33"/>
        <v>10</v>
      </c>
      <c r="BE38" s="261">
        <f t="shared" si="36"/>
        <v>0</v>
      </c>
      <c r="BF38" s="260">
        <f t="shared" si="34"/>
        <v>0</v>
      </c>
      <c r="BG38" s="325"/>
    </row>
    <row r="39" spans="2:59" ht="12.5" customHeight="1">
      <c r="B39" s="327"/>
      <c r="C39" s="15"/>
      <c r="D39" s="15"/>
      <c r="E39" s="15"/>
      <c r="F39" s="166"/>
      <c r="G39" s="177"/>
      <c r="H39" s="177"/>
      <c r="I39" s="20"/>
      <c r="J39" s="21"/>
      <c r="K39" s="167"/>
      <c r="L39" s="167"/>
      <c r="M39" s="167"/>
      <c r="N39" s="167"/>
      <c r="O39" s="126"/>
      <c r="P39" s="126"/>
      <c r="Q39" s="126"/>
      <c r="R39" s="15"/>
      <c r="S39" s="126"/>
      <c r="T39" s="15"/>
      <c r="U39" s="24"/>
      <c r="V39" s="24"/>
      <c r="W39" s="24"/>
      <c r="X39" s="24"/>
      <c r="Y39" s="24"/>
      <c r="Z39" s="24"/>
      <c r="AA39" s="114"/>
      <c r="AB39" s="114"/>
      <c r="AC39" s="114"/>
      <c r="AD39" s="114"/>
      <c r="AE39" s="114"/>
      <c r="AF39" s="24"/>
      <c r="AG39" s="142"/>
      <c r="AH39" s="24"/>
      <c r="AI39" s="114"/>
      <c r="AJ39" s="114"/>
      <c r="AK39" s="114"/>
      <c r="AL39" s="114"/>
      <c r="AM39" s="114"/>
      <c r="AN39" s="114"/>
      <c r="AO39" s="114"/>
      <c r="AP39" s="188"/>
      <c r="AQ39" s="188"/>
      <c r="AR39" s="188"/>
      <c r="AS39" s="27"/>
      <c r="AT39" s="27"/>
      <c r="AU39" s="27"/>
      <c r="AV39" s="27"/>
      <c r="AW39" s="121"/>
      <c r="AX39" s="135"/>
      <c r="AY39" s="322">
        <f>SUM(AX39:AX51)</f>
        <v>0</v>
      </c>
      <c r="AZ39" s="130"/>
      <c r="BC39" s="260">
        <f t="shared" si="32"/>
        <v>1</v>
      </c>
      <c r="BD39" s="261">
        <f t="shared" si="33"/>
        <v>10</v>
      </c>
      <c r="BE39" s="261">
        <f t="shared" si="36"/>
        <v>0</v>
      </c>
      <c r="BF39" s="260">
        <f t="shared" si="34"/>
        <v>0</v>
      </c>
      <c r="BG39" s="325"/>
    </row>
    <row r="40" spans="2:59">
      <c r="B40" s="327"/>
      <c r="C40" s="15"/>
      <c r="D40" s="15"/>
      <c r="E40" s="15"/>
      <c r="F40" s="166"/>
      <c r="G40" s="177"/>
      <c r="H40" s="177"/>
      <c r="I40" s="20"/>
      <c r="J40" s="21"/>
      <c r="K40" s="167"/>
      <c r="L40" s="167"/>
      <c r="M40" s="167"/>
      <c r="N40" s="167"/>
      <c r="O40" s="126"/>
      <c r="P40" s="126"/>
      <c r="Q40" s="126"/>
      <c r="R40" s="15"/>
      <c r="S40" s="126"/>
      <c r="T40" s="15"/>
      <c r="U40" s="24"/>
      <c r="V40" s="24"/>
      <c r="W40" s="24"/>
      <c r="X40" s="24"/>
      <c r="Y40" s="24"/>
      <c r="Z40" s="24"/>
      <c r="AA40" s="114"/>
      <c r="AB40" s="114"/>
      <c r="AC40" s="114"/>
      <c r="AD40" s="114"/>
      <c r="AE40" s="114"/>
      <c r="AF40" s="24"/>
      <c r="AG40" s="142"/>
      <c r="AH40" s="24"/>
      <c r="AI40" s="114"/>
      <c r="AJ40" s="114"/>
      <c r="AK40" s="114"/>
      <c r="AL40" s="114"/>
      <c r="AM40" s="114"/>
      <c r="AN40" s="114"/>
      <c r="AO40" s="114"/>
      <c r="AP40" s="188"/>
      <c r="AQ40" s="188"/>
      <c r="AR40" s="188"/>
      <c r="AS40" s="27"/>
      <c r="AT40" s="27"/>
      <c r="AU40" s="27"/>
      <c r="AV40" s="27"/>
      <c r="AW40" s="121"/>
      <c r="AX40" s="135"/>
      <c r="AY40" s="323"/>
      <c r="AZ40" s="130"/>
      <c r="BC40" s="260">
        <f t="shared" si="32"/>
        <v>1</v>
      </c>
      <c r="BD40" s="261">
        <f t="shared" si="33"/>
        <v>10</v>
      </c>
      <c r="BE40" s="261">
        <f t="shared" si="36"/>
        <v>0</v>
      </c>
      <c r="BF40" s="260">
        <f t="shared" si="34"/>
        <v>0</v>
      </c>
      <c r="BG40" s="325"/>
    </row>
    <row r="41" spans="2:59">
      <c r="B41" s="327"/>
      <c r="C41" s="15"/>
      <c r="D41" s="15"/>
      <c r="E41" s="15"/>
      <c r="F41" s="166"/>
      <c r="G41" s="177"/>
      <c r="H41" s="177"/>
      <c r="I41" s="20"/>
      <c r="J41" s="21"/>
      <c r="K41" s="167"/>
      <c r="L41" s="167"/>
      <c r="M41" s="167"/>
      <c r="N41" s="167"/>
      <c r="O41" s="126"/>
      <c r="P41" s="126"/>
      <c r="Q41" s="126"/>
      <c r="R41" s="15"/>
      <c r="S41" s="126"/>
      <c r="T41" s="15"/>
      <c r="U41" s="24"/>
      <c r="V41" s="24"/>
      <c r="W41" s="24"/>
      <c r="X41" s="24"/>
      <c r="Y41" s="24"/>
      <c r="Z41" s="24"/>
      <c r="AA41" s="114"/>
      <c r="AB41" s="114"/>
      <c r="AC41" s="114"/>
      <c r="AD41" s="114"/>
      <c r="AE41" s="114"/>
      <c r="AF41" s="24"/>
      <c r="AG41" s="142"/>
      <c r="AH41" s="24"/>
      <c r="AI41" s="114"/>
      <c r="AJ41" s="114"/>
      <c r="AK41" s="114"/>
      <c r="AL41" s="114"/>
      <c r="AM41" s="114"/>
      <c r="AN41" s="114"/>
      <c r="AO41" s="114"/>
      <c r="AP41" s="188"/>
      <c r="AQ41" s="188"/>
      <c r="AR41" s="188"/>
      <c r="AS41" s="27"/>
      <c r="AT41" s="27"/>
      <c r="AU41" s="27"/>
      <c r="AV41" s="27"/>
      <c r="AW41" s="121"/>
      <c r="AX41" s="135"/>
      <c r="AY41" s="323"/>
      <c r="AZ41" s="130"/>
      <c r="BC41" s="260">
        <f t="shared" si="32"/>
        <v>1</v>
      </c>
      <c r="BD41" s="261">
        <f t="shared" si="33"/>
        <v>10</v>
      </c>
      <c r="BE41" s="261">
        <f t="shared" si="36"/>
        <v>0</v>
      </c>
      <c r="BF41" s="260">
        <f t="shared" si="34"/>
        <v>0</v>
      </c>
      <c r="BG41" s="325"/>
    </row>
    <row r="42" spans="2:59">
      <c r="B42" s="327"/>
      <c r="C42" s="15"/>
      <c r="D42" s="15"/>
      <c r="E42" s="15"/>
      <c r="F42" s="166"/>
      <c r="G42" s="177"/>
      <c r="H42" s="177"/>
      <c r="I42" s="20"/>
      <c r="J42" s="21"/>
      <c r="K42" s="167"/>
      <c r="L42" s="167"/>
      <c r="M42" s="167"/>
      <c r="N42" s="167"/>
      <c r="O42" s="126"/>
      <c r="P42" s="126"/>
      <c r="Q42" s="126"/>
      <c r="R42" s="15"/>
      <c r="S42" s="126"/>
      <c r="T42" s="15"/>
      <c r="U42" s="24"/>
      <c r="V42" s="24"/>
      <c r="W42" s="24"/>
      <c r="X42" s="24"/>
      <c r="Y42" s="24"/>
      <c r="Z42" s="24"/>
      <c r="AA42" s="114"/>
      <c r="AB42" s="114"/>
      <c r="AC42" s="114"/>
      <c r="AD42" s="114"/>
      <c r="AE42" s="114"/>
      <c r="AF42" s="24"/>
      <c r="AG42" s="142"/>
      <c r="AH42" s="24"/>
      <c r="AI42" s="114"/>
      <c r="AJ42" s="114"/>
      <c r="AK42" s="114"/>
      <c r="AL42" s="114"/>
      <c r="AM42" s="114"/>
      <c r="AN42" s="114"/>
      <c r="AO42" s="114"/>
      <c r="AP42" s="188"/>
      <c r="AQ42" s="188"/>
      <c r="AR42" s="188"/>
      <c r="AS42" s="27"/>
      <c r="AT42" s="27"/>
      <c r="AU42" s="27"/>
      <c r="AV42" s="27"/>
      <c r="AW42" s="121"/>
      <c r="AX42" s="135"/>
      <c r="AY42" s="323"/>
      <c r="AZ42" s="130"/>
      <c r="BC42" s="260">
        <f t="shared" si="32"/>
        <v>1</v>
      </c>
      <c r="BD42" s="261">
        <f t="shared" si="33"/>
        <v>10</v>
      </c>
      <c r="BE42" s="261">
        <f t="shared" si="36"/>
        <v>0</v>
      </c>
      <c r="BF42" s="260">
        <f t="shared" si="34"/>
        <v>0</v>
      </c>
      <c r="BG42" s="325"/>
    </row>
    <row r="43" spans="2:59" ht="12.75" customHeight="1">
      <c r="B43" s="327"/>
      <c r="C43" s="15"/>
      <c r="D43" s="15"/>
      <c r="E43" s="15"/>
      <c r="F43" s="166"/>
      <c r="G43" s="177"/>
      <c r="H43" s="177"/>
      <c r="I43" s="20"/>
      <c r="J43" s="21"/>
      <c r="K43" s="167"/>
      <c r="L43" s="167"/>
      <c r="M43" s="167"/>
      <c r="N43" s="167"/>
      <c r="O43" s="126"/>
      <c r="P43" s="126"/>
      <c r="Q43" s="126"/>
      <c r="R43" s="15"/>
      <c r="S43" s="126"/>
      <c r="T43" s="15"/>
      <c r="U43" s="24"/>
      <c r="V43" s="24"/>
      <c r="W43" s="24"/>
      <c r="X43" s="24"/>
      <c r="Y43" s="24"/>
      <c r="Z43" s="24"/>
      <c r="AA43" s="114"/>
      <c r="AB43" s="114"/>
      <c r="AC43" s="114"/>
      <c r="AD43" s="114"/>
      <c r="AE43" s="114"/>
      <c r="AF43" s="24"/>
      <c r="AG43" s="142"/>
      <c r="AH43" s="24"/>
      <c r="AI43" s="114"/>
      <c r="AJ43" s="114"/>
      <c r="AK43" s="114"/>
      <c r="AL43" s="114"/>
      <c r="AM43" s="114"/>
      <c r="AN43" s="114"/>
      <c r="AO43" s="114"/>
      <c r="AP43" s="188"/>
      <c r="AQ43" s="188"/>
      <c r="AR43" s="188"/>
      <c r="AS43" s="27"/>
      <c r="AT43" s="27"/>
      <c r="AU43" s="27"/>
      <c r="AV43" s="27"/>
      <c r="AW43" s="121"/>
      <c r="AX43" s="135"/>
      <c r="AY43" s="323"/>
      <c r="AZ43" s="130"/>
      <c r="BC43" s="260">
        <f t="shared" si="32"/>
        <v>1</v>
      </c>
      <c r="BD43" s="261">
        <f t="shared" si="33"/>
        <v>10</v>
      </c>
      <c r="BE43" s="261">
        <f t="shared" si="36"/>
        <v>0</v>
      </c>
      <c r="BF43" s="260">
        <f t="shared" si="34"/>
        <v>0</v>
      </c>
      <c r="BG43" s="325"/>
    </row>
    <row r="44" spans="2:59">
      <c r="B44" s="327"/>
      <c r="C44" s="15"/>
      <c r="D44" s="15"/>
      <c r="E44" s="15"/>
      <c r="F44" s="166"/>
      <c r="G44" s="177"/>
      <c r="H44" s="177"/>
      <c r="I44" s="20"/>
      <c r="J44" s="21"/>
      <c r="K44" s="167"/>
      <c r="L44" s="167"/>
      <c r="M44" s="167"/>
      <c r="N44" s="167"/>
      <c r="O44" s="126"/>
      <c r="P44" s="126"/>
      <c r="Q44" s="126"/>
      <c r="R44" s="15"/>
      <c r="S44" s="126"/>
      <c r="T44" s="15"/>
      <c r="U44" s="24"/>
      <c r="V44" s="24"/>
      <c r="W44" s="24"/>
      <c r="X44" s="24"/>
      <c r="Y44" s="24"/>
      <c r="Z44" s="24"/>
      <c r="AA44" s="114"/>
      <c r="AB44" s="114"/>
      <c r="AC44" s="114"/>
      <c r="AD44" s="114"/>
      <c r="AE44" s="114"/>
      <c r="AF44" s="24"/>
      <c r="AG44" s="142"/>
      <c r="AH44" s="24"/>
      <c r="AI44" s="114"/>
      <c r="AJ44" s="114"/>
      <c r="AK44" s="114"/>
      <c r="AL44" s="114"/>
      <c r="AM44" s="114"/>
      <c r="AN44" s="114"/>
      <c r="AO44" s="114"/>
      <c r="AP44" s="188"/>
      <c r="AQ44" s="188"/>
      <c r="AR44" s="188"/>
      <c r="AS44" s="27"/>
      <c r="AT44" s="27"/>
      <c r="AU44" s="27"/>
      <c r="AV44" s="27"/>
      <c r="AW44" s="121"/>
      <c r="AX44" s="135"/>
      <c r="AY44" s="323"/>
      <c r="AZ44" s="130"/>
      <c r="BC44" s="260">
        <f t="shared" si="32"/>
        <v>1</v>
      </c>
      <c r="BD44" s="261">
        <f t="shared" si="33"/>
        <v>10</v>
      </c>
      <c r="BE44" s="261">
        <f t="shared" si="36"/>
        <v>0</v>
      </c>
      <c r="BF44" s="260">
        <f t="shared" si="34"/>
        <v>0</v>
      </c>
      <c r="BG44" s="325"/>
    </row>
    <row r="45" spans="2:59">
      <c r="B45" s="327"/>
      <c r="C45" s="15"/>
      <c r="D45" s="15"/>
      <c r="E45" s="15"/>
      <c r="F45" s="166"/>
      <c r="G45" s="177"/>
      <c r="H45" s="177"/>
      <c r="I45" s="20"/>
      <c r="J45" s="21"/>
      <c r="K45" s="167"/>
      <c r="L45" s="167"/>
      <c r="M45" s="167"/>
      <c r="N45" s="167"/>
      <c r="O45" s="126"/>
      <c r="P45" s="126"/>
      <c r="Q45" s="126"/>
      <c r="R45" s="15"/>
      <c r="S45" s="126"/>
      <c r="T45" s="15"/>
      <c r="U45" s="24"/>
      <c r="V45" s="24"/>
      <c r="W45" s="24"/>
      <c r="X45" s="24"/>
      <c r="Y45" s="24"/>
      <c r="Z45" s="24"/>
      <c r="AA45" s="114"/>
      <c r="AB45" s="114"/>
      <c r="AC45" s="114"/>
      <c r="AD45" s="114"/>
      <c r="AE45" s="114"/>
      <c r="AF45" s="24"/>
      <c r="AG45" s="142"/>
      <c r="AH45" s="24"/>
      <c r="AI45" s="114"/>
      <c r="AJ45" s="114"/>
      <c r="AK45" s="114"/>
      <c r="AL45" s="114"/>
      <c r="AM45" s="114"/>
      <c r="AN45" s="114"/>
      <c r="AO45" s="114"/>
      <c r="AP45" s="188"/>
      <c r="AQ45" s="188"/>
      <c r="AR45" s="188"/>
      <c r="AS45" s="27"/>
      <c r="AT45" s="27"/>
      <c r="AU45" s="27"/>
      <c r="AV45" s="27"/>
      <c r="AW45" s="121"/>
      <c r="AX45" s="135"/>
      <c r="AY45" s="323"/>
      <c r="AZ45" s="130"/>
      <c r="BC45" s="260">
        <f t="shared" si="32"/>
        <v>1</v>
      </c>
      <c r="BD45" s="261">
        <f t="shared" si="33"/>
        <v>10</v>
      </c>
      <c r="BE45" s="261">
        <f t="shared" si="36"/>
        <v>0</v>
      </c>
      <c r="BF45" s="260">
        <f t="shared" si="34"/>
        <v>0</v>
      </c>
      <c r="BG45" s="325"/>
    </row>
    <row r="46" spans="2:59">
      <c r="B46" s="327"/>
      <c r="C46" s="15"/>
      <c r="D46" s="15"/>
      <c r="E46" s="15"/>
      <c r="F46" s="166"/>
      <c r="G46" s="177"/>
      <c r="H46" s="177"/>
      <c r="I46" s="20"/>
      <c r="J46" s="21"/>
      <c r="K46" s="167"/>
      <c r="L46" s="167"/>
      <c r="M46" s="167"/>
      <c r="N46" s="167"/>
      <c r="O46" s="126"/>
      <c r="P46" s="126"/>
      <c r="Q46" s="126"/>
      <c r="R46" s="15"/>
      <c r="S46" s="126"/>
      <c r="T46" s="15"/>
      <c r="U46" s="24"/>
      <c r="V46" s="24"/>
      <c r="W46" s="24"/>
      <c r="X46" s="24"/>
      <c r="Y46" s="24"/>
      <c r="Z46" s="24"/>
      <c r="AA46" s="114"/>
      <c r="AB46" s="114"/>
      <c r="AC46" s="114"/>
      <c r="AD46" s="114"/>
      <c r="AE46" s="114"/>
      <c r="AF46" s="24"/>
      <c r="AG46" s="142"/>
      <c r="AH46" s="24"/>
      <c r="AI46" s="114"/>
      <c r="AJ46" s="114"/>
      <c r="AK46" s="114"/>
      <c r="AL46" s="114"/>
      <c r="AM46" s="114"/>
      <c r="AN46" s="114"/>
      <c r="AO46" s="114"/>
      <c r="AP46" s="188"/>
      <c r="AQ46" s="188"/>
      <c r="AR46" s="188"/>
      <c r="AS46" s="27"/>
      <c r="AT46" s="27"/>
      <c r="AU46" s="27"/>
      <c r="AV46" s="27"/>
      <c r="AW46" s="121"/>
      <c r="AX46" s="135"/>
      <c r="AY46" s="323"/>
      <c r="AZ46" s="130"/>
      <c r="BC46" s="260">
        <f t="shared" si="32"/>
        <v>1</v>
      </c>
      <c r="BD46" s="261">
        <f t="shared" si="33"/>
        <v>10</v>
      </c>
      <c r="BE46" s="261">
        <f t="shared" si="36"/>
        <v>0</v>
      </c>
      <c r="BF46" s="260">
        <f t="shared" si="34"/>
        <v>0</v>
      </c>
      <c r="BG46" s="325"/>
    </row>
    <row r="47" spans="2:59" ht="12.75" customHeight="1">
      <c r="B47" s="327"/>
      <c r="C47" s="15"/>
      <c r="D47" s="15"/>
      <c r="E47" s="15"/>
      <c r="F47" s="166"/>
      <c r="G47" s="177"/>
      <c r="H47" s="177"/>
      <c r="I47" s="20"/>
      <c r="J47" s="21"/>
      <c r="K47" s="167"/>
      <c r="L47" s="167"/>
      <c r="M47" s="167"/>
      <c r="N47" s="167"/>
      <c r="O47" s="126"/>
      <c r="P47" s="126"/>
      <c r="Q47" s="126"/>
      <c r="R47" s="15"/>
      <c r="S47" s="126"/>
      <c r="T47" s="15"/>
      <c r="U47" s="24"/>
      <c r="V47" s="24"/>
      <c r="W47" s="24"/>
      <c r="X47" s="24"/>
      <c r="Y47" s="24"/>
      <c r="Z47" s="24"/>
      <c r="AA47" s="114"/>
      <c r="AB47" s="114"/>
      <c r="AC47" s="114"/>
      <c r="AD47" s="114"/>
      <c r="AE47" s="114"/>
      <c r="AF47" s="24"/>
      <c r="AG47" s="142"/>
      <c r="AH47" s="24"/>
      <c r="AI47" s="114"/>
      <c r="AJ47" s="114"/>
      <c r="AK47" s="114"/>
      <c r="AL47" s="114"/>
      <c r="AM47" s="114"/>
      <c r="AN47" s="114"/>
      <c r="AO47" s="114"/>
      <c r="AP47" s="188"/>
      <c r="AQ47" s="188"/>
      <c r="AR47" s="188"/>
      <c r="AS47" s="27"/>
      <c r="AT47" s="27"/>
      <c r="AU47" s="27"/>
      <c r="AV47" s="27"/>
      <c r="AW47" s="121"/>
      <c r="AX47" s="135"/>
      <c r="AY47" s="323"/>
      <c r="AZ47" s="130"/>
      <c r="BC47" s="260">
        <f t="shared" si="32"/>
        <v>1</v>
      </c>
      <c r="BD47" s="261">
        <f t="shared" si="33"/>
        <v>10</v>
      </c>
      <c r="BE47" s="261">
        <f t="shared" si="36"/>
        <v>0</v>
      </c>
      <c r="BF47" s="260">
        <f t="shared" si="34"/>
        <v>0</v>
      </c>
      <c r="BG47" s="325"/>
    </row>
    <row r="48" spans="2:59">
      <c r="B48" s="327"/>
      <c r="C48" s="15"/>
      <c r="D48" s="15"/>
      <c r="E48" s="15"/>
      <c r="F48" s="166"/>
      <c r="G48" s="177"/>
      <c r="H48" s="177"/>
      <c r="I48" s="20"/>
      <c r="J48" s="21"/>
      <c r="K48" s="167"/>
      <c r="L48" s="167"/>
      <c r="M48" s="167"/>
      <c r="N48" s="167"/>
      <c r="O48" s="126"/>
      <c r="P48" s="126"/>
      <c r="Q48" s="126"/>
      <c r="R48" s="15"/>
      <c r="S48" s="126"/>
      <c r="T48" s="15"/>
      <c r="U48" s="24"/>
      <c r="V48" s="24"/>
      <c r="W48" s="24"/>
      <c r="X48" s="24"/>
      <c r="Y48" s="24"/>
      <c r="Z48" s="24"/>
      <c r="AA48" s="114"/>
      <c r="AB48" s="114"/>
      <c r="AC48" s="114"/>
      <c r="AD48" s="114"/>
      <c r="AE48" s="114"/>
      <c r="AF48" s="24"/>
      <c r="AG48" s="142"/>
      <c r="AH48" s="24"/>
      <c r="AI48" s="114"/>
      <c r="AJ48" s="114"/>
      <c r="AK48" s="114"/>
      <c r="AL48" s="114"/>
      <c r="AM48" s="114"/>
      <c r="AN48" s="114"/>
      <c r="AO48" s="114"/>
      <c r="AP48" s="188"/>
      <c r="AQ48" s="188"/>
      <c r="AR48" s="188"/>
      <c r="AS48" s="27"/>
      <c r="AT48" s="27"/>
      <c r="AU48" s="27"/>
      <c r="AV48" s="27"/>
      <c r="AW48" s="121"/>
      <c r="AX48" s="135"/>
      <c r="AY48" s="323"/>
      <c r="AZ48" s="130"/>
      <c r="BC48" s="260">
        <f t="shared" si="32"/>
        <v>1</v>
      </c>
      <c r="BD48" s="261">
        <f t="shared" si="33"/>
        <v>10</v>
      </c>
      <c r="BE48" s="261">
        <f t="shared" si="36"/>
        <v>0</v>
      </c>
      <c r="BF48" s="260">
        <f t="shared" si="34"/>
        <v>0</v>
      </c>
      <c r="BG48" s="325"/>
    </row>
    <row r="49" spans="2:59" ht="12.75" customHeight="1">
      <c r="B49" s="321"/>
      <c r="C49" s="15"/>
      <c r="D49" s="15"/>
      <c r="E49" s="15"/>
      <c r="F49" s="166"/>
      <c r="G49" s="177"/>
      <c r="H49" s="177"/>
      <c r="I49" s="20"/>
      <c r="J49" s="21"/>
      <c r="K49" s="167"/>
      <c r="L49" s="167"/>
      <c r="M49" s="167"/>
      <c r="N49" s="167"/>
      <c r="O49" s="126"/>
      <c r="P49" s="126"/>
      <c r="Q49" s="126"/>
      <c r="R49" s="15"/>
      <c r="S49" s="126"/>
      <c r="T49" s="15"/>
      <c r="U49" s="24"/>
      <c r="V49" s="24"/>
      <c r="W49" s="24"/>
      <c r="X49" s="24"/>
      <c r="Y49" s="24"/>
      <c r="Z49" s="24"/>
      <c r="AA49" s="114"/>
      <c r="AB49" s="114"/>
      <c r="AC49" s="114"/>
      <c r="AD49" s="114"/>
      <c r="AE49" s="114"/>
      <c r="AF49" s="24"/>
      <c r="AG49" s="142"/>
      <c r="AH49" s="24"/>
      <c r="AI49" s="114"/>
      <c r="AJ49" s="114"/>
      <c r="AK49" s="114"/>
      <c r="AL49" s="114"/>
      <c r="AM49" s="114"/>
      <c r="AN49" s="114"/>
      <c r="AO49" s="114"/>
      <c r="AP49" s="188"/>
      <c r="AQ49" s="188"/>
      <c r="AR49" s="188"/>
      <c r="AS49" s="27"/>
      <c r="AT49" s="27"/>
      <c r="AU49" s="27"/>
      <c r="AV49" s="27"/>
      <c r="AW49" s="121"/>
      <c r="AX49" s="135"/>
      <c r="AY49" s="323"/>
      <c r="AZ49" s="130"/>
      <c r="BC49" s="260">
        <f t="shared" si="32"/>
        <v>1</v>
      </c>
      <c r="BD49" s="261">
        <f t="shared" si="33"/>
        <v>10</v>
      </c>
      <c r="BE49" s="261">
        <f t="shared" si="36"/>
        <v>0</v>
      </c>
      <c r="BF49" s="260">
        <f t="shared" si="34"/>
        <v>0</v>
      </c>
      <c r="BG49" s="325"/>
    </row>
    <row r="50" spans="2:59">
      <c r="B50" s="321"/>
      <c r="C50" s="15"/>
      <c r="D50" s="15"/>
      <c r="E50" s="15"/>
      <c r="F50" s="166"/>
      <c r="G50" s="177"/>
      <c r="H50" s="177"/>
      <c r="I50" s="20"/>
      <c r="J50" s="21"/>
      <c r="K50" s="167"/>
      <c r="L50" s="167"/>
      <c r="M50" s="167"/>
      <c r="N50" s="167"/>
      <c r="O50" s="126"/>
      <c r="P50" s="126"/>
      <c r="Q50" s="126"/>
      <c r="R50" s="15"/>
      <c r="S50" s="126"/>
      <c r="T50" s="15"/>
      <c r="U50" s="24"/>
      <c r="V50" s="24"/>
      <c r="W50" s="24"/>
      <c r="X50" s="24"/>
      <c r="Y50" s="24"/>
      <c r="Z50" s="24"/>
      <c r="AA50" s="114"/>
      <c r="AB50" s="114"/>
      <c r="AC50" s="114"/>
      <c r="AD50" s="114"/>
      <c r="AE50" s="114"/>
      <c r="AF50" s="24"/>
      <c r="AG50" s="142"/>
      <c r="AH50" s="24"/>
      <c r="AI50" s="114"/>
      <c r="AJ50" s="114"/>
      <c r="AK50" s="114"/>
      <c r="AL50" s="114"/>
      <c r="AM50" s="114"/>
      <c r="AN50" s="114"/>
      <c r="AO50" s="114"/>
      <c r="AP50" s="188"/>
      <c r="AQ50" s="188"/>
      <c r="AR50" s="188"/>
      <c r="AS50" s="27"/>
      <c r="AT50" s="27"/>
      <c r="AU50" s="27"/>
      <c r="AV50" s="27"/>
      <c r="AW50" s="121"/>
      <c r="AX50" s="135"/>
      <c r="AY50" s="323"/>
      <c r="AZ50" s="130"/>
      <c r="BC50" s="260">
        <f t="shared" si="32"/>
        <v>1</v>
      </c>
      <c r="BD50" s="261">
        <f t="shared" si="33"/>
        <v>10</v>
      </c>
      <c r="BE50" s="261">
        <f t="shared" si="36"/>
        <v>0</v>
      </c>
      <c r="BF50" s="260">
        <f t="shared" si="34"/>
        <v>0</v>
      </c>
      <c r="BG50" s="325"/>
    </row>
    <row r="51" spans="2:59">
      <c r="B51" s="321"/>
      <c r="C51" s="15"/>
      <c r="D51" s="15"/>
      <c r="E51" s="15"/>
      <c r="F51" s="166"/>
      <c r="G51" s="177"/>
      <c r="H51" s="177"/>
      <c r="I51" s="20"/>
      <c r="J51" s="21"/>
      <c r="K51" s="167"/>
      <c r="L51" s="167"/>
      <c r="M51" s="167"/>
      <c r="N51" s="167"/>
      <c r="O51" s="126"/>
      <c r="P51" s="126"/>
      <c r="Q51" s="126"/>
      <c r="R51" s="15"/>
      <c r="S51" s="126"/>
      <c r="T51" s="15"/>
      <c r="U51" s="24"/>
      <c r="V51" s="24"/>
      <c r="W51" s="24"/>
      <c r="X51" s="24"/>
      <c r="Y51" s="24"/>
      <c r="Z51" s="24"/>
      <c r="AA51" s="114"/>
      <c r="AB51" s="114"/>
      <c r="AC51" s="114"/>
      <c r="AD51" s="114"/>
      <c r="AE51" s="114"/>
      <c r="AF51" s="24"/>
      <c r="AG51" s="142"/>
      <c r="AH51" s="24"/>
      <c r="AI51" s="114"/>
      <c r="AJ51" s="114"/>
      <c r="AK51" s="114"/>
      <c r="AL51" s="114"/>
      <c r="AM51" s="114"/>
      <c r="AN51" s="114"/>
      <c r="AO51" s="114"/>
      <c r="AP51" s="188"/>
      <c r="AQ51" s="188"/>
      <c r="AR51" s="188"/>
      <c r="AS51" s="27"/>
      <c r="AT51" s="27"/>
      <c r="AU51" s="27"/>
      <c r="AV51" s="27"/>
      <c r="AW51" s="121"/>
      <c r="AX51" s="135"/>
      <c r="AY51" s="324"/>
      <c r="AZ51" s="130"/>
      <c r="BC51" s="260">
        <f t="shared" si="32"/>
        <v>1</v>
      </c>
      <c r="BD51" s="261">
        <f t="shared" si="33"/>
        <v>10</v>
      </c>
      <c r="BE51" s="261">
        <f t="shared" si="36"/>
        <v>0</v>
      </c>
      <c r="BF51" s="260">
        <f t="shared" si="34"/>
        <v>0</v>
      </c>
      <c r="BG51" s="325"/>
    </row>
    <row r="52" spans="2:59" ht="12.5" customHeight="1">
      <c r="B52" s="321"/>
      <c r="C52" s="15"/>
      <c r="D52" s="15"/>
      <c r="E52" s="15"/>
      <c r="F52" s="166"/>
      <c r="G52" s="177"/>
      <c r="H52" s="177"/>
      <c r="I52" s="20"/>
      <c r="J52" s="21"/>
      <c r="K52" s="126"/>
      <c r="L52" s="167"/>
      <c r="M52" s="167"/>
      <c r="N52" s="167"/>
      <c r="O52" s="126"/>
      <c r="P52" s="126"/>
      <c r="Q52" s="126"/>
      <c r="R52" s="15"/>
      <c r="S52" s="126"/>
      <c r="T52" s="15"/>
      <c r="U52" s="24"/>
      <c r="V52" s="24"/>
      <c r="W52" s="24"/>
      <c r="X52" s="24"/>
      <c r="Y52" s="24"/>
      <c r="Z52" s="24"/>
      <c r="AA52" s="114"/>
      <c r="AB52" s="114"/>
      <c r="AC52" s="114"/>
      <c r="AD52" s="114"/>
      <c r="AE52" s="114"/>
      <c r="AF52" s="24"/>
      <c r="AG52" s="142"/>
      <c r="AH52" s="24"/>
      <c r="AI52" s="114"/>
      <c r="AJ52" s="114"/>
      <c r="AK52" s="114"/>
      <c r="AL52" s="114"/>
      <c r="AM52" s="114"/>
      <c r="AN52" s="114"/>
      <c r="AO52" s="114"/>
      <c r="AP52" s="188"/>
      <c r="AQ52" s="188"/>
      <c r="AR52" s="188"/>
      <c r="AS52" s="27"/>
      <c r="AT52" s="27"/>
      <c r="AU52" s="27"/>
      <c r="AV52" s="27"/>
      <c r="AW52" s="121"/>
      <c r="AX52" s="135"/>
      <c r="AY52" s="322">
        <f>SUM(AX52:AX64)</f>
        <v>0</v>
      </c>
      <c r="AZ52" s="130"/>
      <c r="BA52" s="6"/>
      <c r="BC52" s="260">
        <f t="shared" si="32"/>
        <v>1</v>
      </c>
      <c r="BD52" s="261">
        <f t="shared" si="33"/>
        <v>10</v>
      </c>
      <c r="BE52" s="261">
        <f t="shared" si="36"/>
        <v>0</v>
      </c>
      <c r="BF52" s="260">
        <f t="shared" si="34"/>
        <v>0</v>
      </c>
      <c r="BG52" s="325"/>
    </row>
    <row r="53" spans="2:59">
      <c r="B53" s="321"/>
      <c r="C53" s="15"/>
      <c r="D53" s="15"/>
      <c r="E53" s="15"/>
      <c r="F53" s="166"/>
      <c r="G53" s="177"/>
      <c r="H53" s="177"/>
      <c r="I53" s="20"/>
      <c r="J53" s="21"/>
      <c r="K53" s="126"/>
      <c r="L53" s="167"/>
      <c r="M53" s="167"/>
      <c r="N53" s="167"/>
      <c r="O53" s="126"/>
      <c r="P53" s="126"/>
      <c r="Q53" s="126"/>
      <c r="R53" s="15"/>
      <c r="S53" s="126"/>
      <c r="T53" s="15"/>
      <c r="U53" s="24"/>
      <c r="V53" s="24"/>
      <c r="W53" s="24"/>
      <c r="X53" s="24"/>
      <c r="Y53" s="24"/>
      <c r="Z53" s="24"/>
      <c r="AA53" s="114"/>
      <c r="AB53" s="114"/>
      <c r="AC53" s="114"/>
      <c r="AD53" s="114"/>
      <c r="AE53" s="114"/>
      <c r="AF53" s="24"/>
      <c r="AG53" s="142"/>
      <c r="AH53" s="24"/>
      <c r="AI53" s="114"/>
      <c r="AJ53" s="114"/>
      <c r="AK53" s="114"/>
      <c r="AL53" s="114"/>
      <c r="AM53" s="114"/>
      <c r="AN53" s="114"/>
      <c r="AO53" s="114"/>
      <c r="AP53" s="188"/>
      <c r="AQ53" s="188"/>
      <c r="AR53" s="188"/>
      <c r="AS53" s="27"/>
      <c r="AT53" s="27"/>
      <c r="AU53" s="27"/>
      <c r="AV53" s="27"/>
      <c r="AW53" s="121"/>
      <c r="AX53" s="135"/>
      <c r="AY53" s="323"/>
      <c r="AZ53" s="130"/>
      <c r="BA53" s="6"/>
      <c r="BC53" s="260">
        <f t="shared" si="32"/>
        <v>1</v>
      </c>
      <c r="BD53" s="261">
        <f t="shared" si="33"/>
        <v>10</v>
      </c>
      <c r="BE53" s="261">
        <f t="shared" si="36"/>
        <v>0</v>
      </c>
      <c r="BF53" s="260">
        <f t="shared" si="34"/>
        <v>0</v>
      </c>
      <c r="BG53" s="325"/>
    </row>
    <row r="54" spans="2:59">
      <c r="B54" s="321"/>
      <c r="C54" s="192"/>
      <c r="D54" s="123"/>
      <c r="E54" s="193"/>
      <c r="F54" s="185"/>
      <c r="G54" s="193"/>
      <c r="H54" s="193"/>
      <c r="I54" s="124"/>
      <c r="J54" s="125"/>
      <c r="K54" s="194"/>
      <c r="L54" s="192"/>
      <c r="M54" s="194"/>
      <c r="N54" s="194"/>
      <c r="O54" s="159"/>
      <c r="P54" s="159"/>
      <c r="Q54" s="159"/>
      <c r="R54" s="122"/>
      <c r="S54" s="159"/>
      <c r="T54" s="122"/>
      <c r="U54" s="189"/>
      <c r="V54" s="189"/>
      <c r="W54" s="189"/>
      <c r="X54" s="189"/>
      <c r="Y54" s="189"/>
      <c r="Z54" s="189"/>
      <c r="AA54" s="123"/>
      <c r="AB54" s="123"/>
      <c r="AC54" s="123"/>
      <c r="AD54" s="189"/>
      <c r="AE54" s="123"/>
      <c r="AF54" s="189"/>
      <c r="AG54" s="163"/>
      <c r="AH54" s="189"/>
      <c r="AI54" s="189"/>
      <c r="AJ54" s="189"/>
      <c r="AK54" s="189"/>
      <c r="AL54" s="189"/>
      <c r="AM54" s="123"/>
      <c r="AN54" s="189"/>
      <c r="AO54" s="189"/>
      <c r="AP54" s="188"/>
      <c r="AQ54" s="188"/>
      <c r="AR54" s="188"/>
      <c r="AS54" s="27"/>
      <c r="AT54" s="27"/>
      <c r="AU54" s="27"/>
      <c r="AV54" s="27"/>
      <c r="AW54" s="121"/>
      <c r="AX54" s="135"/>
      <c r="AY54" s="323"/>
      <c r="AZ54" s="130"/>
      <c r="BA54" s="6"/>
      <c r="BC54" s="260">
        <f t="shared" si="32"/>
        <v>1</v>
      </c>
      <c r="BD54" s="261">
        <f t="shared" si="33"/>
        <v>10</v>
      </c>
      <c r="BE54" s="261">
        <f>E54</f>
        <v>0</v>
      </c>
      <c r="BF54" s="260">
        <f t="shared" si="34"/>
        <v>0</v>
      </c>
      <c r="BG54" s="325">
        <f>SUM(BF54:BF73)</f>
        <v>0</v>
      </c>
    </row>
    <row r="55" spans="2:59">
      <c r="B55" s="321"/>
      <c r="C55" s="192"/>
      <c r="D55" s="123"/>
      <c r="E55" s="193"/>
      <c r="F55" s="185"/>
      <c r="G55" s="193"/>
      <c r="H55" s="193"/>
      <c r="I55" s="124"/>
      <c r="J55" s="125"/>
      <c r="K55" s="194"/>
      <c r="L55" s="192"/>
      <c r="M55" s="194"/>
      <c r="N55" s="194"/>
      <c r="O55" s="159"/>
      <c r="P55" s="159"/>
      <c r="Q55" s="159"/>
      <c r="R55" s="122"/>
      <c r="S55" s="159"/>
      <c r="T55" s="122"/>
      <c r="U55" s="189"/>
      <c r="V55" s="189"/>
      <c r="W55" s="189"/>
      <c r="X55" s="189"/>
      <c r="Y55" s="189"/>
      <c r="Z55" s="189"/>
      <c r="AA55" s="123"/>
      <c r="AB55" s="123"/>
      <c r="AC55" s="123"/>
      <c r="AD55" s="189"/>
      <c r="AE55" s="123"/>
      <c r="AF55" s="189"/>
      <c r="AG55" s="163"/>
      <c r="AH55" s="189"/>
      <c r="AI55" s="189"/>
      <c r="AJ55" s="189"/>
      <c r="AK55" s="189"/>
      <c r="AL55" s="189"/>
      <c r="AM55" s="123"/>
      <c r="AN55" s="189"/>
      <c r="AO55" s="189"/>
      <c r="AP55" s="188"/>
      <c r="AQ55" s="188"/>
      <c r="AR55" s="188"/>
      <c r="AS55" s="27"/>
      <c r="AT55" s="27"/>
      <c r="AU55" s="27"/>
      <c r="AV55" s="27"/>
      <c r="AW55" s="121"/>
      <c r="AX55" s="135"/>
      <c r="AY55" s="323"/>
      <c r="AZ55" s="130"/>
      <c r="BA55" s="6"/>
      <c r="BC55" s="260">
        <f t="shared" si="32"/>
        <v>1</v>
      </c>
      <c r="BD55" s="261">
        <f t="shared" si="33"/>
        <v>10</v>
      </c>
      <c r="BE55" s="261">
        <f>E55-E54</f>
        <v>0</v>
      </c>
      <c r="BF55" s="260">
        <f t="shared" si="34"/>
        <v>0</v>
      </c>
      <c r="BG55" s="325"/>
    </row>
    <row r="56" spans="2:59" ht="12.75" customHeight="1">
      <c r="B56" s="321"/>
      <c r="C56" s="192"/>
      <c r="D56" s="123"/>
      <c r="E56" s="193"/>
      <c r="F56" s="185"/>
      <c r="G56" s="193"/>
      <c r="H56" s="193"/>
      <c r="I56" s="124"/>
      <c r="J56" s="125"/>
      <c r="K56" s="194"/>
      <c r="L56" s="192"/>
      <c r="M56" s="194"/>
      <c r="N56" s="194"/>
      <c r="O56" s="159"/>
      <c r="P56" s="159"/>
      <c r="Q56" s="159"/>
      <c r="R56" s="122"/>
      <c r="S56" s="159"/>
      <c r="T56" s="122"/>
      <c r="U56" s="189"/>
      <c r="V56" s="189"/>
      <c r="W56" s="189"/>
      <c r="X56" s="189"/>
      <c r="Y56" s="189"/>
      <c r="Z56" s="189"/>
      <c r="AA56" s="123"/>
      <c r="AB56" s="123"/>
      <c r="AC56" s="123"/>
      <c r="AD56" s="189"/>
      <c r="AE56" s="123"/>
      <c r="AF56" s="189"/>
      <c r="AG56" s="163"/>
      <c r="AH56" s="189"/>
      <c r="AI56" s="189"/>
      <c r="AJ56" s="189"/>
      <c r="AK56" s="189"/>
      <c r="AL56" s="189"/>
      <c r="AM56" s="123"/>
      <c r="AN56" s="189"/>
      <c r="AO56" s="189"/>
      <c r="AP56" s="188"/>
      <c r="AQ56" s="188"/>
      <c r="AR56" s="188"/>
      <c r="AS56" s="27"/>
      <c r="AT56" s="27"/>
      <c r="AU56" s="27"/>
      <c r="AV56" s="27"/>
      <c r="AW56" s="121"/>
      <c r="AX56" s="135"/>
      <c r="AY56" s="323"/>
      <c r="AZ56" s="130"/>
      <c r="BA56" s="6"/>
      <c r="BC56" s="260">
        <f t="shared" si="32"/>
        <v>1</v>
      </c>
      <c r="BD56" s="261">
        <f t="shared" si="33"/>
        <v>10</v>
      </c>
      <c r="BE56" s="261">
        <f t="shared" ref="BE56:BE115" si="37">E56-E55</f>
        <v>0</v>
      </c>
      <c r="BF56" s="260">
        <f t="shared" si="34"/>
        <v>0</v>
      </c>
      <c r="BG56" s="325"/>
    </row>
    <row r="57" spans="2:59">
      <c r="B57" s="321"/>
      <c r="C57" s="192"/>
      <c r="D57" s="123"/>
      <c r="E57" s="193"/>
      <c r="F57" s="185"/>
      <c r="G57" s="193"/>
      <c r="H57" s="193"/>
      <c r="I57" s="124"/>
      <c r="J57" s="125"/>
      <c r="K57" s="194"/>
      <c r="L57" s="192"/>
      <c r="M57" s="194"/>
      <c r="N57" s="194"/>
      <c r="O57" s="159"/>
      <c r="P57" s="159"/>
      <c r="Q57" s="159"/>
      <c r="R57" s="122"/>
      <c r="S57" s="159"/>
      <c r="T57" s="122"/>
      <c r="U57" s="189"/>
      <c r="V57" s="189"/>
      <c r="W57" s="189"/>
      <c r="X57" s="189"/>
      <c r="Y57" s="189"/>
      <c r="Z57" s="189"/>
      <c r="AA57" s="123"/>
      <c r="AB57" s="123"/>
      <c r="AC57" s="123"/>
      <c r="AD57" s="189"/>
      <c r="AE57" s="123"/>
      <c r="AF57" s="189"/>
      <c r="AG57" s="163"/>
      <c r="AH57" s="189"/>
      <c r="AI57" s="189"/>
      <c r="AJ57" s="189"/>
      <c r="AK57" s="189"/>
      <c r="AL57" s="189"/>
      <c r="AM57" s="123"/>
      <c r="AN57" s="189"/>
      <c r="AO57" s="189"/>
      <c r="AP57" s="188"/>
      <c r="AQ57" s="188"/>
      <c r="AR57" s="188"/>
      <c r="AS57" s="27"/>
      <c r="AT57" s="27"/>
      <c r="AU57" s="27"/>
      <c r="AV57" s="27"/>
      <c r="AW57" s="121"/>
      <c r="AX57" s="135"/>
      <c r="AY57" s="323"/>
      <c r="AZ57" s="130"/>
      <c r="BA57" s="6"/>
      <c r="BC57" s="260">
        <f t="shared" si="32"/>
        <v>1</v>
      </c>
      <c r="BD57" s="261">
        <f t="shared" si="33"/>
        <v>10</v>
      </c>
      <c r="BE57" s="261">
        <f t="shared" si="37"/>
        <v>0</v>
      </c>
      <c r="BF57" s="260">
        <f t="shared" si="34"/>
        <v>0</v>
      </c>
      <c r="BG57" s="325"/>
    </row>
    <row r="58" spans="2:59">
      <c r="B58" s="321"/>
      <c r="C58" s="192"/>
      <c r="D58" s="123"/>
      <c r="E58" s="193"/>
      <c r="F58" s="185"/>
      <c r="G58" s="193"/>
      <c r="H58" s="193"/>
      <c r="I58" s="124"/>
      <c r="J58" s="125"/>
      <c r="K58" s="194"/>
      <c r="L58" s="192"/>
      <c r="M58" s="194"/>
      <c r="N58" s="194"/>
      <c r="O58" s="159"/>
      <c r="P58" s="159"/>
      <c r="Q58" s="159"/>
      <c r="R58" s="122"/>
      <c r="S58" s="159"/>
      <c r="T58" s="122"/>
      <c r="U58" s="189"/>
      <c r="V58" s="189"/>
      <c r="W58" s="189"/>
      <c r="X58" s="189"/>
      <c r="Y58" s="189"/>
      <c r="Z58" s="189"/>
      <c r="AA58" s="123"/>
      <c r="AB58" s="123"/>
      <c r="AC58" s="123"/>
      <c r="AD58" s="189"/>
      <c r="AE58" s="123"/>
      <c r="AF58" s="189"/>
      <c r="AG58" s="163"/>
      <c r="AH58" s="189"/>
      <c r="AI58" s="189"/>
      <c r="AJ58" s="189"/>
      <c r="AK58" s="189"/>
      <c r="AL58" s="189"/>
      <c r="AM58" s="123"/>
      <c r="AN58" s="189"/>
      <c r="AO58" s="189"/>
      <c r="AP58" s="188"/>
      <c r="AQ58" s="188"/>
      <c r="AR58" s="188"/>
      <c r="AS58" s="27"/>
      <c r="AT58" s="27"/>
      <c r="AU58" s="27"/>
      <c r="AV58" s="27"/>
      <c r="AW58" s="121"/>
      <c r="AX58" s="135"/>
      <c r="AY58" s="323"/>
      <c r="AZ58" s="130"/>
      <c r="BA58" s="6"/>
      <c r="BC58" s="260">
        <f t="shared" si="32"/>
        <v>1</v>
      </c>
      <c r="BD58" s="261">
        <f t="shared" si="33"/>
        <v>10</v>
      </c>
      <c r="BE58" s="261">
        <f t="shared" si="37"/>
        <v>0</v>
      </c>
      <c r="BF58" s="260">
        <f t="shared" si="34"/>
        <v>0</v>
      </c>
      <c r="BG58" s="325"/>
    </row>
    <row r="59" spans="2:59">
      <c r="B59" s="321"/>
      <c r="C59" s="192"/>
      <c r="D59" s="123"/>
      <c r="E59" s="193"/>
      <c r="F59" s="185"/>
      <c r="G59" s="193"/>
      <c r="H59" s="193"/>
      <c r="I59" s="124"/>
      <c r="J59" s="125"/>
      <c r="K59" s="194"/>
      <c r="L59" s="192"/>
      <c r="M59" s="194"/>
      <c r="N59" s="194"/>
      <c r="O59" s="159"/>
      <c r="P59" s="159"/>
      <c r="Q59" s="159"/>
      <c r="R59" s="122"/>
      <c r="S59" s="159"/>
      <c r="T59" s="122"/>
      <c r="U59" s="189"/>
      <c r="V59" s="189"/>
      <c r="W59" s="189"/>
      <c r="X59" s="189"/>
      <c r="Y59" s="189"/>
      <c r="Z59" s="189"/>
      <c r="AA59" s="123"/>
      <c r="AB59" s="123"/>
      <c r="AC59" s="123"/>
      <c r="AD59" s="189"/>
      <c r="AE59" s="123"/>
      <c r="AF59" s="189"/>
      <c r="AG59" s="163"/>
      <c r="AH59" s="189"/>
      <c r="AI59" s="189"/>
      <c r="AJ59" s="189"/>
      <c r="AK59" s="189"/>
      <c r="AL59" s="189"/>
      <c r="AM59" s="123"/>
      <c r="AN59" s="189"/>
      <c r="AO59" s="189"/>
      <c r="AP59" s="188"/>
      <c r="AQ59" s="188"/>
      <c r="AR59" s="188"/>
      <c r="AS59" s="27"/>
      <c r="AT59" s="27"/>
      <c r="AU59" s="27"/>
      <c r="AV59" s="27"/>
      <c r="AW59" s="121"/>
      <c r="AX59" s="135"/>
      <c r="AY59" s="323"/>
      <c r="AZ59" s="130"/>
      <c r="BA59" s="6"/>
      <c r="BC59" s="260">
        <f t="shared" si="32"/>
        <v>1</v>
      </c>
      <c r="BD59" s="261">
        <f t="shared" si="33"/>
        <v>10</v>
      </c>
      <c r="BE59" s="261">
        <f t="shared" si="37"/>
        <v>0</v>
      </c>
      <c r="BF59" s="260">
        <f t="shared" si="34"/>
        <v>0</v>
      </c>
      <c r="BG59" s="325"/>
    </row>
    <row r="60" spans="2:59" ht="12.75" customHeight="1">
      <c r="B60" s="321"/>
      <c r="C60" s="192"/>
      <c r="D60" s="123"/>
      <c r="E60" s="193"/>
      <c r="F60" s="185"/>
      <c r="G60" s="193"/>
      <c r="H60" s="193"/>
      <c r="I60" s="124"/>
      <c r="J60" s="125"/>
      <c r="K60" s="194"/>
      <c r="L60" s="192"/>
      <c r="M60" s="194"/>
      <c r="N60" s="194"/>
      <c r="O60" s="159"/>
      <c r="P60" s="159"/>
      <c r="Q60" s="159"/>
      <c r="R60" s="122"/>
      <c r="S60" s="159"/>
      <c r="T60" s="122"/>
      <c r="U60" s="189"/>
      <c r="V60" s="189"/>
      <c r="W60" s="189"/>
      <c r="X60" s="189"/>
      <c r="Y60" s="189"/>
      <c r="Z60" s="189"/>
      <c r="AA60" s="123"/>
      <c r="AB60" s="123"/>
      <c r="AC60" s="123"/>
      <c r="AD60" s="189"/>
      <c r="AE60" s="123"/>
      <c r="AF60" s="189"/>
      <c r="AG60" s="163"/>
      <c r="AH60" s="189"/>
      <c r="AI60" s="189"/>
      <c r="AJ60" s="189"/>
      <c r="AK60" s="189"/>
      <c r="AL60" s="189"/>
      <c r="AM60" s="123"/>
      <c r="AN60" s="189"/>
      <c r="AO60" s="189"/>
      <c r="AP60" s="188"/>
      <c r="AQ60" s="188"/>
      <c r="AR60" s="188"/>
      <c r="AS60" s="27"/>
      <c r="AT60" s="27"/>
      <c r="AU60" s="27"/>
      <c r="AV60" s="27"/>
      <c r="AW60" s="121"/>
      <c r="AX60" s="135"/>
      <c r="AY60" s="323"/>
      <c r="AZ60" s="130"/>
      <c r="BA60" s="6"/>
      <c r="BC60" s="260">
        <f t="shared" si="32"/>
        <v>1</v>
      </c>
      <c r="BD60" s="261">
        <f t="shared" si="33"/>
        <v>10</v>
      </c>
      <c r="BE60" s="261">
        <f t="shared" si="37"/>
        <v>0</v>
      </c>
      <c r="BF60" s="260">
        <f t="shared" si="34"/>
        <v>0</v>
      </c>
      <c r="BG60" s="325"/>
    </row>
    <row r="61" spans="2:59">
      <c r="B61" s="321"/>
      <c r="C61" s="192"/>
      <c r="D61" s="123"/>
      <c r="E61" s="193"/>
      <c r="F61" s="185"/>
      <c r="G61" s="193"/>
      <c r="H61" s="193"/>
      <c r="I61" s="124"/>
      <c r="J61" s="125"/>
      <c r="K61" s="194"/>
      <c r="L61" s="192"/>
      <c r="M61" s="194"/>
      <c r="N61" s="194"/>
      <c r="O61" s="159"/>
      <c r="P61" s="159"/>
      <c r="Q61" s="159"/>
      <c r="R61" s="122"/>
      <c r="S61" s="159"/>
      <c r="T61" s="122"/>
      <c r="U61" s="189"/>
      <c r="V61" s="189"/>
      <c r="W61" s="189"/>
      <c r="X61" s="189"/>
      <c r="Y61" s="189"/>
      <c r="Z61" s="189"/>
      <c r="AA61" s="123"/>
      <c r="AB61" s="123"/>
      <c r="AC61" s="123"/>
      <c r="AD61" s="189"/>
      <c r="AE61" s="123"/>
      <c r="AF61" s="189"/>
      <c r="AG61" s="163"/>
      <c r="AH61" s="189"/>
      <c r="AI61" s="189"/>
      <c r="AJ61" s="189"/>
      <c r="AK61" s="189"/>
      <c r="AL61" s="189"/>
      <c r="AM61" s="123"/>
      <c r="AN61" s="189"/>
      <c r="AO61" s="189"/>
      <c r="AP61" s="188"/>
      <c r="AQ61" s="188"/>
      <c r="AR61" s="188"/>
      <c r="AS61" s="27"/>
      <c r="AT61" s="27"/>
      <c r="AU61" s="27"/>
      <c r="AV61" s="27"/>
      <c r="AW61" s="121"/>
      <c r="AX61" s="135"/>
      <c r="AY61" s="323"/>
      <c r="AZ61" s="130"/>
      <c r="BA61" s="6"/>
      <c r="BC61" s="260">
        <f t="shared" si="32"/>
        <v>1</v>
      </c>
      <c r="BD61" s="261">
        <f t="shared" si="33"/>
        <v>10</v>
      </c>
      <c r="BE61" s="261">
        <f t="shared" si="37"/>
        <v>0</v>
      </c>
      <c r="BF61" s="260">
        <f t="shared" si="34"/>
        <v>0</v>
      </c>
      <c r="BG61" s="325"/>
    </row>
    <row r="62" spans="2:59" ht="12.75" customHeight="1">
      <c r="B62" s="321"/>
      <c r="C62" s="192"/>
      <c r="D62" s="123"/>
      <c r="E62" s="193"/>
      <c r="F62" s="185"/>
      <c r="G62" s="193"/>
      <c r="H62" s="193"/>
      <c r="I62" s="124"/>
      <c r="J62" s="125"/>
      <c r="K62" s="194"/>
      <c r="L62" s="192"/>
      <c r="M62" s="194"/>
      <c r="N62" s="194"/>
      <c r="O62" s="159"/>
      <c r="P62" s="159"/>
      <c r="Q62" s="159"/>
      <c r="R62" s="122"/>
      <c r="S62" s="159"/>
      <c r="T62" s="122"/>
      <c r="U62" s="189"/>
      <c r="V62" s="189"/>
      <c r="W62" s="189"/>
      <c r="X62" s="189"/>
      <c r="Y62" s="189"/>
      <c r="Z62" s="189"/>
      <c r="AA62" s="123"/>
      <c r="AB62" s="123"/>
      <c r="AC62" s="123"/>
      <c r="AD62" s="189"/>
      <c r="AE62" s="123"/>
      <c r="AF62" s="189"/>
      <c r="AG62" s="163"/>
      <c r="AH62" s="189"/>
      <c r="AI62" s="189"/>
      <c r="AJ62" s="189"/>
      <c r="AK62" s="189"/>
      <c r="AL62" s="189"/>
      <c r="AM62" s="123"/>
      <c r="AN62" s="189"/>
      <c r="AO62" s="189"/>
      <c r="AP62" s="188"/>
      <c r="AQ62" s="188"/>
      <c r="AR62" s="188"/>
      <c r="AS62" s="27"/>
      <c r="AT62" s="27"/>
      <c r="AU62" s="27"/>
      <c r="AV62" s="27"/>
      <c r="AW62" s="121"/>
      <c r="AX62" s="135"/>
      <c r="AY62" s="323"/>
      <c r="AZ62" s="130"/>
      <c r="BA62" s="6"/>
      <c r="BC62" s="260">
        <f t="shared" si="32"/>
        <v>1</v>
      </c>
      <c r="BD62" s="261">
        <f t="shared" si="33"/>
        <v>10</v>
      </c>
      <c r="BE62" s="261">
        <f t="shared" si="37"/>
        <v>0</v>
      </c>
      <c r="BF62" s="260">
        <f t="shared" si="34"/>
        <v>0</v>
      </c>
      <c r="BG62" s="325"/>
    </row>
    <row r="63" spans="2:59">
      <c r="B63" s="321"/>
      <c r="C63" s="192"/>
      <c r="D63" s="123"/>
      <c r="E63" s="193"/>
      <c r="F63" s="185"/>
      <c r="G63" s="193"/>
      <c r="H63" s="193"/>
      <c r="I63" s="124"/>
      <c r="J63" s="125"/>
      <c r="K63" s="194"/>
      <c r="L63" s="192"/>
      <c r="M63" s="194"/>
      <c r="N63" s="194"/>
      <c r="O63" s="159"/>
      <c r="P63" s="159"/>
      <c r="Q63" s="159"/>
      <c r="R63" s="122"/>
      <c r="S63" s="159"/>
      <c r="T63" s="122"/>
      <c r="U63" s="189"/>
      <c r="V63" s="189"/>
      <c r="W63" s="189"/>
      <c r="X63" s="189"/>
      <c r="Y63" s="189"/>
      <c r="Z63" s="189"/>
      <c r="AA63" s="123"/>
      <c r="AB63" s="123"/>
      <c r="AC63" s="123"/>
      <c r="AD63" s="189"/>
      <c r="AE63" s="123"/>
      <c r="AF63" s="189"/>
      <c r="AG63" s="163"/>
      <c r="AH63" s="189"/>
      <c r="AI63" s="189"/>
      <c r="AJ63" s="189"/>
      <c r="AK63" s="189"/>
      <c r="AL63" s="189"/>
      <c r="AM63" s="123"/>
      <c r="AN63" s="189"/>
      <c r="AO63" s="189"/>
      <c r="AP63" s="188"/>
      <c r="AQ63" s="188"/>
      <c r="AR63" s="188"/>
      <c r="AS63" s="27"/>
      <c r="AT63" s="27"/>
      <c r="AU63" s="27"/>
      <c r="AV63" s="27"/>
      <c r="AW63" s="121"/>
      <c r="AX63" s="135"/>
      <c r="AY63" s="323"/>
      <c r="AZ63" s="130"/>
      <c r="BA63" s="6"/>
      <c r="BC63" s="260">
        <f t="shared" si="32"/>
        <v>1</v>
      </c>
      <c r="BD63" s="261">
        <f t="shared" si="33"/>
        <v>10</v>
      </c>
      <c r="BE63" s="261">
        <f t="shared" si="37"/>
        <v>0</v>
      </c>
      <c r="BF63" s="260">
        <f t="shared" si="34"/>
        <v>0</v>
      </c>
      <c r="BG63" s="325"/>
    </row>
    <row r="64" spans="2:59">
      <c r="B64" s="321"/>
      <c r="C64" s="192"/>
      <c r="D64" s="123"/>
      <c r="E64" s="193"/>
      <c r="F64" s="185"/>
      <c r="G64" s="193"/>
      <c r="H64" s="193"/>
      <c r="I64" s="124"/>
      <c r="J64" s="125"/>
      <c r="K64" s="194"/>
      <c r="L64" s="192"/>
      <c r="M64" s="194"/>
      <c r="N64" s="194"/>
      <c r="O64" s="159"/>
      <c r="P64" s="159"/>
      <c r="Q64" s="159"/>
      <c r="R64" s="122"/>
      <c r="S64" s="159"/>
      <c r="T64" s="122"/>
      <c r="U64" s="189"/>
      <c r="V64" s="189"/>
      <c r="W64" s="189"/>
      <c r="X64" s="189"/>
      <c r="Y64" s="189"/>
      <c r="Z64" s="189"/>
      <c r="AA64" s="123"/>
      <c r="AB64" s="123"/>
      <c r="AC64" s="123"/>
      <c r="AD64" s="189"/>
      <c r="AE64" s="123"/>
      <c r="AF64" s="189"/>
      <c r="AG64" s="163"/>
      <c r="AH64" s="189"/>
      <c r="AI64" s="189"/>
      <c r="AJ64" s="189"/>
      <c r="AK64" s="189"/>
      <c r="AL64" s="189"/>
      <c r="AM64" s="123"/>
      <c r="AN64" s="189"/>
      <c r="AO64" s="189"/>
      <c r="AP64" s="188"/>
      <c r="AQ64" s="188"/>
      <c r="AR64" s="188"/>
      <c r="AS64" s="27"/>
      <c r="AT64" s="27"/>
      <c r="AU64" s="27"/>
      <c r="AV64" s="27"/>
      <c r="AW64" s="121"/>
      <c r="AX64" s="135"/>
      <c r="AY64" s="324"/>
      <c r="AZ64" s="130"/>
      <c r="BA64" s="6"/>
      <c r="BC64" s="260">
        <f t="shared" si="32"/>
        <v>1</v>
      </c>
      <c r="BD64" s="261">
        <f t="shared" si="33"/>
        <v>10</v>
      </c>
      <c r="BE64" s="261">
        <f t="shared" si="37"/>
        <v>0</v>
      </c>
      <c r="BF64" s="260">
        <f t="shared" si="34"/>
        <v>0</v>
      </c>
      <c r="BG64" s="325"/>
    </row>
    <row r="65" spans="2:59" ht="12.5" customHeight="1">
      <c r="B65" s="321"/>
      <c r="C65" s="192"/>
      <c r="D65" s="123"/>
      <c r="E65" s="193"/>
      <c r="F65" s="185"/>
      <c r="G65" s="193"/>
      <c r="H65" s="193"/>
      <c r="I65" s="124"/>
      <c r="J65" s="125"/>
      <c r="K65" s="194"/>
      <c r="L65" s="192"/>
      <c r="M65" s="194"/>
      <c r="N65" s="194"/>
      <c r="O65" s="159"/>
      <c r="P65" s="159"/>
      <c r="Q65" s="159"/>
      <c r="R65" s="122"/>
      <c r="S65" s="159"/>
      <c r="T65" s="122"/>
      <c r="U65" s="189"/>
      <c r="V65" s="189"/>
      <c r="W65" s="189"/>
      <c r="X65" s="189"/>
      <c r="Y65" s="189"/>
      <c r="Z65" s="189"/>
      <c r="AA65" s="123"/>
      <c r="AB65" s="123"/>
      <c r="AC65" s="123"/>
      <c r="AD65" s="189"/>
      <c r="AE65" s="123"/>
      <c r="AF65" s="189"/>
      <c r="AG65" s="163"/>
      <c r="AH65" s="189"/>
      <c r="AI65" s="189"/>
      <c r="AJ65" s="189"/>
      <c r="AK65" s="189"/>
      <c r="AL65" s="189"/>
      <c r="AM65" s="123"/>
      <c r="AN65" s="189"/>
      <c r="AO65" s="189"/>
      <c r="AP65" s="188"/>
      <c r="AQ65" s="188"/>
      <c r="AR65" s="188"/>
      <c r="AS65" s="27"/>
      <c r="AT65" s="27"/>
      <c r="AU65" s="27"/>
      <c r="AV65" s="27"/>
      <c r="AW65" s="121"/>
      <c r="AX65" s="135"/>
      <c r="AY65" s="322">
        <f>SUM(AX65:AX73)</f>
        <v>0</v>
      </c>
      <c r="AZ65" s="130"/>
      <c r="BC65" s="260">
        <f t="shared" si="32"/>
        <v>1</v>
      </c>
      <c r="BD65" s="261">
        <f t="shared" si="33"/>
        <v>10</v>
      </c>
      <c r="BE65" s="261">
        <f t="shared" si="37"/>
        <v>0</v>
      </c>
      <c r="BF65" s="260">
        <f t="shared" si="34"/>
        <v>0</v>
      </c>
      <c r="BG65" s="325"/>
    </row>
    <row r="66" spans="2:59" ht="13.25" customHeight="1">
      <c r="B66" s="321"/>
      <c r="C66" s="192"/>
      <c r="D66" s="123"/>
      <c r="E66" s="193"/>
      <c r="F66" s="185"/>
      <c r="G66" s="193"/>
      <c r="H66" s="193"/>
      <c r="I66" s="124"/>
      <c r="J66" s="125"/>
      <c r="K66" s="194"/>
      <c r="L66" s="192"/>
      <c r="M66" s="194"/>
      <c r="N66" s="194"/>
      <c r="O66" s="159"/>
      <c r="P66" s="159"/>
      <c r="Q66" s="159"/>
      <c r="R66" s="122"/>
      <c r="S66" s="159"/>
      <c r="T66" s="122"/>
      <c r="U66" s="189"/>
      <c r="V66" s="189"/>
      <c r="W66" s="189"/>
      <c r="X66" s="189"/>
      <c r="Y66" s="189"/>
      <c r="Z66" s="189"/>
      <c r="AA66" s="123"/>
      <c r="AB66" s="123"/>
      <c r="AC66" s="123"/>
      <c r="AD66" s="189"/>
      <c r="AE66" s="123"/>
      <c r="AF66" s="189"/>
      <c r="AG66" s="163"/>
      <c r="AH66" s="189"/>
      <c r="AI66" s="189"/>
      <c r="AJ66" s="189"/>
      <c r="AK66" s="189"/>
      <c r="AL66" s="189"/>
      <c r="AM66" s="123"/>
      <c r="AN66" s="189"/>
      <c r="AO66" s="189"/>
      <c r="AP66" s="188"/>
      <c r="AQ66" s="188"/>
      <c r="AR66" s="188"/>
      <c r="AS66" s="27"/>
      <c r="AT66" s="27"/>
      <c r="AU66" s="27"/>
      <c r="AV66" s="27"/>
      <c r="AW66" s="121"/>
      <c r="AX66" s="135"/>
      <c r="AY66" s="323"/>
      <c r="AZ66" s="130"/>
      <c r="BC66" s="260">
        <f t="shared" si="32"/>
        <v>1</v>
      </c>
      <c r="BD66" s="261">
        <f t="shared" si="33"/>
        <v>10</v>
      </c>
      <c r="BE66" s="261">
        <f t="shared" si="37"/>
        <v>0</v>
      </c>
      <c r="BF66" s="260">
        <f t="shared" si="34"/>
        <v>0</v>
      </c>
      <c r="BG66" s="325"/>
    </row>
    <row r="67" spans="2:59">
      <c r="B67" s="321"/>
      <c r="C67" s="192"/>
      <c r="D67" s="123"/>
      <c r="E67" s="193"/>
      <c r="F67" s="185"/>
      <c r="G67" s="193"/>
      <c r="H67" s="193"/>
      <c r="I67" s="124"/>
      <c r="J67" s="125"/>
      <c r="K67" s="194"/>
      <c r="L67" s="192"/>
      <c r="M67" s="194"/>
      <c r="N67" s="194"/>
      <c r="O67" s="159"/>
      <c r="P67" s="159"/>
      <c r="Q67" s="159"/>
      <c r="R67" s="122"/>
      <c r="S67" s="159"/>
      <c r="T67" s="122"/>
      <c r="U67" s="189"/>
      <c r="V67" s="189"/>
      <c r="W67" s="189"/>
      <c r="X67" s="189"/>
      <c r="Y67" s="189"/>
      <c r="Z67" s="189"/>
      <c r="AA67" s="123"/>
      <c r="AB67" s="123"/>
      <c r="AC67" s="123"/>
      <c r="AD67" s="189"/>
      <c r="AE67" s="123"/>
      <c r="AF67" s="189"/>
      <c r="AG67" s="163"/>
      <c r="AH67" s="189"/>
      <c r="AI67" s="189"/>
      <c r="AJ67" s="189"/>
      <c r="AK67" s="189"/>
      <c r="AL67" s="189"/>
      <c r="AM67" s="123"/>
      <c r="AN67" s="189"/>
      <c r="AO67" s="189"/>
      <c r="AP67" s="188"/>
      <c r="AQ67" s="188"/>
      <c r="AR67" s="188"/>
      <c r="AS67" s="27"/>
      <c r="AT67" s="27"/>
      <c r="AU67" s="27"/>
      <c r="AV67" s="27"/>
      <c r="AW67" s="121"/>
      <c r="AX67" s="135"/>
      <c r="AY67" s="323"/>
      <c r="AZ67" s="130"/>
      <c r="BC67" s="260">
        <f t="shared" si="32"/>
        <v>1</v>
      </c>
      <c r="BD67" s="261">
        <f t="shared" si="33"/>
        <v>10</v>
      </c>
      <c r="BE67" s="261">
        <f t="shared" si="37"/>
        <v>0</v>
      </c>
      <c r="BF67" s="260">
        <f t="shared" si="34"/>
        <v>0</v>
      </c>
      <c r="BG67" s="325"/>
    </row>
    <row r="68" spans="2:59">
      <c r="B68" s="321"/>
      <c r="C68" s="192"/>
      <c r="D68" s="123"/>
      <c r="E68" s="191"/>
      <c r="F68" s="185"/>
      <c r="G68" s="193"/>
      <c r="H68" s="193"/>
      <c r="I68" s="124"/>
      <c r="J68" s="125"/>
      <c r="K68" s="194"/>
      <c r="L68" s="192"/>
      <c r="M68" s="194"/>
      <c r="N68" s="194"/>
      <c r="O68" s="159"/>
      <c r="P68" s="159"/>
      <c r="Q68" s="159"/>
      <c r="R68" s="122"/>
      <c r="S68" s="159"/>
      <c r="T68" s="122"/>
      <c r="U68" s="189"/>
      <c r="V68" s="189"/>
      <c r="W68" s="189"/>
      <c r="X68" s="189"/>
      <c r="Y68" s="189"/>
      <c r="Z68" s="189"/>
      <c r="AA68" s="123"/>
      <c r="AB68" s="123"/>
      <c r="AC68" s="123"/>
      <c r="AD68" s="189"/>
      <c r="AE68" s="123"/>
      <c r="AF68" s="189"/>
      <c r="AG68" s="163"/>
      <c r="AH68" s="189"/>
      <c r="AI68" s="189"/>
      <c r="AJ68" s="189"/>
      <c r="AK68" s="189"/>
      <c r="AL68" s="189"/>
      <c r="AM68" s="123"/>
      <c r="AN68" s="189"/>
      <c r="AO68" s="189"/>
      <c r="AP68" s="188"/>
      <c r="AQ68" s="188"/>
      <c r="AR68" s="188"/>
      <c r="AS68" s="27"/>
      <c r="AT68" s="27"/>
      <c r="AU68" s="27"/>
      <c r="AV68" s="27"/>
      <c r="AW68" s="121"/>
      <c r="AX68" s="135"/>
      <c r="AY68" s="323"/>
      <c r="AZ68" s="130"/>
      <c r="BC68" s="260">
        <f t="shared" si="32"/>
        <v>1</v>
      </c>
      <c r="BD68" s="261">
        <f t="shared" si="33"/>
        <v>10</v>
      </c>
      <c r="BE68" s="261">
        <f t="shared" si="37"/>
        <v>0</v>
      </c>
      <c r="BF68" s="260">
        <f t="shared" si="34"/>
        <v>0</v>
      </c>
      <c r="BG68" s="325"/>
    </row>
    <row r="69" spans="2:59">
      <c r="B69" s="321"/>
      <c r="C69" s="192"/>
      <c r="D69" s="123"/>
      <c r="E69" s="191"/>
      <c r="F69" s="185"/>
      <c r="G69" s="193"/>
      <c r="H69" s="193"/>
      <c r="I69" s="124"/>
      <c r="J69" s="125"/>
      <c r="K69" s="194"/>
      <c r="L69" s="192"/>
      <c r="M69" s="194"/>
      <c r="N69" s="194"/>
      <c r="O69" s="159"/>
      <c r="P69" s="159"/>
      <c r="Q69" s="159"/>
      <c r="R69" s="122"/>
      <c r="S69" s="159"/>
      <c r="T69" s="122"/>
      <c r="U69" s="189"/>
      <c r="V69" s="189"/>
      <c r="W69" s="189"/>
      <c r="X69" s="189"/>
      <c r="Y69" s="189"/>
      <c r="Z69" s="189"/>
      <c r="AA69" s="123"/>
      <c r="AB69" s="123"/>
      <c r="AC69" s="123"/>
      <c r="AD69" s="189"/>
      <c r="AE69" s="123"/>
      <c r="AF69" s="189"/>
      <c r="AG69" s="163"/>
      <c r="AH69" s="189"/>
      <c r="AI69" s="189"/>
      <c r="AJ69" s="189"/>
      <c r="AK69" s="189"/>
      <c r="AL69" s="189"/>
      <c r="AM69" s="123"/>
      <c r="AN69" s="189"/>
      <c r="AO69" s="189"/>
      <c r="AP69" s="188"/>
      <c r="AQ69" s="188"/>
      <c r="AR69" s="188"/>
      <c r="AS69" s="27"/>
      <c r="AT69" s="27"/>
      <c r="AU69" s="27"/>
      <c r="AV69" s="27"/>
      <c r="AW69" s="121"/>
      <c r="AX69" s="135"/>
      <c r="AY69" s="323"/>
      <c r="AZ69" s="130"/>
      <c r="BC69" s="260">
        <f t="shared" si="32"/>
        <v>1</v>
      </c>
      <c r="BD69" s="261">
        <f t="shared" si="33"/>
        <v>10</v>
      </c>
      <c r="BE69" s="261">
        <f t="shared" si="37"/>
        <v>0</v>
      </c>
      <c r="BF69" s="260">
        <f t="shared" si="34"/>
        <v>0</v>
      </c>
      <c r="BG69" s="325"/>
    </row>
    <row r="70" spans="2:59" ht="12.75" customHeight="1">
      <c r="B70" s="321"/>
      <c r="C70" s="192"/>
      <c r="D70" s="123"/>
      <c r="E70" s="191"/>
      <c r="F70" s="185"/>
      <c r="G70" s="193"/>
      <c r="H70" s="193"/>
      <c r="I70" s="124"/>
      <c r="J70" s="125"/>
      <c r="K70" s="194"/>
      <c r="L70" s="192"/>
      <c r="M70" s="194"/>
      <c r="N70" s="194"/>
      <c r="O70" s="159"/>
      <c r="P70" s="159"/>
      <c r="Q70" s="159"/>
      <c r="R70" s="122"/>
      <c r="S70" s="159"/>
      <c r="T70" s="122"/>
      <c r="U70" s="189"/>
      <c r="V70" s="189"/>
      <c r="W70" s="189"/>
      <c r="X70" s="189"/>
      <c r="Y70" s="189"/>
      <c r="Z70" s="189"/>
      <c r="AA70" s="123"/>
      <c r="AB70" s="123"/>
      <c r="AC70" s="123"/>
      <c r="AD70" s="189"/>
      <c r="AE70" s="123"/>
      <c r="AF70" s="189"/>
      <c r="AG70" s="163"/>
      <c r="AH70" s="189"/>
      <c r="AI70" s="189"/>
      <c r="AJ70" s="189"/>
      <c r="AK70" s="189"/>
      <c r="AL70" s="189"/>
      <c r="AM70" s="123"/>
      <c r="AN70" s="189"/>
      <c r="AO70" s="189"/>
      <c r="AP70" s="188"/>
      <c r="AQ70" s="188"/>
      <c r="AR70" s="188"/>
      <c r="AS70" s="27"/>
      <c r="AT70" s="27"/>
      <c r="AU70" s="27"/>
      <c r="AV70" s="27"/>
      <c r="AW70" s="121"/>
      <c r="AX70" s="135"/>
      <c r="AY70" s="323"/>
      <c r="AZ70" s="130"/>
      <c r="BC70" s="260">
        <f t="shared" si="32"/>
        <v>1</v>
      </c>
      <c r="BD70" s="261">
        <f t="shared" si="33"/>
        <v>10</v>
      </c>
      <c r="BE70" s="261">
        <f t="shared" si="37"/>
        <v>0</v>
      </c>
      <c r="BF70" s="260">
        <f t="shared" si="34"/>
        <v>0</v>
      </c>
      <c r="BG70" s="325"/>
    </row>
    <row r="71" spans="2:59">
      <c r="B71" s="321"/>
      <c r="C71" s="192"/>
      <c r="D71" s="123"/>
      <c r="E71" s="191"/>
      <c r="F71" s="185"/>
      <c r="G71" s="193"/>
      <c r="H71" s="193"/>
      <c r="I71" s="124"/>
      <c r="J71" s="125"/>
      <c r="K71" s="194"/>
      <c r="L71" s="192"/>
      <c r="M71" s="194"/>
      <c r="N71" s="194"/>
      <c r="O71" s="159"/>
      <c r="P71" s="159"/>
      <c r="Q71" s="159"/>
      <c r="R71" s="122"/>
      <c r="S71" s="159"/>
      <c r="T71" s="122"/>
      <c r="U71" s="189"/>
      <c r="V71" s="189"/>
      <c r="W71" s="189"/>
      <c r="X71" s="189"/>
      <c r="Y71" s="189"/>
      <c r="Z71" s="189"/>
      <c r="AA71" s="123"/>
      <c r="AB71" s="123"/>
      <c r="AC71" s="123"/>
      <c r="AD71" s="189"/>
      <c r="AE71" s="123"/>
      <c r="AF71" s="189"/>
      <c r="AG71" s="163"/>
      <c r="AH71" s="189"/>
      <c r="AI71" s="189"/>
      <c r="AJ71" s="189"/>
      <c r="AK71" s="189"/>
      <c r="AL71" s="189"/>
      <c r="AM71" s="123"/>
      <c r="AN71" s="189"/>
      <c r="AO71" s="189"/>
      <c r="AP71" s="188"/>
      <c r="AQ71" s="188"/>
      <c r="AR71" s="188"/>
      <c r="AS71" s="27"/>
      <c r="AT71" s="27"/>
      <c r="AU71" s="27"/>
      <c r="AV71" s="27"/>
      <c r="AW71" s="121"/>
      <c r="AX71" s="135"/>
      <c r="AY71" s="323"/>
      <c r="AZ71" s="130"/>
      <c r="BC71" s="260">
        <f t="shared" si="32"/>
        <v>1</v>
      </c>
      <c r="BD71" s="261">
        <f t="shared" si="33"/>
        <v>10</v>
      </c>
      <c r="BE71" s="261">
        <f t="shared" si="37"/>
        <v>0</v>
      </c>
      <c r="BF71" s="260">
        <f t="shared" si="34"/>
        <v>0</v>
      </c>
      <c r="BG71" s="325"/>
    </row>
    <row r="72" spans="2:59">
      <c r="B72" s="321"/>
      <c r="C72" s="192"/>
      <c r="D72" s="123"/>
      <c r="E72" s="191"/>
      <c r="F72" s="185"/>
      <c r="G72" s="193"/>
      <c r="H72" s="193"/>
      <c r="I72" s="124"/>
      <c r="J72" s="125"/>
      <c r="K72" s="194"/>
      <c r="L72" s="192"/>
      <c r="M72" s="194"/>
      <c r="N72" s="194"/>
      <c r="O72" s="159"/>
      <c r="P72" s="159"/>
      <c r="Q72" s="159"/>
      <c r="R72" s="122"/>
      <c r="S72" s="159"/>
      <c r="T72" s="122"/>
      <c r="U72" s="189"/>
      <c r="V72" s="189"/>
      <c r="W72" s="189"/>
      <c r="X72" s="189"/>
      <c r="Y72" s="189"/>
      <c r="Z72" s="189"/>
      <c r="AA72" s="123"/>
      <c r="AB72" s="123"/>
      <c r="AC72" s="123"/>
      <c r="AD72" s="189"/>
      <c r="AE72" s="123"/>
      <c r="AF72" s="189"/>
      <c r="AG72" s="163"/>
      <c r="AH72" s="189"/>
      <c r="AI72" s="189"/>
      <c r="AJ72" s="189"/>
      <c r="AK72" s="189"/>
      <c r="AL72" s="189"/>
      <c r="AM72" s="123"/>
      <c r="AN72" s="189"/>
      <c r="AO72" s="189"/>
      <c r="AP72" s="188"/>
      <c r="AQ72" s="188"/>
      <c r="AR72" s="188"/>
      <c r="AS72" s="27"/>
      <c r="AT72" s="27"/>
      <c r="AU72" s="27"/>
      <c r="AV72" s="27"/>
      <c r="AW72" s="121"/>
      <c r="AX72" s="135"/>
      <c r="AY72" s="323"/>
      <c r="AZ72" s="130"/>
      <c r="BC72" s="260">
        <f t="shared" si="32"/>
        <v>1</v>
      </c>
      <c r="BD72" s="261">
        <f t="shared" si="33"/>
        <v>10</v>
      </c>
      <c r="BE72" s="261">
        <f t="shared" si="37"/>
        <v>0</v>
      </c>
      <c r="BF72" s="260">
        <f t="shared" si="34"/>
        <v>0</v>
      </c>
      <c r="BG72" s="325"/>
    </row>
    <row r="73" spans="2:59" ht="13.25" customHeight="1">
      <c r="B73" s="321"/>
      <c r="C73" s="192"/>
      <c r="D73" s="123"/>
      <c r="E73" s="191"/>
      <c r="F73" s="185"/>
      <c r="G73" s="193"/>
      <c r="H73" s="193"/>
      <c r="I73" s="124"/>
      <c r="J73" s="125"/>
      <c r="K73" s="194"/>
      <c r="L73" s="192"/>
      <c r="M73" s="194"/>
      <c r="N73" s="194"/>
      <c r="O73" s="159"/>
      <c r="P73" s="159"/>
      <c r="Q73" s="159"/>
      <c r="R73" s="122"/>
      <c r="S73" s="159"/>
      <c r="T73" s="122"/>
      <c r="U73" s="189"/>
      <c r="V73" s="189"/>
      <c r="W73" s="189"/>
      <c r="X73" s="189"/>
      <c r="Y73" s="189"/>
      <c r="Z73" s="189"/>
      <c r="AA73" s="123"/>
      <c r="AB73" s="123"/>
      <c r="AC73" s="123"/>
      <c r="AD73" s="189"/>
      <c r="AE73" s="123"/>
      <c r="AF73" s="189"/>
      <c r="AG73" s="163"/>
      <c r="AH73" s="189"/>
      <c r="AI73" s="189"/>
      <c r="AJ73" s="189"/>
      <c r="AK73" s="189"/>
      <c r="AL73" s="189"/>
      <c r="AM73" s="123"/>
      <c r="AN73" s="189"/>
      <c r="AO73" s="189"/>
      <c r="AP73" s="188"/>
      <c r="AQ73" s="188"/>
      <c r="AR73" s="188"/>
      <c r="AS73" s="27"/>
      <c r="AT73" s="27"/>
      <c r="AU73" s="27"/>
      <c r="AV73" s="27"/>
      <c r="AW73" s="121"/>
      <c r="AX73" s="135"/>
      <c r="AY73" s="323"/>
      <c r="AZ73" s="130"/>
      <c r="BC73" s="260">
        <f t="shared" si="32"/>
        <v>1</v>
      </c>
      <c r="BD73" s="261">
        <f t="shared" si="33"/>
        <v>10</v>
      </c>
      <c r="BE73" s="261">
        <f t="shared" si="37"/>
        <v>0</v>
      </c>
      <c r="BF73" s="260">
        <f t="shared" si="34"/>
        <v>0</v>
      </c>
      <c r="BG73" s="325"/>
    </row>
    <row r="74" spans="2:59" ht="12.5" customHeight="1">
      <c r="B74" s="321"/>
      <c r="C74" s="15"/>
      <c r="D74" s="15"/>
      <c r="E74" s="15"/>
      <c r="F74" s="166"/>
      <c r="G74" s="177"/>
      <c r="H74" s="177"/>
      <c r="I74" s="20"/>
      <c r="J74" s="21"/>
      <c r="K74" s="167"/>
      <c r="L74" s="61"/>
      <c r="M74" s="167"/>
      <c r="N74" s="167"/>
      <c r="O74" s="126"/>
      <c r="P74" s="126"/>
      <c r="Q74" s="126"/>
      <c r="R74" s="15"/>
      <c r="S74" s="126"/>
      <c r="T74" s="15"/>
      <c r="U74" s="24"/>
      <c r="V74" s="24"/>
      <c r="W74" s="24"/>
      <c r="X74" s="24"/>
      <c r="Y74" s="24"/>
      <c r="Z74" s="24"/>
      <c r="AA74" s="114"/>
      <c r="AB74" s="114"/>
      <c r="AC74" s="114"/>
      <c r="AD74" s="114"/>
      <c r="AE74" s="114"/>
      <c r="AF74" s="24"/>
      <c r="AG74" s="142"/>
      <c r="AH74" s="24"/>
      <c r="AI74" s="114"/>
      <c r="AJ74" s="114"/>
      <c r="AK74" s="114"/>
      <c r="AL74" s="114"/>
      <c r="AM74" s="114"/>
      <c r="AN74" s="114"/>
      <c r="AO74" s="114"/>
      <c r="AP74" s="188"/>
      <c r="AQ74" s="188"/>
      <c r="AR74" s="188"/>
      <c r="AS74" s="27"/>
      <c r="AT74" s="27"/>
      <c r="AU74" s="27"/>
      <c r="AV74" s="27"/>
      <c r="AW74" s="121"/>
      <c r="AX74" s="135"/>
      <c r="AY74" s="322">
        <f>SUM(AX74:AX86)</f>
        <v>0</v>
      </c>
      <c r="AZ74" s="130"/>
      <c r="BA74" s="6"/>
      <c r="BC74" s="260">
        <f t="shared" si="32"/>
        <v>1</v>
      </c>
      <c r="BD74" s="261">
        <f t="shared" si="33"/>
        <v>10</v>
      </c>
      <c r="BE74" s="261">
        <f>E74</f>
        <v>0</v>
      </c>
      <c r="BF74" s="260">
        <f t="shared" si="34"/>
        <v>0</v>
      </c>
      <c r="BG74" s="325">
        <f>SUM(BF74:BF94)</f>
        <v>0</v>
      </c>
    </row>
    <row r="75" spans="2:59" ht="13.25" customHeight="1">
      <c r="B75" s="321"/>
      <c r="C75" s="15"/>
      <c r="D75" s="15"/>
      <c r="E75" s="15"/>
      <c r="F75" s="166"/>
      <c r="G75" s="177"/>
      <c r="H75" s="177"/>
      <c r="I75" s="20"/>
      <c r="J75" s="21"/>
      <c r="K75" s="167"/>
      <c r="L75" s="61"/>
      <c r="M75" s="167"/>
      <c r="N75" s="167"/>
      <c r="O75" s="126"/>
      <c r="P75" s="126"/>
      <c r="Q75" s="126"/>
      <c r="R75" s="15"/>
      <c r="S75" s="126"/>
      <c r="T75" s="15"/>
      <c r="U75" s="24"/>
      <c r="V75" s="24"/>
      <c r="W75" s="24"/>
      <c r="X75" s="24"/>
      <c r="Y75" s="24"/>
      <c r="Z75" s="24"/>
      <c r="AA75" s="114"/>
      <c r="AB75" s="114"/>
      <c r="AC75" s="114"/>
      <c r="AD75" s="114"/>
      <c r="AE75" s="114"/>
      <c r="AF75" s="24"/>
      <c r="AG75" s="142"/>
      <c r="AH75" s="24"/>
      <c r="AI75" s="114"/>
      <c r="AJ75" s="114"/>
      <c r="AK75" s="114"/>
      <c r="AL75" s="114"/>
      <c r="AM75" s="114"/>
      <c r="AN75" s="114"/>
      <c r="AO75" s="114"/>
      <c r="AP75" s="188"/>
      <c r="AQ75" s="188"/>
      <c r="AR75" s="188"/>
      <c r="AS75" s="27"/>
      <c r="AT75" s="27"/>
      <c r="AU75" s="27"/>
      <c r="AV75" s="27"/>
      <c r="AW75" s="121"/>
      <c r="AX75" s="135"/>
      <c r="AY75" s="323"/>
      <c r="AZ75" s="130"/>
      <c r="BA75" s="6"/>
      <c r="BC75" s="260">
        <f t="shared" si="32"/>
        <v>1</v>
      </c>
      <c r="BD75" s="261">
        <f t="shared" si="33"/>
        <v>10</v>
      </c>
      <c r="BE75" s="261">
        <f t="shared" si="37"/>
        <v>0</v>
      </c>
      <c r="BF75" s="260">
        <f t="shared" si="34"/>
        <v>0</v>
      </c>
      <c r="BG75" s="325"/>
    </row>
    <row r="76" spans="2:59">
      <c r="B76" s="321"/>
      <c r="C76" s="15"/>
      <c r="D76" s="15"/>
      <c r="E76" s="15"/>
      <c r="F76" s="166"/>
      <c r="G76" s="177"/>
      <c r="H76" s="177"/>
      <c r="I76" s="20"/>
      <c r="J76" s="21"/>
      <c r="K76" s="167"/>
      <c r="L76" s="61"/>
      <c r="M76" s="167"/>
      <c r="N76" s="167"/>
      <c r="O76" s="126"/>
      <c r="P76" s="126"/>
      <c r="Q76" s="126"/>
      <c r="R76" s="15"/>
      <c r="S76" s="126"/>
      <c r="T76" s="15"/>
      <c r="U76" s="24"/>
      <c r="V76" s="24"/>
      <c r="W76" s="24"/>
      <c r="X76" s="24"/>
      <c r="Y76" s="24"/>
      <c r="Z76" s="24"/>
      <c r="AA76" s="114"/>
      <c r="AB76" s="114"/>
      <c r="AC76" s="114"/>
      <c r="AD76" s="114"/>
      <c r="AE76" s="114"/>
      <c r="AF76" s="24"/>
      <c r="AG76" s="142"/>
      <c r="AH76" s="24"/>
      <c r="AI76" s="114"/>
      <c r="AJ76" s="114"/>
      <c r="AK76" s="114"/>
      <c r="AL76" s="114"/>
      <c r="AM76" s="114"/>
      <c r="AN76" s="114"/>
      <c r="AO76" s="114"/>
      <c r="AP76" s="188"/>
      <c r="AQ76" s="188"/>
      <c r="AR76" s="188"/>
      <c r="AS76" s="27"/>
      <c r="AT76" s="27"/>
      <c r="AU76" s="27"/>
      <c r="AV76" s="27"/>
      <c r="AW76" s="121"/>
      <c r="AX76" s="135"/>
      <c r="AY76" s="323"/>
      <c r="AZ76" s="130"/>
      <c r="BA76" s="6"/>
      <c r="BC76" s="260">
        <f t="shared" si="32"/>
        <v>1</v>
      </c>
      <c r="BD76" s="261">
        <f t="shared" si="33"/>
        <v>10</v>
      </c>
      <c r="BE76" s="261">
        <f t="shared" si="37"/>
        <v>0</v>
      </c>
      <c r="BF76" s="260">
        <f t="shared" si="34"/>
        <v>0</v>
      </c>
      <c r="BG76" s="325"/>
    </row>
    <row r="77" spans="2:59">
      <c r="B77" s="321"/>
      <c r="C77" s="15"/>
      <c r="D77" s="15"/>
      <c r="E77" s="15"/>
      <c r="F77" s="166"/>
      <c r="G77" s="177"/>
      <c r="H77" s="177"/>
      <c r="I77" s="20"/>
      <c r="J77" s="21"/>
      <c r="K77" s="167"/>
      <c r="L77" s="61"/>
      <c r="M77" s="167"/>
      <c r="N77" s="167"/>
      <c r="O77" s="126"/>
      <c r="P77" s="126"/>
      <c r="Q77" s="126"/>
      <c r="R77" s="15"/>
      <c r="S77" s="126"/>
      <c r="T77" s="15"/>
      <c r="U77" s="24"/>
      <c r="V77" s="24"/>
      <c r="W77" s="24"/>
      <c r="X77" s="24"/>
      <c r="Y77" s="24"/>
      <c r="Z77" s="24"/>
      <c r="AA77" s="114"/>
      <c r="AB77" s="114"/>
      <c r="AC77" s="114"/>
      <c r="AD77" s="114"/>
      <c r="AE77" s="114"/>
      <c r="AF77" s="24"/>
      <c r="AG77" s="142"/>
      <c r="AH77" s="24"/>
      <c r="AI77" s="114"/>
      <c r="AJ77" s="114"/>
      <c r="AK77" s="114"/>
      <c r="AL77" s="114"/>
      <c r="AM77" s="114"/>
      <c r="AN77" s="114"/>
      <c r="AO77" s="114"/>
      <c r="AP77" s="188"/>
      <c r="AQ77" s="188"/>
      <c r="AR77" s="188"/>
      <c r="AS77" s="27"/>
      <c r="AT77" s="27"/>
      <c r="AU77" s="27"/>
      <c r="AV77" s="27"/>
      <c r="AW77" s="121"/>
      <c r="AX77" s="135"/>
      <c r="AY77" s="323"/>
      <c r="AZ77" s="130"/>
      <c r="BA77" s="6"/>
      <c r="BC77" s="260">
        <f t="shared" si="32"/>
        <v>1</v>
      </c>
      <c r="BD77" s="261">
        <f t="shared" si="33"/>
        <v>10</v>
      </c>
      <c r="BE77" s="261">
        <f t="shared" si="37"/>
        <v>0</v>
      </c>
      <c r="BF77" s="260">
        <f t="shared" si="34"/>
        <v>0</v>
      </c>
      <c r="BG77" s="325"/>
    </row>
    <row r="78" spans="2:59">
      <c r="B78" s="321"/>
      <c r="C78" s="15"/>
      <c r="D78" s="15"/>
      <c r="E78" s="174"/>
      <c r="F78" s="166"/>
      <c r="G78" s="177"/>
      <c r="H78" s="24"/>
      <c r="I78" s="61"/>
      <c r="J78" s="61"/>
      <c r="K78" s="61"/>
      <c r="L78" s="61"/>
      <c r="M78" s="167"/>
      <c r="N78" s="167"/>
      <c r="O78" s="126"/>
      <c r="P78" s="126"/>
      <c r="Q78" s="126"/>
      <c r="R78" s="15"/>
      <c r="S78" s="126"/>
      <c r="T78" s="15"/>
      <c r="U78" s="24"/>
      <c r="V78" s="24"/>
      <c r="W78" s="24"/>
      <c r="X78" s="24"/>
      <c r="Y78" s="24"/>
      <c r="Z78" s="24"/>
      <c r="AA78" s="114"/>
      <c r="AB78" s="114"/>
      <c r="AC78" s="114"/>
      <c r="AD78" s="114"/>
      <c r="AE78" s="114"/>
      <c r="AF78" s="24"/>
      <c r="AG78" s="142"/>
      <c r="AH78" s="24"/>
      <c r="AI78" s="114"/>
      <c r="AJ78" s="114"/>
      <c r="AK78" s="114"/>
      <c r="AL78" s="114"/>
      <c r="AM78" s="114"/>
      <c r="AN78" s="114"/>
      <c r="AO78" s="114"/>
      <c r="AP78" s="188"/>
      <c r="AQ78" s="188"/>
      <c r="AR78" s="188"/>
      <c r="AS78" s="27"/>
      <c r="AT78" s="27"/>
      <c r="AU78" s="27"/>
      <c r="AV78" s="27"/>
      <c r="AW78" s="121"/>
      <c r="AX78" s="135"/>
      <c r="AY78" s="323"/>
      <c r="AZ78" s="130"/>
      <c r="BA78" s="6"/>
      <c r="BC78" s="260">
        <f t="shared" ref="BC78:BC115" si="38">IF(OR(AR78&gt;1,AR78="not applicable"),0,1-AR78)</f>
        <v>1</v>
      </c>
      <c r="BD78" s="261">
        <f t="shared" ref="BD78:BD115" si="39">10-(0.5*E78)</f>
        <v>10</v>
      </c>
      <c r="BE78" s="261">
        <f t="shared" si="37"/>
        <v>0</v>
      </c>
      <c r="BF78" s="260">
        <f t="shared" ref="BF78:BF115" si="40">BE78*BD78*BC78</f>
        <v>0</v>
      </c>
      <c r="BG78" s="325"/>
    </row>
    <row r="79" spans="2:59" ht="12.75" customHeight="1">
      <c r="B79" s="321"/>
      <c r="C79" s="15"/>
      <c r="D79" s="15"/>
      <c r="E79" s="174"/>
      <c r="F79" s="166"/>
      <c r="G79" s="177"/>
      <c r="H79" s="24"/>
      <c r="I79" s="61"/>
      <c r="J79" s="61"/>
      <c r="K79" s="61"/>
      <c r="L79" s="61"/>
      <c r="M79" s="167"/>
      <c r="N79" s="167"/>
      <c r="O79" s="126"/>
      <c r="P79" s="126"/>
      <c r="Q79" s="126"/>
      <c r="R79" s="15"/>
      <c r="S79" s="126"/>
      <c r="T79" s="15"/>
      <c r="U79" s="24"/>
      <c r="V79" s="24"/>
      <c r="W79" s="24"/>
      <c r="X79" s="24"/>
      <c r="Y79" s="24"/>
      <c r="Z79" s="24"/>
      <c r="AA79" s="114"/>
      <c r="AB79" s="114"/>
      <c r="AC79" s="114"/>
      <c r="AD79" s="114"/>
      <c r="AE79" s="114"/>
      <c r="AF79" s="24"/>
      <c r="AG79" s="142"/>
      <c r="AH79" s="24"/>
      <c r="AI79" s="114"/>
      <c r="AJ79" s="114"/>
      <c r="AK79" s="114"/>
      <c r="AL79" s="114"/>
      <c r="AM79" s="114"/>
      <c r="AN79" s="114"/>
      <c r="AO79" s="114"/>
      <c r="AP79" s="188"/>
      <c r="AQ79" s="188"/>
      <c r="AR79" s="188"/>
      <c r="AS79" s="27"/>
      <c r="AT79" s="27"/>
      <c r="AU79" s="27"/>
      <c r="AV79" s="27"/>
      <c r="AW79" s="121"/>
      <c r="AX79" s="135"/>
      <c r="AY79" s="323"/>
      <c r="AZ79" s="130"/>
      <c r="BA79" s="6"/>
      <c r="BC79" s="260">
        <f t="shared" si="38"/>
        <v>1</v>
      </c>
      <c r="BD79" s="261">
        <f t="shared" si="39"/>
        <v>10</v>
      </c>
      <c r="BE79" s="261">
        <f t="shared" si="37"/>
        <v>0</v>
      </c>
      <c r="BF79" s="260">
        <f t="shared" si="40"/>
        <v>0</v>
      </c>
      <c r="BG79" s="325"/>
    </row>
    <row r="80" spans="2:59">
      <c r="B80" s="321"/>
      <c r="C80" s="15"/>
      <c r="D80" s="15"/>
      <c r="E80" s="174"/>
      <c r="F80" s="166"/>
      <c r="G80" s="177"/>
      <c r="H80" s="24"/>
      <c r="I80" s="61"/>
      <c r="J80" s="61"/>
      <c r="K80" s="61"/>
      <c r="L80" s="61"/>
      <c r="M80" s="167"/>
      <c r="N80" s="167"/>
      <c r="O80" s="126"/>
      <c r="P80" s="126"/>
      <c r="Q80" s="126"/>
      <c r="R80" s="15"/>
      <c r="S80" s="126"/>
      <c r="T80" s="15"/>
      <c r="U80" s="24"/>
      <c r="V80" s="24"/>
      <c r="W80" s="24"/>
      <c r="X80" s="24"/>
      <c r="Y80" s="24"/>
      <c r="Z80" s="24"/>
      <c r="AA80" s="114"/>
      <c r="AB80" s="114"/>
      <c r="AC80" s="114"/>
      <c r="AD80" s="114"/>
      <c r="AE80" s="114"/>
      <c r="AF80" s="24"/>
      <c r="AG80" s="142"/>
      <c r="AH80" s="24"/>
      <c r="AI80" s="114"/>
      <c r="AJ80" s="114"/>
      <c r="AK80" s="114"/>
      <c r="AL80" s="114"/>
      <c r="AM80" s="114"/>
      <c r="AN80" s="114"/>
      <c r="AO80" s="114"/>
      <c r="AP80" s="188"/>
      <c r="AQ80" s="188"/>
      <c r="AR80" s="188"/>
      <c r="AS80" s="27"/>
      <c r="AT80" s="27"/>
      <c r="AU80" s="27"/>
      <c r="AV80" s="27"/>
      <c r="AW80" s="121"/>
      <c r="AX80" s="135"/>
      <c r="AY80" s="323"/>
      <c r="AZ80" s="130"/>
      <c r="BA80" s="6"/>
      <c r="BC80" s="260">
        <f t="shared" si="38"/>
        <v>1</v>
      </c>
      <c r="BD80" s="261">
        <f t="shared" si="39"/>
        <v>10</v>
      </c>
      <c r="BE80" s="261">
        <f t="shared" si="37"/>
        <v>0</v>
      </c>
      <c r="BF80" s="260">
        <f t="shared" si="40"/>
        <v>0</v>
      </c>
      <c r="BG80" s="325"/>
    </row>
    <row r="81" spans="2:68">
      <c r="B81" s="321"/>
      <c r="C81" s="15"/>
      <c r="D81" s="15"/>
      <c r="E81" s="174"/>
      <c r="F81" s="166"/>
      <c r="G81" s="177"/>
      <c r="H81" s="24"/>
      <c r="I81" s="61"/>
      <c r="J81" s="61"/>
      <c r="K81" s="61"/>
      <c r="L81" s="61"/>
      <c r="M81" s="167"/>
      <c r="N81" s="167"/>
      <c r="O81" s="126"/>
      <c r="P81" s="126"/>
      <c r="Q81" s="126"/>
      <c r="R81" s="15"/>
      <c r="S81" s="126"/>
      <c r="T81" s="15"/>
      <c r="U81" s="24"/>
      <c r="V81" s="24"/>
      <c r="W81" s="24"/>
      <c r="X81" s="24"/>
      <c r="Y81" s="24"/>
      <c r="Z81" s="24"/>
      <c r="AA81" s="114"/>
      <c r="AB81" s="114"/>
      <c r="AC81" s="114"/>
      <c r="AD81" s="114"/>
      <c r="AE81" s="114"/>
      <c r="AF81" s="24"/>
      <c r="AG81" s="142"/>
      <c r="AH81" s="24"/>
      <c r="AI81" s="114"/>
      <c r="AJ81" s="114"/>
      <c r="AK81" s="114"/>
      <c r="AL81" s="114"/>
      <c r="AM81" s="114"/>
      <c r="AN81" s="114"/>
      <c r="AO81" s="114"/>
      <c r="AP81" s="188"/>
      <c r="AQ81" s="188"/>
      <c r="AR81" s="188"/>
      <c r="AS81" s="27"/>
      <c r="AT81" s="27"/>
      <c r="AU81" s="27"/>
      <c r="AV81" s="27"/>
      <c r="AW81" s="121"/>
      <c r="AX81" s="135"/>
      <c r="AY81" s="323"/>
      <c r="AZ81" s="130"/>
      <c r="BA81" s="6"/>
      <c r="BC81" s="260">
        <f t="shared" si="38"/>
        <v>1</v>
      </c>
      <c r="BD81" s="261">
        <f t="shared" si="39"/>
        <v>10</v>
      </c>
      <c r="BE81" s="261">
        <f t="shared" si="37"/>
        <v>0</v>
      </c>
      <c r="BF81" s="260">
        <f t="shared" si="40"/>
        <v>0</v>
      </c>
      <c r="BG81" s="325"/>
    </row>
    <row r="82" spans="2:68" ht="13.25" customHeight="1">
      <c r="B82" s="321"/>
      <c r="C82" s="15"/>
      <c r="D82" s="15"/>
      <c r="E82" s="174"/>
      <c r="F82" s="166"/>
      <c r="G82" s="177"/>
      <c r="H82" s="24"/>
      <c r="I82" s="61"/>
      <c r="J82" s="61"/>
      <c r="K82" s="61"/>
      <c r="L82" s="61"/>
      <c r="M82" s="167"/>
      <c r="N82" s="167"/>
      <c r="O82" s="126"/>
      <c r="P82" s="126"/>
      <c r="Q82" s="126"/>
      <c r="R82" s="15"/>
      <c r="S82" s="126"/>
      <c r="T82" s="15"/>
      <c r="U82" s="24"/>
      <c r="V82" s="24"/>
      <c r="W82" s="24"/>
      <c r="X82" s="24"/>
      <c r="Y82" s="24"/>
      <c r="Z82" s="24"/>
      <c r="AA82" s="114"/>
      <c r="AB82" s="114"/>
      <c r="AC82" s="114"/>
      <c r="AD82" s="114"/>
      <c r="AE82" s="114"/>
      <c r="AF82" s="24"/>
      <c r="AG82" s="142"/>
      <c r="AH82" s="24"/>
      <c r="AI82" s="114"/>
      <c r="AJ82" s="114"/>
      <c r="AK82" s="114"/>
      <c r="AL82" s="114"/>
      <c r="AM82" s="114"/>
      <c r="AN82" s="114"/>
      <c r="AO82" s="114"/>
      <c r="AP82" s="188"/>
      <c r="AQ82" s="188"/>
      <c r="AR82" s="188"/>
      <c r="AS82" s="27"/>
      <c r="AT82" s="27"/>
      <c r="AU82" s="27"/>
      <c r="AV82" s="27"/>
      <c r="AW82" s="121"/>
      <c r="AX82" s="135"/>
      <c r="AY82" s="323"/>
      <c r="AZ82" s="130"/>
      <c r="BA82" s="6"/>
      <c r="BC82" s="260">
        <f t="shared" si="38"/>
        <v>1</v>
      </c>
      <c r="BD82" s="261">
        <f t="shared" si="39"/>
        <v>10</v>
      </c>
      <c r="BE82" s="261">
        <f t="shared" si="37"/>
        <v>0</v>
      </c>
      <c r="BF82" s="260">
        <f t="shared" si="40"/>
        <v>0</v>
      </c>
      <c r="BG82" s="325"/>
    </row>
    <row r="83" spans="2:68">
      <c r="B83" s="321"/>
      <c r="C83" s="15"/>
      <c r="D83" s="15"/>
      <c r="E83" s="174"/>
      <c r="F83" s="166"/>
      <c r="G83" s="177"/>
      <c r="H83" s="24"/>
      <c r="I83" s="61"/>
      <c r="J83" s="61"/>
      <c r="K83" s="61"/>
      <c r="L83" s="61"/>
      <c r="M83" s="167"/>
      <c r="N83" s="167"/>
      <c r="O83" s="126"/>
      <c r="P83" s="126"/>
      <c r="Q83" s="126"/>
      <c r="R83" s="15"/>
      <c r="S83" s="126"/>
      <c r="T83" s="15"/>
      <c r="U83" s="24"/>
      <c r="V83" s="24"/>
      <c r="W83" s="24"/>
      <c r="X83" s="24"/>
      <c r="Y83" s="24"/>
      <c r="Z83" s="24"/>
      <c r="AA83" s="114"/>
      <c r="AB83" s="114"/>
      <c r="AC83" s="114"/>
      <c r="AD83" s="114"/>
      <c r="AE83" s="114"/>
      <c r="AF83" s="24"/>
      <c r="AG83" s="142"/>
      <c r="AH83" s="24"/>
      <c r="AI83" s="114"/>
      <c r="AJ83" s="114"/>
      <c r="AK83" s="114"/>
      <c r="AL83" s="114"/>
      <c r="AM83" s="114"/>
      <c r="AN83" s="114"/>
      <c r="AO83" s="114"/>
      <c r="AP83" s="188"/>
      <c r="AQ83" s="188"/>
      <c r="AR83" s="188"/>
      <c r="AS83" s="27"/>
      <c r="AT83" s="27"/>
      <c r="AU83" s="27"/>
      <c r="AV83" s="27"/>
      <c r="AW83" s="121"/>
      <c r="AX83" s="135"/>
      <c r="AY83" s="323"/>
      <c r="AZ83" s="130"/>
      <c r="BA83" s="6"/>
      <c r="BC83" s="260">
        <f t="shared" si="38"/>
        <v>1</v>
      </c>
      <c r="BD83" s="261">
        <f t="shared" si="39"/>
        <v>10</v>
      </c>
      <c r="BE83" s="261">
        <f t="shared" si="37"/>
        <v>0</v>
      </c>
      <c r="BF83" s="260">
        <f t="shared" si="40"/>
        <v>0</v>
      </c>
      <c r="BG83" s="325"/>
    </row>
    <row r="84" spans="2:68">
      <c r="B84" s="321"/>
      <c r="C84" s="15"/>
      <c r="D84" s="15"/>
      <c r="E84" s="174"/>
      <c r="F84" s="166"/>
      <c r="G84" s="177"/>
      <c r="H84" s="24"/>
      <c r="I84" s="61"/>
      <c r="J84" s="61"/>
      <c r="K84" s="61"/>
      <c r="L84" s="61"/>
      <c r="M84" s="167"/>
      <c r="N84" s="167"/>
      <c r="O84" s="126"/>
      <c r="P84" s="126"/>
      <c r="Q84" s="126"/>
      <c r="R84" s="15"/>
      <c r="S84" s="126"/>
      <c r="T84" s="15"/>
      <c r="U84" s="24"/>
      <c r="V84" s="24"/>
      <c r="W84" s="24"/>
      <c r="X84" s="24"/>
      <c r="Y84" s="24"/>
      <c r="Z84" s="24"/>
      <c r="AA84" s="114"/>
      <c r="AB84" s="114"/>
      <c r="AC84" s="114"/>
      <c r="AD84" s="114"/>
      <c r="AE84" s="114"/>
      <c r="AF84" s="24"/>
      <c r="AG84" s="142"/>
      <c r="AH84" s="24"/>
      <c r="AI84" s="114"/>
      <c r="AJ84" s="114"/>
      <c r="AK84" s="114"/>
      <c r="AL84" s="114"/>
      <c r="AM84" s="114"/>
      <c r="AN84" s="114"/>
      <c r="AO84" s="114"/>
      <c r="AP84" s="188"/>
      <c r="AQ84" s="188"/>
      <c r="AR84" s="188"/>
      <c r="AS84" s="27"/>
      <c r="AT84" s="27"/>
      <c r="AU84" s="27"/>
      <c r="AV84" s="27"/>
      <c r="AW84" s="121"/>
      <c r="AX84" s="135"/>
      <c r="AY84" s="323"/>
      <c r="AZ84" s="130"/>
      <c r="BA84" s="6"/>
      <c r="BC84" s="260">
        <f t="shared" si="38"/>
        <v>1</v>
      </c>
      <c r="BD84" s="261">
        <f t="shared" si="39"/>
        <v>10</v>
      </c>
      <c r="BE84" s="261">
        <f t="shared" si="37"/>
        <v>0</v>
      </c>
      <c r="BF84" s="260">
        <f t="shared" si="40"/>
        <v>0</v>
      </c>
      <c r="BG84" s="325"/>
    </row>
    <row r="85" spans="2:68">
      <c r="B85" s="321"/>
      <c r="C85" s="15"/>
      <c r="D85" s="15"/>
      <c r="E85" s="174"/>
      <c r="F85" s="166"/>
      <c r="G85" s="177"/>
      <c r="H85" s="24"/>
      <c r="I85" s="61"/>
      <c r="J85" s="61"/>
      <c r="K85" s="61"/>
      <c r="L85" s="61"/>
      <c r="M85" s="167"/>
      <c r="N85" s="167"/>
      <c r="O85" s="126"/>
      <c r="P85" s="126"/>
      <c r="Q85" s="126"/>
      <c r="R85" s="15"/>
      <c r="S85" s="126"/>
      <c r="T85" s="15"/>
      <c r="U85" s="24"/>
      <c r="V85" s="24"/>
      <c r="W85" s="24"/>
      <c r="X85" s="24"/>
      <c r="Y85" s="24"/>
      <c r="Z85" s="24"/>
      <c r="AA85" s="114"/>
      <c r="AB85" s="114"/>
      <c r="AC85" s="114"/>
      <c r="AD85" s="114"/>
      <c r="AE85" s="114"/>
      <c r="AF85" s="24"/>
      <c r="AG85" s="142"/>
      <c r="AH85" s="24"/>
      <c r="AI85" s="114"/>
      <c r="AJ85" s="114"/>
      <c r="AK85" s="114"/>
      <c r="AL85" s="114"/>
      <c r="AM85" s="114"/>
      <c r="AN85" s="114"/>
      <c r="AO85" s="114"/>
      <c r="AP85" s="188"/>
      <c r="AQ85" s="188"/>
      <c r="AR85" s="188"/>
      <c r="AS85" s="27"/>
      <c r="AT85" s="27"/>
      <c r="AU85" s="27"/>
      <c r="AV85" s="27"/>
      <c r="AW85" s="121"/>
      <c r="AX85" s="135"/>
      <c r="AY85" s="323"/>
      <c r="AZ85" s="130"/>
      <c r="BA85" s="6"/>
      <c r="BC85" s="260">
        <f t="shared" si="38"/>
        <v>1</v>
      </c>
      <c r="BD85" s="261">
        <f t="shared" si="39"/>
        <v>10</v>
      </c>
      <c r="BE85" s="261">
        <f t="shared" si="37"/>
        <v>0</v>
      </c>
      <c r="BF85" s="260">
        <f t="shared" si="40"/>
        <v>0</v>
      </c>
      <c r="BG85" s="325"/>
    </row>
    <row r="86" spans="2:68">
      <c r="B86" s="321"/>
      <c r="C86" s="15"/>
      <c r="D86" s="15"/>
      <c r="E86" s="174"/>
      <c r="F86" s="166"/>
      <c r="G86" s="177"/>
      <c r="H86" s="24"/>
      <c r="I86" s="61"/>
      <c r="J86" s="61"/>
      <c r="K86" s="61"/>
      <c r="L86" s="61"/>
      <c r="M86" s="167"/>
      <c r="N86" s="167"/>
      <c r="O86" s="126"/>
      <c r="P86" s="126"/>
      <c r="Q86" s="126"/>
      <c r="R86" s="15"/>
      <c r="S86" s="126"/>
      <c r="T86" s="15"/>
      <c r="U86" s="24"/>
      <c r="V86" s="24"/>
      <c r="W86" s="24"/>
      <c r="X86" s="24"/>
      <c r="Y86" s="24"/>
      <c r="Z86" s="24"/>
      <c r="AA86" s="114"/>
      <c r="AB86" s="114"/>
      <c r="AC86" s="114"/>
      <c r="AD86" s="114"/>
      <c r="AE86" s="114"/>
      <c r="AF86" s="24"/>
      <c r="AG86" s="142"/>
      <c r="AH86" s="24"/>
      <c r="AI86" s="114"/>
      <c r="AJ86" s="114"/>
      <c r="AK86" s="114"/>
      <c r="AL86" s="114"/>
      <c r="AM86" s="114"/>
      <c r="AN86" s="114"/>
      <c r="AO86" s="114"/>
      <c r="AP86" s="188"/>
      <c r="AQ86" s="188"/>
      <c r="AR86" s="188"/>
      <c r="AS86" s="27"/>
      <c r="AT86" s="27"/>
      <c r="AU86" s="27"/>
      <c r="AV86" s="27"/>
      <c r="AW86" s="121"/>
      <c r="AX86" s="135"/>
      <c r="AY86" s="324"/>
      <c r="AZ86" s="130"/>
      <c r="BA86" s="6"/>
      <c r="BC86" s="260">
        <f t="shared" si="38"/>
        <v>1</v>
      </c>
      <c r="BD86" s="261">
        <f t="shared" si="39"/>
        <v>10</v>
      </c>
      <c r="BE86" s="261">
        <f t="shared" si="37"/>
        <v>0</v>
      </c>
      <c r="BF86" s="260">
        <f t="shared" si="40"/>
        <v>0</v>
      </c>
      <c r="BG86" s="325"/>
    </row>
    <row r="87" spans="2:68" ht="12.75" customHeight="1">
      <c r="B87" s="321"/>
      <c r="C87" s="15"/>
      <c r="D87" s="15"/>
      <c r="E87" s="174"/>
      <c r="F87" s="166"/>
      <c r="G87" s="177"/>
      <c r="H87" s="24"/>
      <c r="I87" s="61"/>
      <c r="J87" s="61"/>
      <c r="K87" s="61"/>
      <c r="L87" s="61"/>
      <c r="M87" s="167"/>
      <c r="N87" s="167"/>
      <c r="O87" s="126"/>
      <c r="P87" s="126"/>
      <c r="Q87" s="126"/>
      <c r="R87" s="15"/>
      <c r="S87" s="126"/>
      <c r="T87" s="15"/>
      <c r="U87" s="24"/>
      <c r="V87" s="24"/>
      <c r="W87" s="24"/>
      <c r="X87" s="24"/>
      <c r="Y87" s="24"/>
      <c r="Z87" s="24"/>
      <c r="AA87" s="114"/>
      <c r="AB87" s="114"/>
      <c r="AC87" s="114"/>
      <c r="AD87" s="114"/>
      <c r="AE87" s="114"/>
      <c r="AF87" s="24"/>
      <c r="AG87" s="142"/>
      <c r="AH87" s="24"/>
      <c r="AI87" s="114"/>
      <c r="AJ87" s="114"/>
      <c r="AK87" s="114"/>
      <c r="AL87" s="114"/>
      <c r="AM87" s="114"/>
      <c r="AN87" s="114"/>
      <c r="AO87" s="114"/>
      <c r="AP87" s="188"/>
      <c r="AQ87" s="188"/>
      <c r="AR87" s="188"/>
      <c r="AS87" s="27"/>
      <c r="AT87" s="27"/>
      <c r="AU87" s="27"/>
      <c r="AV87" s="27"/>
      <c r="AW87" s="121"/>
      <c r="AX87" s="135"/>
      <c r="AY87" s="322">
        <f>SUM(AX87:AX98)</f>
        <v>0</v>
      </c>
      <c r="AZ87" s="130"/>
      <c r="BA87" s="6"/>
      <c r="BC87" s="260">
        <f t="shared" si="38"/>
        <v>1</v>
      </c>
      <c r="BD87" s="261">
        <f t="shared" si="39"/>
        <v>10</v>
      </c>
      <c r="BE87" s="261">
        <f t="shared" si="37"/>
        <v>0</v>
      </c>
      <c r="BF87" s="260">
        <f t="shared" si="40"/>
        <v>0</v>
      </c>
      <c r="BG87" s="325"/>
      <c r="BO87" s="326"/>
      <c r="BP87" s="326"/>
    </row>
    <row r="88" spans="2:68">
      <c r="B88" s="321"/>
      <c r="C88" s="15"/>
      <c r="D88" s="15"/>
      <c r="E88" s="174"/>
      <c r="F88" s="166"/>
      <c r="G88" s="177"/>
      <c r="H88" s="24"/>
      <c r="I88" s="61"/>
      <c r="J88" s="61"/>
      <c r="K88" s="61"/>
      <c r="L88" s="61"/>
      <c r="M88" s="167"/>
      <c r="N88" s="167"/>
      <c r="O88" s="126"/>
      <c r="P88" s="126"/>
      <c r="Q88" s="126"/>
      <c r="R88" s="15"/>
      <c r="S88" s="126"/>
      <c r="T88" s="15"/>
      <c r="U88" s="24"/>
      <c r="V88" s="24"/>
      <c r="W88" s="24"/>
      <c r="X88" s="24"/>
      <c r="Y88" s="24"/>
      <c r="Z88" s="24"/>
      <c r="AA88" s="114"/>
      <c r="AB88" s="114"/>
      <c r="AC88" s="114"/>
      <c r="AD88" s="114"/>
      <c r="AE88" s="114"/>
      <c r="AF88" s="24"/>
      <c r="AG88" s="142"/>
      <c r="AH88" s="24"/>
      <c r="AI88" s="114"/>
      <c r="AJ88" s="114"/>
      <c r="AK88" s="114"/>
      <c r="AL88" s="114"/>
      <c r="AM88" s="114"/>
      <c r="AN88" s="114"/>
      <c r="AO88" s="114"/>
      <c r="AP88" s="188"/>
      <c r="AQ88" s="188"/>
      <c r="AR88" s="188"/>
      <c r="AS88" s="27"/>
      <c r="AT88" s="27"/>
      <c r="AU88" s="27"/>
      <c r="AV88" s="27"/>
      <c r="AW88" s="121"/>
      <c r="AX88" s="135"/>
      <c r="AY88" s="323"/>
      <c r="AZ88" s="130"/>
      <c r="BA88" s="6"/>
      <c r="BC88" s="260">
        <f t="shared" si="38"/>
        <v>1</v>
      </c>
      <c r="BD88" s="261">
        <f t="shared" si="39"/>
        <v>10</v>
      </c>
      <c r="BE88" s="261">
        <f t="shared" si="37"/>
        <v>0</v>
      </c>
      <c r="BF88" s="260">
        <f t="shared" si="40"/>
        <v>0</v>
      </c>
      <c r="BG88" s="325"/>
    </row>
    <row r="89" spans="2:68" ht="12.75" customHeight="1">
      <c r="B89" s="321"/>
      <c r="C89" s="15"/>
      <c r="D89" s="15"/>
      <c r="E89" s="174"/>
      <c r="F89" s="166"/>
      <c r="G89" s="177"/>
      <c r="H89" s="24"/>
      <c r="I89" s="61"/>
      <c r="J89" s="61"/>
      <c r="K89" s="61"/>
      <c r="L89" s="61"/>
      <c r="M89" s="167"/>
      <c r="N89" s="167"/>
      <c r="O89" s="126"/>
      <c r="P89" s="126"/>
      <c r="Q89" s="126"/>
      <c r="R89" s="15"/>
      <c r="S89" s="126"/>
      <c r="T89" s="15"/>
      <c r="U89" s="24"/>
      <c r="V89" s="24"/>
      <c r="W89" s="24"/>
      <c r="X89" s="24"/>
      <c r="Y89" s="24"/>
      <c r="Z89" s="24"/>
      <c r="AA89" s="114"/>
      <c r="AB89" s="114"/>
      <c r="AC89" s="114"/>
      <c r="AD89" s="114"/>
      <c r="AE89" s="114"/>
      <c r="AF89" s="24"/>
      <c r="AG89" s="142"/>
      <c r="AH89" s="24"/>
      <c r="AI89" s="114"/>
      <c r="AJ89" s="114"/>
      <c r="AK89" s="114"/>
      <c r="AL89" s="114"/>
      <c r="AM89" s="114"/>
      <c r="AN89" s="114"/>
      <c r="AO89" s="114"/>
      <c r="AP89" s="188"/>
      <c r="AQ89" s="188"/>
      <c r="AR89" s="188"/>
      <c r="AS89" s="27"/>
      <c r="AT89" s="27"/>
      <c r="AU89" s="27"/>
      <c r="AV89" s="27"/>
      <c r="AW89" s="121"/>
      <c r="AX89" s="135"/>
      <c r="AY89" s="323"/>
      <c r="AZ89" s="130"/>
      <c r="BA89" s="6"/>
      <c r="BC89" s="260">
        <f t="shared" si="38"/>
        <v>1</v>
      </c>
      <c r="BD89" s="261">
        <f t="shared" si="39"/>
        <v>10</v>
      </c>
      <c r="BE89" s="261">
        <f t="shared" si="37"/>
        <v>0</v>
      </c>
      <c r="BF89" s="260">
        <f t="shared" si="40"/>
        <v>0</v>
      </c>
      <c r="BG89" s="325"/>
    </row>
    <row r="90" spans="2:68">
      <c r="B90" s="321"/>
      <c r="C90" s="15"/>
      <c r="D90" s="15"/>
      <c r="E90" s="174"/>
      <c r="F90" s="166"/>
      <c r="G90" s="177"/>
      <c r="H90" s="24"/>
      <c r="I90" s="61"/>
      <c r="J90" s="61"/>
      <c r="K90" s="61"/>
      <c r="L90" s="61"/>
      <c r="M90" s="167"/>
      <c r="N90" s="167"/>
      <c r="O90" s="126"/>
      <c r="P90" s="126"/>
      <c r="Q90" s="126"/>
      <c r="R90" s="15"/>
      <c r="S90" s="126"/>
      <c r="T90" s="15"/>
      <c r="U90" s="24"/>
      <c r="V90" s="24"/>
      <c r="W90" s="24"/>
      <c r="X90" s="24"/>
      <c r="Y90" s="24"/>
      <c r="Z90" s="24"/>
      <c r="AA90" s="114"/>
      <c r="AB90" s="114"/>
      <c r="AC90" s="114"/>
      <c r="AD90" s="114"/>
      <c r="AE90" s="114"/>
      <c r="AF90" s="24"/>
      <c r="AG90" s="142"/>
      <c r="AH90" s="24"/>
      <c r="AI90" s="114"/>
      <c r="AJ90" s="114"/>
      <c r="AK90" s="114"/>
      <c r="AL90" s="114"/>
      <c r="AM90" s="114"/>
      <c r="AN90" s="114"/>
      <c r="AO90" s="114"/>
      <c r="AP90" s="188"/>
      <c r="AQ90" s="188"/>
      <c r="AR90" s="188"/>
      <c r="AS90" s="27"/>
      <c r="AT90" s="27"/>
      <c r="AU90" s="27"/>
      <c r="AV90" s="27"/>
      <c r="AW90" s="121"/>
      <c r="AX90" s="135"/>
      <c r="AY90" s="323"/>
      <c r="AZ90" s="130"/>
      <c r="BA90" s="6"/>
      <c r="BC90" s="260">
        <f t="shared" si="38"/>
        <v>1</v>
      </c>
      <c r="BD90" s="261">
        <f t="shared" si="39"/>
        <v>10</v>
      </c>
      <c r="BE90" s="261">
        <f t="shared" si="37"/>
        <v>0</v>
      </c>
      <c r="BF90" s="260">
        <f t="shared" si="40"/>
        <v>0</v>
      </c>
      <c r="BG90" s="325"/>
    </row>
    <row r="91" spans="2:68">
      <c r="B91" s="321"/>
      <c r="C91" s="15"/>
      <c r="D91" s="15"/>
      <c r="E91" s="174"/>
      <c r="F91" s="166"/>
      <c r="G91" s="177"/>
      <c r="H91" s="24"/>
      <c r="I91" s="61"/>
      <c r="J91" s="61"/>
      <c r="K91" s="61"/>
      <c r="L91" s="61"/>
      <c r="M91" s="167"/>
      <c r="N91" s="167"/>
      <c r="O91" s="126"/>
      <c r="P91" s="126"/>
      <c r="Q91" s="126"/>
      <c r="R91" s="15"/>
      <c r="S91" s="126"/>
      <c r="T91" s="15"/>
      <c r="U91" s="24"/>
      <c r="V91" s="24"/>
      <c r="W91" s="24"/>
      <c r="X91" s="24"/>
      <c r="Y91" s="24"/>
      <c r="Z91" s="24"/>
      <c r="AA91" s="114"/>
      <c r="AB91" s="114"/>
      <c r="AC91" s="114"/>
      <c r="AD91" s="114"/>
      <c r="AE91" s="114"/>
      <c r="AF91" s="24"/>
      <c r="AG91" s="142"/>
      <c r="AH91" s="24"/>
      <c r="AI91" s="114"/>
      <c r="AJ91" s="114"/>
      <c r="AK91" s="114"/>
      <c r="AL91" s="114"/>
      <c r="AM91" s="114"/>
      <c r="AN91" s="114"/>
      <c r="AO91" s="114"/>
      <c r="AP91" s="188"/>
      <c r="AQ91" s="188"/>
      <c r="AR91" s="188"/>
      <c r="AS91" s="27"/>
      <c r="AT91" s="27"/>
      <c r="AU91" s="27"/>
      <c r="AV91" s="27"/>
      <c r="AW91" s="121"/>
      <c r="AX91" s="135"/>
      <c r="AY91" s="323"/>
      <c r="AZ91" s="130"/>
      <c r="BA91" s="6"/>
      <c r="BC91" s="260">
        <f t="shared" si="38"/>
        <v>1</v>
      </c>
      <c r="BD91" s="261">
        <f t="shared" si="39"/>
        <v>10</v>
      </c>
      <c r="BE91" s="261">
        <f t="shared" si="37"/>
        <v>0</v>
      </c>
      <c r="BF91" s="260">
        <f t="shared" si="40"/>
        <v>0</v>
      </c>
      <c r="BG91" s="325"/>
    </row>
    <row r="92" spans="2:68">
      <c r="B92" s="321"/>
      <c r="C92" s="15"/>
      <c r="D92" s="15"/>
      <c r="E92" s="174"/>
      <c r="F92" s="166"/>
      <c r="G92" s="177"/>
      <c r="H92" s="24"/>
      <c r="I92" s="61"/>
      <c r="J92" s="61"/>
      <c r="K92" s="61"/>
      <c r="L92" s="61"/>
      <c r="M92" s="167"/>
      <c r="N92" s="167"/>
      <c r="O92" s="126"/>
      <c r="P92" s="126"/>
      <c r="Q92" s="126"/>
      <c r="R92" s="15"/>
      <c r="S92" s="126"/>
      <c r="T92" s="15"/>
      <c r="U92" s="24"/>
      <c r="V92" s="24"/>
      <c r="W92" s="24"/>
      <c r="X92" s="24"/>
      <c r="Y92" s="24"/>
      <c r="Z92" s="24"/>
      <c r="AA92" s="114"/>
      <c r="AB92" s="114"/>
      <c r="AC92" s="114"/>
      <c r="AD92" s="114"/>
      <c r="AE92" s="114"/>
      <c r="AF92" s="24"/>
      <c r="AG92" s="142"/>
      <c r="AH92" s="24"/>
      <c r="AI92" s="114"/>
      <c r="AJ92" s="114"/>
      <c r="AK92" s="114"/>
      <c r="AL92" s="114"/>
      <c r="AM92" s="114"/>
      <c r="AN92" s="114"/>
      <c r="AO92" s="114"/>
      <c r="AP92" s="188"/>
      <c r="AQ92" s="188"/>
      <c r="AR92" s="188"/>
      <c r="AS92" s="27"/>
      <c r="AT92" s="27"/>
      <c r="AU92" s="27"/>
      <c r="AV92" s="27"/>
      <c r="AW92" s="121"/>
      <c r="AX92" s="135"/>
      <c r="AY92" s="323"/>
      <c r="AZ92" s="130"/>
      <c r="BA92" s="6"/>
      <c r="BC92" s="260">
        <f t="shared" si="38"/>
        <v>1</v>
      </c>
      <c r="BD92" s="261">
        <f t="shared" si="39"/>
        <v>10</v>
      </c>
      <c r="BE92" s="261">
        <f t="shared" si="37"/>
        <v>0</v>
      </c>
      <c r="BF92" s="260">
        <f t="shared" si="40"/>
        <v>0</v>
      </c>
      <c r="BG92" s="325"/>
    </row>
    <row r="93" spans="2:68">
      <c r="B93" s="321"/>
      <c r="C93" s="15"/>
      <c r="D93" s="15"/>
      <c r="E93" s="174"/>
      <c r="F93" s="166"/>
      <c r="G93" s="177"/>
      <c r="H93" s="24"/>
      <c r="I93" s="61"/>
      <c r="J93" s="61"/>
      <c r="K93" s="61"/>
      <c r="L93" s="61"/>
      <c r="M93" s="167"/>
      <c r="N93" s="167"/>
      <c r="O93" s="126"/>
      <c r="P93" s="126"/>
      <c r="Q93" s="126"/>
      <c r="R93" s="15"/>
      <c r="S93" s="126"/>
      <c r="T93" s="15"/>
      <c r="U93" s="24"/>
      <c r="V93" s="24"/>
      <c r="W93" s="24"/>
      <c r="X93" s="24"/>
      <c r="Y93" s="24"/>
      <c r="Z93" s="24"/>
      <c r="AA93" s="114"/>
      <c r="AB93" s="114"/>
      <c r="AC93" s="114"/>
      <c r="AD93" s="114"/>
      <c r="AE93" s="114"/>
      <c r="AF93" s="24"/>
      <c r="AG93" s="142"/>
      <c r="AH93" s="24"/>
      <c r="AI93" s="114"/>
      <c r="AJ93" s="114"/>
      <c r="AK93" s="114"/>
      <c r="AL93" s="114"/>
      <c r="AM93" s="114"/>
      <c r="AN93" s="114"/>
      <c r="AO93" s="114"/>
      <c r="AP93" s="188"/>
      <c r="AQ93" s="188"/>
      <c r="AR93" s="188"/>
      <c r="AS93" s="27"/>
      <c r="AT93" s="27"/>
      <c r="AU93" s="27"/>
      <c r="AV93" s="27"/>
      <c r="AW93" s="121"/>
      <c r="AX93" s="135"/>
      <c r="AY93" s="323"/>
      <c r="AZ93" s="130"/>
      <c r="BA93" s="6"/>
      <c r="BC93" s="260">
        <f t="shared" si="38"/>
        <v>1</v>
      </c>
      <c r="BD93" s="261">
        <f t="shared" si="39"/>
        <v>10</v>
      </c>
      <c r="BE93" s="261">
        <f t="shared" si="37"/>
        <v>0</v>
      </c>
      <c r="BF93" s="260">
        <f t="shared" si="40"/>
        <v>0</v>
      </c>
      <c r="BG93" s="325"/>
    </row>
    <row r="94" spans="2:68">
      <c r="B94" s="321"/>
      <c r="C94" s="15"/>
      <c r="D94" s="15"/>
      <c r="E94" s="174"/>
      <c r="F94" s="166"/>
      <c r="G94" s="177"/>
      <c r="H94" s="24"/>
      <c r="I94" s="61"/>
      <c r="J94" s="61"/>
      <c r="K94" s="61"/>
      <c r="L94" s="61"/>
      <c r="M94" s="167"/>
      <c r="N94" s="167"/>
      <c r="O94" s="126"/>
      <c r="P94" s="126"/>
      <c r="Q94" s="126"/>
      <c r="R94" s="15"/>
      <c r="S94" s="126"/>
      <c r="T94" s="15"/>
      <c r="U94" s="24"/>
      <c r="V94" s="24"/>
      <c r="W94" s="24"/>
      <c r="X94" s="24"/>
      <c r="Y94" s="24"/>
      <c r="Z94" s="24"/>
      <c r="AA94" s="114"/>
      <c r="AB94" s="114"/>
      <c r="AC94" s="114"/>
      <c r="AD94" s="114"/>
      <c r="AE94" s="114"/>
      <c r="AF94" s="24"/>
      <c r="AG94" s="142"/>
      <c r="AH94" s="24"/>
      <c r="AI94" s="114"/>
      <c r="AJ94" s="114"/>
      <c r="AK94" s="114"/>
      <c r="AL94" s="114"/>
      <c r="AM94" s="114"/>
      <c r="AN94" s="114"/>
      <c r="AO94" s="114"/>
      <c r="AP94" s="188"/>
      <c r="AQ94" s="188"/>
      <c r="AR94" s="188"/>
      <c r="AS94" s="27"/>
      <c r="AT94" s="27"/>
      <c r="AU94" s="27"/>
      <c r="AV94" s="27"/>
      <c r="AW94" s="121"/>
      <c r="AX94" s="135"/>
      <c r="AY94" s="323"/>
      <c r="AZ94" s="130"/>
      <c r="BA94" s="6"/>
      <c r="BC94" s="260">
        <f t="shared" si="38"/>
        <v>1</v>
      </c>
      <c r="BD94" s="261">
        <f t="shared" si="39"/>
        <v>10</v>
      </c>
      <c r="BE94" s="261">
        <f t="shared" si="37"/>
        <v>0</v>
      </c>
      <c r="BF94" s="260">
        <f t="shared" si="40"/>
        <v>0</v>
      </c>
      <c r="BG94" s="325"/>
    </row>
    <row r="95" spans="2:68">
      <c r="B95" s="321"/>
      <c r="C95" s="148"/>
      <c r="D95" s="123"/>
      <c r="E95" s="148"/>
      <c r="F95" s="185"/>
      <c r="G95" s="193"/>
      <c r="H95" s="193"/>
      <c r="I95" s="124"/>
      <c r="J95" s="163"/>
      <c r="K95" s="170"/>
      <c r="L95" s="159"/>
      <c r="M95" s="194"/>
      <c r="N95" s="194"/>
      <c r="O95" s="159"/>
      <c r="P95" s="159"/>
      <c r="Q95" s="159"/>
      <c r="R95" s="122"/>
      <c r="S95" s="159"/>
      <c r="T95" s="122"/>
      <c r="U95" s="189"/>
      <c r="V95" s="189"/>
      <c r="W95" s="189"/>
      <c r="X95" s="189"/>
      <c r="Y95" s="189"/>
      <c r="Z95" s="189"/>
      <c r="AA95" s="123"/>
      <c r="AB95" s="123"/>
      <c r="AC95" s="123"/>
      <c r="AD95" s="189"/>
      <c r="AE95" s="123"/>
      <c r="AF95" s="189"/>
      <c r="AG95" s="163"/>
      <c r="AH95" s="189"/>
      <c r="AI95" s="189"/>
      <c r="AJ95" s="189"/>
      <c r="AK95" s="189"/>
      <c r="AL95" s="189"/>
      <c r="AM95" s="123"/>
      <c r="AN95" s="189"/>
      <c r="AO95" s="189"/>
      <c r="AP95" s="188"/>
      <c r="AQ95" s="188"/>
      <c r="AR95" s="188"/>
      <c r="AS95" s="27"/>
      <c r="AT95" s="27"/>
      <c r="AU95" s="27"/>
      <c r="AV95" s="27"/>
      <c r="AW95" s="121"/>
      <c r="AX95" s="135"/>
      <c r="AY95" s="323"/>
      <c r="AZ95" s="130"/>
      <c r="BA95" s="6"/>
      <c r="BC95" s="260">
        <f t="shared" si="38"/>
        <v>1</v>
      </c>
      <c r="BD95" s="261">
        <f t="shared" si="39"/>
        <v>10</v>
      </c>
      <c r="BE95" s="261">
        <f>E95</f>
        <v>0</v>
      </c>
      <c r="BF95" s="260">
        <f t="shared" si="40"/>
        <v>0</v>
      </c>
      <c r="BG95" s="325">
        <f>SUM(BF95:BF115)</f>
        <v>0</v>
      </c>
    </row>
    <row r="96" spans="2:68">
      <c r="B96" s="321"/>
      <c r="C96" s="148"/>
      <c r="D96" s="123"/>
      <c r="E96" s="148"/>
      <c r="F96" s="185"/>
      <c r="G96" s="193"/>
      <c r="H96" s="193"/>
      <c r="I96" s="124"/>
      <c r="J96" s="163"/>
      <c r="K96" s="170"/>
      <c r="L96" s="159"/>
      <c r="M96" s="194"/>
      <c r="N96" s="194"/>
      <c r="O96" s="159"/>
      <c r="P96" s="159"/>
      <c r="Q96" s="159"/>
      <c r="R96" s="122"/>
      <c r="S96" s="159"/>
      <c r="T96" s="122"/>
      <c r="U96" s="189"/>
      <c r="V96" s="189"/>
      <c r="W96" s="189"/>
      <c r="X96" s="189"/>
      <c r="Y96" s="189"/>
      <c r="Z96" s="189"/>
      <c r="AA96" s="123"/>
      <c r="AB96" s="123"/>
      <c r="AC96" s="123"/>
      <c r="AD96" s="189"/>
      <c r="AE96" s="123"/>
      <c r="AF96" s="189"/>
      <c r="AG96" s="163"/>
      <c r="AH96" s="189"/>
      <c r="AI96" s="189"/>
      <c r="AJ96" s="189"/>
      <c r="AK96" s="189"/>
      <c r="AL96" s="189"/>
      <c r="AM96" s="123"/>
      <c r="AN96" s="189"/>
      <c r="AO96" s="189"/>
      <c r="AP96" s="188"/>
      <c r="AQ96" s="188"/>
      <c r="AR96" s="188"/>
      <c r="AS96" s="27"/>
      <c r="AT96" s="27"/>
      <c r="AU96" s="27"/>
      <c r="AV96" s="27"/>
      <c r="AW96" s="121"/>
      <c r="AX96" s="135"/>
      <c r="AY96" s="323"/>
      <c r="AZ96" s="130"/>
      <c r="BA96" s="6"/>
      <c r="BC96" s="260">
        <f t="shared" si="38"/>
        <v>1</v>
      </c>
      <c r="BD96" s="261">
        <f t="shared" si="39"/>
        <v>10</v>
      </c>
      <c r="BE96" s="261">
        <f t="shared" si="37"/>
        <v>0</v>
      </c>
      <c r="BF96" s="260">
        <f t="shared" si="40"/>
        <v>0</v>
      </c>
      <c r="BG96" s="325"/>
    </row>
    <row r="97" spans="2:59" ht="13.25" customHeight="1">
      <c r="B97" s="321"/>
      <c r="C97" s="148"/>
      <c r="D97" s="123"/>
      <c r="E97" s="123"/>
      <c r="F97" s="185"/>
      <c r="G97" s="193"/>
      <c r="H97" s="193"/>
      <c r="I97" s="124"/>
      <c r="J97" s="163"/>
      <c r="K97" s="170"/>
      <c r="L97" s="159"/>
      <c r="M97" s="194"/>
      <c r="N97" s="194"/>
      <c r="O97" s="159"/>
      <c r="P97" s="159"/>
      <c r="Q97" s="159"/>
      <c r="R97" s="122"/>
      <c r="S97" s="159"/>
      <c r="T97" s="122"/>
      <c r="U97" s="189"/>
      <c r="V97" s="189"/>
      <c r="W97" s="189"/>
      <c r="X97" s="189"/>
      <c r="Y97" s="189"/>
      <c r="Z97" s="189"/>
      <c r="AA97" s="123"/>
      <c r="AB97" s="123"/>
      <c r="AC97" s="123"/>
      <c r="AD97" s="189"/>
      <c r="AE97" s="123"/>
      <c r="AF97" s="189"/>
      <c r="AG97" s="163"/>
      <c r="AH97" s="189"/>
      <c r="AI97" s="189"/>
      <c r="AJ97" s="189"/>
      <c r="AK97" s="189"/>
      <c r="AL97" s="189"/>
      <c r="AM97" s="123"/>
      <c r="AN97" s="189"/>
      <c r="AO97" s="189"/>
      <c r="AP97" s="188"/>
      <c r="AQ97" s="188"/>
      <c r="AR97" s="188"/>
      <c r="AS97" s="27"/>
      <c r="AT97" s="27"/>
      <c r="AU97" s="27"/>
      <c r="AV97" s="27"/>
      <c r="AW97" s="121"/>
      <c r="AX97" s="135"/>
      <c r="AY97" s="323"/>
      <c r="AZ97" s="130"/>
      <c r="BA97" s="6"/>
      <c r="BC97" s="260">
        <f t="shared" si="38"/>
        <v>1</v>
      </c>
      <c r="BD97" s="261">
        <f t="shared" si="39"/>
        <v>10</v>
      </c>
      <c r="BE97" s="261">
        <f t="shared" si="37"/>
        <v>0</v>
      </c>
      <c r="BF97" s="260">
        <f t="shared" si="40"/>
        <v>0</v>
      </c>
      <c r="BG97" s="325"/>
    </row>
    <row r="98" spans="2:59">
      <c r="B98" s="321"/>
      <c r="C98" s="148"/>
      <c r="D98" s="123"/>
      <c r="E98" s="148"/>
      <c r="F98" s="185"/>
      <c r="G98" s="193"/>
      <c r="H98" s="193"/>
      <c r="I98" s="124"/>
      <c r="J98" s="163"/>
      <c r="K98" s="170"/>
      <c r="L98" s="159"/>
      <c r="M98" s="194"/>
      <c r="N98" s="194"/>
      <c r="O98" s="159"/>
      <c r="P98" s="159"/>
      <c r="Q98" s="159"/>
      <c r="R98" s="122"/>
      <c r="S98" s="159"/>
      <c r="T98" s="122"/>
      <c r="U98" s="189"/>
      <c r="V98" s="189"/>
      <c r="W98" s="189"/>
      <c r="X98" s="189"/>
      <c r="Y98" s="189"/>
      <c r="Z98" s="189"/>
      <c r="AA98" s="123"/>
      <c r="AB98" s="123"/>
      <c r="AC98" s="123"/>
      <c r="AD98" s="189"/>
      <c r="AE98" s="123"/>
      <c r="AF98" s="189"/>
      <c r="AG98" s="163"/>
      <c r="AH98" s="189"/>
      <c r="AI98" s="189"/>
      <c r="AJ98" s="189"/>
      <c r="AK98" s="189"/>
      <c r="AL98" s="189"/>
      <c r="AM98" s="123"/>
      <c r="AN98" s="189"/>
      <c r="AO98" s="189"/>
      <c r="AP98" s="188"/>
      <c r="AQ98" s="188"/>
      <c r="AR98" s="188"/>
      <c r="AS98" s="27"/>
      <c r="AT98" s="27"/>
      <c r="AU98" s="27"/>
      <c r="AV98" s="27"/>
      <c r="AW98" s="121"/>
      <c r="AX98" s="135"/>
      <c r="AY98" s="324"/>
      <c r="AZ98" s="130"/>
      <c r="BA98" s="6"/>
      <c r="BC98" s="260">
        <f t="shared" si="38"/>
        <v>1</v>
      </c>
      <c r="BD98" s="261">
        <f t="shared" si="39"/>
        <v>10</v>
      </c>
      <c r="BE98" s="261">
        <f t="shared" si="37"/>
        <v>0</v>
      </c>
      <c r="BF98" s="260">
        <f t="shared" si="40"/>
        <v>0</v>
      </c>
      <c r="BG98" s="325"/>
    </row>
    <row r="99" spans="2:59" ht="12.75" customHeight="1">
      <c r="B99" s="321"/>
      <c r="C99" s="148"/>
      <c r="D99" s="123"/>
      <c r="E99" s="148"/>
      <c r="F99" s="185"/>
      <c r="G99" s="193"/>
      <c r="H99" s="193"/>
      <c r="I99" s="124"/>
      <c r="J99" s="163"/>
      <c r="K99" s="170"/>
      <c r="L99" s="159"/>
      <c r="M99" s="194"/>
      <c r="N99" s="194"/>
      <c r="O99" s="159"/>
      <c r="P99" s="159"/>
      <c r="Q99" s="159"/>
      <c r="R99" s="122"/>
      <c r="S99" s="159"/>
      <c r="T99" s="122"/>
      <c r="U99" s="189"/>
      <c r="V99" s="189"/>
      <c r="W99" s="189"/>
      <c r="X99" s="189"/>
      <c r="Y99" s="189"/>
      <c r="Z99" s="189"/>
      <c r="AA99" s="123"/>
      <c r="AB99" s="123"/>
      <c r="AC99" s="123"/>
      <c r="AD99" s="189"/>
      <c r="AE99" s="123"/>
      <c r="AF99" s="189"/>
      <c r="AG99" s="163"/>
      <c r="AH99" s="189"/>
      <c r="AI99" s="189"/>
      <c r="AJ99" s="189"/>
      <c r="AK99" s="189"/>
      <c r="AL99" s="189"/>
      <c r="AM99" s="123"/>
      <c r="AN99" s="189"/>
      <c r="AO99" s="189"/>
      <c r="AP99" s="188"/>
      <c r="AQ99" s="188"/>
      <c r="AR99" s="188"/>
      <c r="AS99" s="27"/>
      <c r="AT99" s="27"/>
      <c r="AU99" s="27"/>
      <c r="AV99" s="27"/>
      <c r="AW99" s="121"/>
      <c r="AX99" s="135"/>
      <c r="AY99" s="322">
        <f>SUM(AX99:AX111)</f>
        <v>0</v>
      </c>
      <c r="AZ99" s="328"/>
      <c r="BA99" s="6"/>
      <c r="BC99" s="260">
        <f t="shared" si="38"/>
        <v>1</v>
      </c>
      <c r="BD99" s="261">
        <f t="shared" si="39"/>
        <v>10</v>
      </c>
      <c r="BE99" s="261">
        <f t="shared" si="37"/>
        <v>0</v>
      </c>
      <c r="BF99" s="260">
        <f t="shared" si="40"/>
        <v>0</v>
      </c>
      <c r="BG99" s="325"/>
    </row>
    <row r="100" spans="2:59">
      <c r="B100" s="321"/>
      <c r="C100" s="148"/>
      <c r="D100" s="123"/>
      <c r="E100" s="148"/>
      <c r="F100" s="185"/>
      <c r="G100" s="193"/>
      <c r="H100" s="193"/>
      <c r="I100" s="124"/>
      <c r="J100" s="163"/>
      <c r="K100" s="170"/>
      <c r="L100" s="159"/>
      <c r="M100" s="194"/>
      <c r="N100" s="194"/>
      <c r="O100" s="159"/>
      <c r="P100" s="159"/>
      <c r="Q100" s="159"/>
      <c r="R100" s="122"/>
      <c r="S100" s="159"/>
      <c r="T100" s="122"/>
      <c r="U100" s="189"/>
      <c r="V100" s="189"/>
      <c r="W100" s="189"/>
      <c r="X100" s="189"/>
      <c r="Y100" s="189"/>
      <c r="Z100" s="189"/>
      <c r="AA100" s="123"/>
      <c r="AB100" s="123"/>
      <c r="AC100" s="123"/>
      <c r="AD100" s="189"/>
      <c r="AE100" s="123"/>
      <c r="AF100" s="189"/>
      <c r="AG100" s="163"/>
      <c r="AH100" s="189"/>
      <c r="AI100" s="189"/>
      <c r="AJ100" s="189"/>
      <c r="AK100" s="189"/>
      <c r="AL100" s="189"/>
      <c r="AM100" s="123"/>
      <c r="AN100" s="189"/>
      <c r="AO100" s="189"/>
      <c r="AP100" s="188"/>
      <c r="AQ100" s="188"/>
      <c r="AR100" s="188"/>
      <c r="AS100" s="27"/>
      <c r="AT100" s="27"/>
      <c r="AU100" s="27"/>
      <c r="AV100" s="27"/>
      <c r="AW100" s="121"/>
      <c r="AX100" s="135"/>
      <c r="AY100" s="323"/>
      <c r="AZ100" s="328"/>
      <c r="BA100" s="6"/>
      <c r="BC100" s="260">
        <f t="shared" si="38"/>
        <v>1</v>
      </c>
      <c r="BD100" s="261">
        <f t="shared" si="39"/>
        <v>10</v>
      </c>
      <c r="BE100" s="261">
        <f t="shared" si="37"/>
        <v>0</v>
      </c>
      <c r="BF100" s="260">
        <f t="shared" si="40"/>
        <v>0</v>
      </c>
      <c r="BG100" s="325"/>
    </row>
    <row r="101" spans="2:59">
      <c r="B101" s="321"/>
      <c r="C101" s="148"/>
      <c r="D101" s="123"/>
      <c r="E101" s="148"/>
      <c r="F101" s="185"/>
      <c r="G101" s="193"/>
      <c r="H101" s="193"/>
      <c r="I101" s="124"/>
      <c r="J101" s="163"/>
      <c r="K101" s="170"/>
      <c r="L101" s="159"/>
      <c r="M101" s="194"/>
      <c r="N101" s="194"/>
      <c r="O101" s="159"/>
      <c r="P101" s="159"/>
      <c r="Q101" s="159"/>
      <c r="R101" s="122"/>
      <c r="S101" s="159"/>
      <c r="T101" s="122"/>
      <c r="U101" s="189"/>
      <c r="V101" s="189"/>
      <c r="W101" s="189"/>
      <c r="X101" s="189"/>
      <c r="Y101" s="189"/>
      <c r="Z101" s="189"/>
      <c r="AA101" s="123"/>
      <c r="AB101" s="123"/>
      <c r="AC101" s="123"/>
      <c r="AD101" s="189"/>
      <c r="AE101" s="123"/>
      <c r="AF101" s="189"/>
      <c r="AG101" s="163"/>
      <c r="AH101" s="189"/>
      <c r="AI101" s="189"/>
      <c r="AJ101" s="189"/>
      <c r="AK101" s="189"/>
      <c r="AL101" s="189"/>
      <c r="AM101" s="123"/>
      <c r="AN101" s="189"/>
      <c r="AO101" s="189"/>
      <c r="AP101" s="188"/>
      <c r="AQ101" s="188"/>
      <c r="AR101" s="188"/>
      <c r="AS101" s="27"/>
      <c r="AT101" s="27"/>
      <c r="AU101" s="27"/>
      <c r="AV101" s="27"/>
      <c r="AW101" s="121"/>
      <c r="AX101" s="135"/>
      <c r="AY101" s="323"/>
      <c r="AZ101" s="328"/>
      <c r="BA101" s="6"/>
      <c r="BC101" s="260">
        <f t="shared" si="38"/>
        <v>1</v>
      </c>
      <c r="BD101" s="261">
        <f t="shared" si="39"/>
        <v>10</v>
      </c>
      <c r="BE101" s="261">
        <f t="shared" si="37"/>
        <v>0</v>
      </c>
      <c r="BF101" s="260">
        <f t="shared" si="40"/>
        <v>0</v>
      </c>
      <c r="BG101" s="325"/>
    </row>
    <row r="102" spans="2:59" ht="12.75" customHeight="1">
      <c r="B102" s="321"/>
      <c r="C102" s="148"/>
      <c r="D102" s="123"/>
      <c r="E102" s="148"/>
      <c r="F102" s="185"/>
      <c r="G102" s="193"/>
      <c r="H102" s="193"/>
      <c r="I102" s="124"/>
      <c r="J102" s="163"/>
      <c r="K102" s="170"/>
      <c r="L102" s="159"/>
      <c r="M102" s="194"/>
      <c r="N102" s="194"/>
      <c r="O102" s="159"/>
      <c r="P102" s="159"/>
      <c r="Q102" s="159"/>
      <c r="R102" s="122"/>
      <c r="S102" s="159"/>
      <c r="T102" s="122"/>
      <c r="U102" s="189"/>
      <c r="V102" s="189"/>
      <c r="W102" s="189"/>
      <c r="X102" s="189"/>
      <c r="Y102" s="189"/>
      <c r="Z102" s="189"/>
      <c r="AA102" s="123"/>
      <c r="AB102" s="123"/>
      <c r="AC102" s="123"/>
      <c r="AD102" s="189"/>
      <c r="AE102" s="123"/>
      <c r="AF102" s="189"/>
      <c r="AG102" s="163"/>
      <c r="AH102" s="189"/>
      <c r="AI102" s="189"/>
      <c r="AJ102" s="189"/>
      <c r="AK102" s="189"/>
      <c r="AL102" s="189"/>
      <c r="AM102" s="123"/>
      <c r="AN102" s="189"/>
      <c r="AO102" s="189"/>
      <c r="AP102" s="188"/>
      <c r="AQ102" s="188"/>
      <c r="AR102" s="188"/>
      <c r="AS102" s="27"/>
      <c r="AT102" s="27"/>
      <c r="AU102" s="27"/>
      <c r="AV102" s="27"/>
      <c r="AW102" s="121"/>
      <c r="AX102" s="135"/>
      <c r="AY102" s="323"/>
      <c r="AZ102" s="328"/>
      <c r="BA102" s="6"/>
      <c r="BC102" s="260">
        <f t="shared" si="38"/>
        <v>1</v>
      </c>
      <c r="BD102" s="261">
        <f t="shared" si="39"/>
        <v>10</v>
      </c>
      <c r="BE102" s="261">
        <f t="shared" si="37"/>
        <v>0</v>
      </c>
      <c r="BF102" s="260">
        <f t="shared" si="40"/>
        <v>0</v>
      </c>
      <c r="BG102" s="325"/>
    </row>
    <row r="103" spans="2:59">
      <c r="B103" s="321"/>
      <c r="C103" s="148"/>
      <c r="D103" s="123"/>
      <c r="E103" s="148"/>
      <c r="F103" s="185"/>
      <c r="G103" s="193"/>
      <c r="H103" s="193"/>
      <c r="I103" s="124"/>
      <c r="J103" s="163"/>
      <c r="K103" s="170"/>
      <c r="L103" s="159"/>
      <c r="M103" s="194"/>
      <c r="N103" s="194"/>
      <c r="O103" s="159"/>
      <c r="P103" s="159"/>
      <c r="Q103" s="159"/>
      <c r="R103" s="122"/>
      <c r="S103" s="159"/>
      <c r="T103" s="122"/>
      <c r="U103" s="189"/>
      <c r="V103" s="189"/>
      <c r="W103" s="189"/>
      <c r="X103" s="189"/>
      <c r="Y103" s="189"/>
      <c r="Z103" s="189"/>
      <c r="AA103" s="123"/>
      <c r="AB103" s="123"/>
      <c r="AC103" s="123"/>
      <c r="AD103" s="189"/>
      <c r="AE103" s="123"/>
      <c r="AF103" s="189"/>
      <c r="AG103" s="163"/>
      <c r="AH103" s="189"/>
      <c r="AI103" s="189"/>
      <c r="AJ103" s="189"/>
      <c r="AK103" s="189"/>
      <c r="AL103" s="189"/>
      <c r="AM103" s="123"/>
      <c r="AN103" s="189"/>
      <c r="AO103" s="189"/>
      <c r="AP103" s="188"/>
      <c r="AQ103" s="188"/>
      <c r="AR103" s="188"/>
      <c r="AS103" s="27"/>
      <c r="AT103" s="27"/>
      <c r="AU103" s="27"/>
      <c r="AV103" s="27"/>
      <c r="AW103" s="121"/>
      <c r="AX103" s="135"/>
      <c r="AY103" s="323"/>
      <c r="AZ103" s="328"/>
      <c r="BA103" s="6"/>
      <c r="BC103" s="260">
        <f t="shared" si="38"/>
        <v>1</v>
      </c>
      <c r="BD103" s="261">
        <f t="shared" si="39"/>
        <v>10</v>
      </c>
      <c r="BE103" s="261">
        <f t="shared" si="37"/>
        <v>0</v>
      </c>
      <c r="BF103" s="260">
        <f t="shared" si="40"/>
        <v>0</v>
      </c>
      <c r="BG103" s="325"/>
    </row>
    <row r="104" spans="2:59">
      <c r="B104" s="321"/>
      <c r="C104" s="148"/>
      <c r="D104" s="123"/>
      <c r="E104" s="148"/>
      <c r="F104" s="185"/>
      <c r="G104" s="193"/>
      <c r="H104" s="193"/>
      <c r="I104" s="124"/>
      <c r="J104" s="163"/>
      <c r="K104" s="170"/>
      <c r="L104" s="159"/>
      <c r="M104" s="194"/>
      <c r="N104" s="194"/>
      <c r="O104" s="159"/>
      <c r="P104" s="159"/>
      <c r="Q104" s="159"/>
      <c r="R104" s="122"/>
      <c r="S104" s="159"/>
      <c r="T104" s="122"/>
      <c r="U104" s="189"/>
      <c r="V104" s="189"/>
      <c r="W104" s="189"/>
      <c r="X104" s="189"/>
      <c r="Y104" s="189"/>
      <c r="Z104" s="189"/>
      <c r="AA104" s="123"/>
      <c r="AB104" s="123"/>
      <c r="AC104" s="123"/>
      <c r="AD104" s="189"/>
      <c r="AE104" s="123"/>
      <c r="AF104" s="189"/>
      <c r="AG104" s="163"/>
      <c r="AH104" s="189"/>
      <c r="AI104" s="189"/>
      <c r="AJ104" s="189"/>
      <c r="AK104" s="189"/>
      <c r="AL104" s="189"/>
      <c r="AM104" s="123"/>
      <c r="AN104" s="189"/>
      <c r="AO104" s="189"/>
      <c r="AP104" s="188"/>
      <c r="AQ104" s="188"/>
      <c r="AR104" s="188"/>
      <c r="AS104" s="27"/>
      <c r="AT104" s="27"/>
      <c r="AU104" s="27"/>
      <c r="AV104" s="27"/>
      <c r="AW104" s="121"/>
      <c r="AX104" s="135"/>
      <c r="AY104" s="323"/>
      <c r="AZ104" s="328"/>
      <c r="BA104" s="6"/>
      <c r="BC104" s="260">
        <f t="shared" si="38"/>
        <v>1</v>
      </c>
      <c r="BD104" s="261">
        <f t="shared" si="39"/>
        <v>10</v>
      </c>
      <c r="BE104" s="261">
        <f t="shared" si="37"/>
        <v>0</v>
      </c>
      <c r="BF104" s="260">
        <f t="shared" si="40"/>
        <v>0</v>
      </c>
      <c r="BG104" s="325"/>
    </row>
    <row r="105" spans="2:59">
      <c r="B105" s="321"/>
      <c r="C105" s="148"/>
      <c r="D105" s="123"/>
      <c r="E105" s="148"/>
      <c r="F105" s="185"/>
      <c r="G105" s="193"/>
      <c r="H105" s="193"/>
      <c r="I105" s="124"/>
      <c r="J105" s="163"/>
      <c r="K105" s="170"/>
      <c r="L105" s="159"/>
      <c r="M105" s="194"/>
      <c r="N105" s="194"/>
      <c r="O105" s="159"/>
      <c r="P105" s="159"/>
      <c r="Q105" s="159"/>
      <c r="R105" s="122"/>
      <c r="S105" s="159"/>
      <c r="T105" s="122"/>
      <c r="U105" s="189"/>
      <c r="V105" s="189"/>
      <c r="W105" s="189"/>
      <c r="X105" s="189"/>
      <c r="Y105" s="189"/>
      <c r="Z105" s="189"/>
      <c r="AA105" s="123"/>
      <c r="AB105" s="123"/>
      <c r="AC105" s="123"/>
      <c r="AD105" s="189"/>
      <c r="AE105" s="123"/>
      <c r="AF105" s="189"/>
      <c r="AG105" s="163"/>
      <c r="AH105" s="189"/>
      <c r="AI105" s="189"/>
      <c r="AJ105" s="189"/>
      <c r="AK105" s="189"/>
      <c r="AL105" s="189"/>
      <c r="AM105" s="123"/>
      <c r="AN105" s="189"/>
      <c r="AO105" s="189"/>
      <c r="AP105" s="188"/>
      <c r="AQ105" s="188"/>
      <c r="AR105" s="188"/>
      <c r="AS105" s="27"/>
      <c r="AT105" s="27"/>
      <c r="AU105" s="27"/>
      <c r="AV105" s="27"/>
      <c r="AW105" s="121"/>
      <c r="AX105" s="135"/>
      <c r="AY105" s="323"/>
      <c r="AZ105" s="328"/>
      <c r="BA105" s="6"/>
      <c r="BC105" s="260">
        <f t="shared" si="38"/>
        <v>1</v>
      </c>
      <c r="BD105" s="261">
        <f t="shared" si="39"/>
        <v>10</v>
      </c>
      <c r="BE105" s="261">
        <f t="shared" si="37"/>
        <v>0</v>
      </c>
      <c r="BF105" s="260">
        <f t="shared" si="40"/>
        <v>0</v>
      </c>
      <c r="BG105" s="325"/>
    </row>
    <row r="106" spans="2:59">
      <c r="B106" s="321"/>
      <c r="C106" s="148"/>
      <c r="D106" s="123"/>
      <c r="E106" s="148"/>
      <c r="F106" s="185"/>
      <c r="G106" s="193"/>
      <c r="H106" s="193"/>
      <c r="I106" s="124"/>
      <c r="J106" s="163"/>
      <c r="K106" s="170"/>
      <c r="L106" s="159"/>
      <c r="M106" s="194"/>
      <c r="N106" s="194"/>
      <c r="O106" s="159"/>
      <c r="P106" s="159"/>
      <c r="Q106" s="159"/>
      <c r="R106" s="122"/>
      <c r="S106" s="159"/>
      <c r="T106" s="122"/>
      <c r="U106" s="189"/>
      <c r="V106" s="189"/>
      <c r="W106" s="189"/>
      <c r="X106" s="189"/>
      <c r="Y106" s="189"/>
      <c r="Z106" s="189"/>
      <c r="AA106" s="123"/>
      <c r="AB106" s="123"/>
      <c r="AC106" s="123"/>
      <c r="AD106" s="189"/>
      <c r="AE106" s="123"/>
      <c r="AF106" s="189"/>
      <c r="AG106" s="163"/>
      <c r="AH106" s="189"/>
      <c r="AI106" s="189"/>
      <c r="AJ106" s="189"/>
      <c r="AK106" s="189"/>
      <c r="AL106" s="189"/>
      <c r="AM106" s="123"/>
      <c r="AN106" s="189"/>
      <c r="AO106" s="189"/>
      <c r="AP106" s="188"/>
      <c r="AQ106" s="188"/>
      <c r="AR106" s="188"/>
      <c r="AS106" s="27"/>
      <c r="AT106" s="27"/>
      <c r="AU106" s="27"/>
      <c r="AV106" s="27"/>
      <c r="AW106" s="121"/>
      <c r="AX106" s="135"/>
      <c r="AY106" s="323"/>
      <c r="AZ106" s="328"/>
      <c r="BA106" s="6"/>
      <c r="BC106" s="260">
        <f t="shared" si="38"/>
        <v>1</v>
      </c>
      <c r="BD106" s="261">
        <f t="shared" si="39"/>
        <v>10</v>
      </c>
      <c r="BE106" s="261">
        <f t="shared" si="37"/>
        <v>0</v>
      </c>
      <c r="BF106" s="260">
        <f t="shared" si="40"/>
        <v>0</v>
      </c>
      <c r="BG106" s="325"/>
    </row>
    <row r="107" spans="2:59">
      <c r="B107" s="321"/>
      <c r="C107" s="148"/>
      <c r="D107" s="123"/>
      <c r="E107" s="148"/>
      <c r="F107" s="185"/>
      <c r="G107" s="193"/>
      <c r="H107" s="193"/>
      <c r="I107" s="124"/>
      <c r="J107" s="163"/>
      <c r="K107" s="170"/>
      <c r="L107" s="159"/>
      <c r="M107" s="194"/>
      <c r="N107" s="194"/>
      <c r="O107" s="159"/>
      <c r="P107" s="159"/>
      <c r="Q107" s="159"/>
      <c r="R107" s="122"/>
      <c r="S107" s="159"/>
      <c r="T107" s="122"/>
      <c r="U107" s="189"/>
      <c r="V107" s="189"/>
      <c r="W107" s="189"/>
      <c r="X107" s="189"/>
      <c r="Y107" s="189"/>
      <c r="Z107" s="189"/>
      <c r="AA107" s="123"/>
      <c r="AB107" s="123"/>
      <c r="AC107" s="123"/>
      <c r="AD107" s="189"/>
      <c r="AE107" s="123"/>
      <c r="AF107" s="189"/>
      <c r="AG107" s="163"/>
      <c r="AH107" s="189"/>
      <c r="AI107" s="189"/>
      <c r="AJ107" s="189"/>
      <c r="AK107" s="189"/>
      <c r="AL107" s="189"/>
      <c r="AM107" s="123"/>
      <c r="AN107" s="189"/>
      <c r="AO107" s="189"/>
      <c r="AP107" s="188"/>
      <c r="AQ107" s="188"/>
      <c r="AR107" s="188"/>
      <c r="AS107" s="27"/>
      <c r="AT107" s="27"/>
      <c r="AU107" s="27"/>
      <c r="AV107" s="27"/>
      <c r="AW107" s="121"/>
      <c r="AX107" s="135"/>
      <c r="AY107" s="323"/>
      <c r="AZ107" s="328"/>
      <c r="BA107" s="6"/>
      <c r="BC107" s="260">
        <f t="shared" si="38"/>
        <v>1</v>
      </c>
      <c r="BD107" s="261">
        <f t="shared" si="39"/>
        <v>10</v>
      </c>
      <c r="BE107" s="261">
        <f t="shared" si="37"/>
        <v>0</v>
      </c>
      <c r="BF107" s="260">
        <f t="shared" si="40"/>
        <v>0</v>
      </c>
      <c r="BG107" s="325"/>
    </row>
    <row r="108" spans="2:59">
      <c r="B108" s="321"/>
      <c r="C108" s="148"/>
      <c r="D108" s="123"/>
      <c r="E108" s="148"/>
      <c r="F108" s="185"/>
      <c r="G108" s="193"/>
      <c r="H108" s="193"/>
      <c r="I108" s="124"/>
      <c r="J108" s="163"/>
      <c r="K108" s="170"/>
      <c r="L108" s="159"/>
      <c r="M108" s="194"/>
      <c r="N108" s="194"/>
      <c r="O108" s="159"/>
      <c r="P108" s="159"/>
      <c r="Q108" s="159"/>
      <c r="R108" s="122"/>
      <c r="S108" s="159"/>
      <c r="T108" s="122"/>
      <c r="U108" s="189"/>
      <c r="V108" s="189"/>
      <c r="W108" s="189"/>
      <c r="X108" s="189"/>
      <c r="Y108" s="189"/>
      <c r="Z108" s="189"/>
      <c r="AA108" s="123"/>
      <c r="AB108" s="123"/>
      <c r="AC108" s="123"/>
      <c r="AD108" s="189"/>
      <c r="AE108" s="123"/>
      <c r="AF108" s="189"/>
      <c r="AG108" s="163"/>
      <c r="AH108" s="189"/>
      <c r="AI108" s="189"/>
      <c r="AJ108" s="189"/>
      <c r="AK108" s="189"/>
      <c r="AL108" s="189"/>
      <c r="AM108" s="123"/>
      <c r="AN108" s="189"/>
      <c r="AO108" s="189"/>
      <c r="AP108" s="188"/>
      <c r="AQ108" s="188"/>
      <c r="AR108" s="188"/>
      <c r="AS108" s="27"/>
      <c r="AT108" s="27"/>
      <c r="AU108" s="27"/>
      <c r="AV108" s="27"/>
      <c r="AW108" s="121"/>
      <c r="AX108" s="135"/>
      <c r="AY108" s="323"/>
      <c r="AZ108" s="328"/>
      <c r="BA108" s="6"/>
      <c r="BC108" s="260">
        <f t="shared" si="38"/>
        <v>1</v>
      </c>
      <c r="BD108" s="261">
        <f t="shared" si="39"/>
        <v>10</v>
      </c>
      <c r="BE108" s="261">
        <f t="shared" si="37"/>
        <v>0</v>
      </c>
      <c r="BF108" s="260">
        <f t="shared" si="40"/>
        <v>0</v>
      </c>
      <c r="BG108" s="325"/>
    </row>
    <row r="109" spans="2:59">
      <c r="B109" s="321"/>
      <c r="C109" s="148"/>
      <c r="D109" s="123"/>
      <c r="E109" s="148"/>
      <c r="F109" s="185"/>
      <c r="G109" s="193"/>
      <c r="H109" s="193"/>
      <c r="I109" s="124"/>
      <c r="J109" s="163"/>
      <c r="K109" s="170"/>
      <c r="L109" s="159"/>
      <c r="M109" s="194"/>
      <c r="N109" s="194"/>
      <c r="O109" s="159"/>
      <c r="P109" s="159"/>
      <c r="Q109" s="159"/>
      <c r="R109" s="122"/>
      <c r="S109" s="159"/>
      <c r="T109" s="122"/>
      <c r="U109" s="189"/>
      <c r="V109" s="189"/>
      <c r="W109" s="189"/>
      <c r="X109" s="189"/>
      <c r="Y109" s="189"/>
      <c r="Z109" s="189"/>
      <c r="AA109" s="123"/>
      <c r="AB109" s="123"/>
      <c r="AC109" s="123"/>
      <c r="AD109" s="189"/>
      <c r="AE109" s="123"/>
      <c r="AF109" s="189"/>
      <c r="AG109" s="163"/>
      <c r="AH109" s="189"/>
      <c r="AI109" s="189"/>
      <c r="AJ109" s="189"/>
      <c r="AK109" s="189"/>
      <c r="AL109" s="189"/>
      <c r="AM109" s="123"/>
      <c r="AN109" s="189"/>
      <c r="AO109" s="189"/>
      <c r="AP109" s="188"/>
      <c r="AQ109" s="188"/>
      <c r="AR109" s="188"/>
      <c r="AS109" s="27"/>
      <c r="AT109" s="27"/>
      <c r="AU109" s="27"/>
      <c r="AV109" s="27"/>
      <c r="AW109" s="121"/>
      <c r="AX109" s="135"/>
      <c r="AY109" s="323"/>
      <c r="AZ109" s="141"/>
      <c r="BA109" s="6"/>
      <c r="BC109" s="260">
        <f t="shared" si="38"/>
        <v>1</v>
      </c>
      <c r="BD109" s="261">
        <f t="shared" si="39"/>
        <v>10</v>
      </c>
      <c r="BE109" s="261">
        <f t="shared" si="37"/>
        <v>0</v>
      </c>
      <c r="BF109" s="260">
        <f t="shared" si="40"/>
        <v>0</v>
      </c>
      <c r="BG109" s="325"/>
    </row>
    <row r="110" spans="2:59">
      <c r="B110" s="321"/>
      <c r="C110" s="148"/>
      <c r="D110" s="123"/>
      <c r="E110" s="148"/>
      <c r="F110" s="185"/>
      <c r="G110" s="193"/>
      <c r="H110" s="193"/>
      <c r="I110" s="124"/>
      <c r="J110" s="163"/>
      <c r="K110" s="170"/>
      <c r="L110" s="159"/>
      <c r="M110" s="194"/>
      <c r="N110" s="194"/>
      <c r="O110" s="159"/>
      <c r="P110" s="159"/>
      <c r="Q110" s="159"/>
      <c r="R110" s="122"/>
      <c r="S110" s="159"/>
      <c r="T110" s="122"/>
      <c r="U110" s="189"/>
      <c r="V110" s="189"/>
      <c r="W110" s="189"/>
      <c r="X110" s="189"/>
      <c r="Y110" s="189"/>
      <c r="Z110" s="189"/>
      <c r="AA110" s="123"/>
      <c r="AB110" s="123"/>
      <c r="AC110" s="123"/>
      <c r="AD110" s="189"/>
      <c r="AE110" s="123"/>
      <c r="AF110" s="189"/>
      <c r="AG110" s="163"/>
      <c r="AH110" s="189"/>
      <c r="AI110" s="189"/>
      <c r="AJ110" s="189"/>
      <c r="AK110" s="189"/>
      <c r="AL110" s="189"/>
      <c r="AM110" s="123"/>
      <c r="AN110" s="189"/>
      <c r="AO110" s="189"/>
      <c r="AP110" s="188"/>
      <c r="AQ110" s="188"/>
      <c r="AR110" s="188"/>
      <c r="AS110" s="27"/>
      <c r="AT110" s="27"/>
      <c r="AU110" s="27"/>
      <c r="AV110" s="27"/>
      <c r="AW110" s="121"/>
      <c r="AX110" s="135"/>
      <c r="AY110" s="323"/>
      <c r="AZ110" s="141"/>
      <c r="BA110" s="6"/>
      <c r="BC110" s="260">
        <f t="shared" si="38"/>
        <v>1</v>
      </c>
      <c r="BD110" s="261">
        <f t="shared" si="39"/>
        <v>10</v>
      </c>
      <c r="BE110" s="261">
        <f t="shared" si="37"/>
        <v>0</v>
      </c>
      <c r="BF110" s="260">
        <f t="shared" si="40"/>
        <v>0</v>
      </c>
      <c r="BG110" s="325"/>
    </row>
    <row r="111" spans="2:59">
      <c r="B111" s="321"/>
      <c r="C111" s="148"/>
      <c r="D111" s="123"/>
      <c r="E111" s="148"/>
      <c r="F111" s="185"/>
      <c r="G111" s="193"/>
      <c r="H111" s="193"/>
      <c r="I111" s="124"/>
      <c r="J111" s="163"/>
      <c r="K111" s="170"/>
      <c r="L111" s="159"/>
      <c r="M111" s="194"/>
      <c r="N111" s="194"/>
      <c r="O111" s="159"/>
      <c r="P111" s="159"/>
      <c r="Q111" s="159"/>
      <c r="R111" s="122"/>
      <c r="S111" s="159"/>
      <c r="T111" s="122"/>
      <c r="U111" s="189"/>
      <c r="V111" s="189"/>
      <c r="W111" s="189"/>
      <c r="X111" s="189"/>
      <c r="Y111" s="189"/>
      <c r="Z111" s="189"/>
      <c r="AA111" s="123"/>
      <c r="AB111" s="123"/>
      <c r="AC111" s="123"/>
      <c r="AD111" s="189"/>
      <c r="AE111" s="123"/>
      <c r="AF111" s="189"/>
      <c r="AG111" s="163"/>
      <c r="AH111" s="189"/>
      <c r="AI111" s="189"/>
      <c r="AJ111" s="189"/>
      <c r="AK111" s="189"/>
      <c r="AL111" s="189"/>
      <c r="AM111" s="123"/>
      <c r="AN111" s="189"/>
      <c r="AO111" s="189"/>
      <c r="AP111" s="188"/>
      <c r="AQ111" s="188"/>
      <c r="AR111" s="188"/>
      <c r="AS111" s="27"/>
      <c r="AT111" s="27"/>
      <c r="AU111" s="27"/>
      <c r="AV111" s="27"/>
      <c r="AW111" s="121"/>
      <c r="AX111" s="135"/>
      <c r="AY111" s="324"/>
      <c r="AZ111" s="141"/>
      <c r="BA111" s="6"/>
      <c r="BC111" s="260">
        <f t="shared" si="38"/>
        <v>1</v>
      </c>
      <c r="BD111" s="261">
        <f t="shared" si="39"/>
        <v>10</v>
      </c>
      <c r="BE111" s="261">
        <f t="shared" si="37"/>
        <v>0</v>
      </c>
      <c r="BF111" s="260">
        <f t="shared" si="40"/>
        <v>0</v>
      </c>
      <c r="BG111" s="325"/>
    </row>
    <row r="112" spans="2:59" ht="12.75" customHeight="1">
      <c r="B112" s="321"/>
      <c r="C112" s="148"/>
      <c r="D112" s="123"/>
      <c r="E112" s="148"/>
      <c r="F112" s="185"/>
      <c r="G112" s="193"/>
      <c r="H112" s="193"/>
      <c r="I112" s="124"/>
      <c r="J112" s="163"/>
      <c r="K112" s="170"/>
      <c r="L112" s="159"/>
      <c r="M112" s="194"/>
      <c r="N112" s="194"/>
      <c r="O112" s="159"/>
      <c r="P112" s="159"/>
      <c r="Q112" s="159"/>
      <c r="R112" s="122"/>
      <c r="S112" s="159"/>
      <c r="T112" s="122"/>
      <c r="U112" s="189"/>
      <c r="V112" s="189"/>
      <c r="W112" s="189"/>
      <c r="X112" s="189"/>
      <c r="Y112" s="189"/>
      <c r="Z112" s="189"/>
      <c r="AA112" s="123"/>
      <c r="AB112" s="123"/>
      <c r="AC112" s="123"/>
      <c r="AD112" s="189"/>
      <c r="AE112" s="123"/>
      <c r="AF112" s="189"/>
      <c r="AG112" s="163"/>
      <c r="AH112" s="189"/>
      <c r="AI112" s="189"/>
      <c r="AJ112" s="189"/>
      <c r="AK112" s="189"/>
      <c r="AL112" s="189"/>
      <c r="AM112" s="123"/>
      <c r="AN112" s="189"/>
      <c r="AO112" s="189"/>
      <c r="AP112" s="188"/>
      <c r="AQ112" s="188"/>
      <c r="AR112" s="188"/>
      <c r="AS112" s="27"/>
      <c r="AT112" s="27"/>
      <c r="AU112" s="27"/>
      <c r="AV112" s="27"/>
      <c r="AW112" s="121"/>
      <c r="AX112" s="135"/>
      <c r="AY112" s="322">
        <f>SUM(AX112:AX115)</f>
        <v>0</v>
      </c>
      <c r="AZ112" s="130"/>
      <c r="BC112" s="260">
        <f t="shared" si="38"/>
        <v>1</v>
      </c>
      <c r="BD112" s="261">
        <f t="shared" si="39"/>
        <v>10</v>
      </c>
      <c r="BE112" s="261">
        <f t="shared" si="37"/>
        <v>0</v>
      </c>
      <c r="BF112" s="260">
        <f t="shared" si="40"/>
        <v>0</v>
      </c>
      <c r="BG112" s="325"/>
    </row>
    <row r="113" spans="2:68">
      <c r="B113" s="321"/>
      <c r="C113" s="148"/>
      <c r="D113" s="123"/>
      <c r="E113" s="148"/>
      <c r="F113" s="185"/>
      <c r="G113" s="193"/>
      <c r="H113" s="193"/>
      <c r="I113" s="124"/>
      <c r="J113" s="163"/>
      <c r="K113" s="170"/>
      <c r="L113" s="159"/>
      <c r="M113" s="194"/>
      <c r="N113" s="194"/>
      <c r="O113" s="159"/>
      <c r="P113" s="159"/>
      <c r="Q113" s="159"/>
      <c r="R113" s="122"/>
      <c r="S113" s="159"/>
      <c r="T113" s="122"/>
      <c r="U113" s="189"/>
      <c r="V113" s="189"/>
      <c r="W113" s="189"/>
      <c r="X113" s="189"/>
      <c r="Y113" s="189"/>
      <c r="Z113" s="189"/>
      <c r="AA113" s="123"/>
      <c r="AB113" s="123"/>
      <c r="AC113" s="123"/>
      <c r="AD113" s="189"/>
      <c r="AE113" s="123"/>
      <c r="AF113" s="189"/>
      <c r="AG113" s="163"/>
      <c r="AH113" s="189"/>
      <c r="AI113" s="189"/>
      <c r="AJ113" s="189"/>
      <c r="AK113" s="189"/>
      <c r="AL113" s="189"/>
      <c r="AM113" s="123"/>
      <c r="AN113" s="189"/>
      <c r="AO113" s="189"/>
      <c r="AP113" s="188"/>
      <c r="AQ113" s="188"/>
      <c r="AR113" s="188"/>
      <c r="AS113" s="27"/>
      <c r="AT113" s="27"/>
      <c r="AU113" s="27"/>
      <c r="AV113" s="27"/>
      <c r="AW113" s="121"/>
      <c r="AX113" s="135"/>
      <c r="AY113" s="323"/>
      <c r="AZ113" s="130"/>
      <c r="BC113" s="260">
        <f t="shared" si="38"/>
        <v>1</v>
      </c>
      <c r="BD113" s="261">
        <f t="shared" si="39"/>
        <v>10</v>
      </c>
      <c r="BE113" s="261">
        <f t="shared" si="37"/>
        <v>0</v>
      </c>
      <c r="BF113" s="260">
        <f t="shared" si="40"/>
        <v>0</v>
      </c>
      <c r="BG113" s="325"/>
    </row>
    <row r="114" spans="2:68" ht="12.75" customHeight="1">
      <c r="B114" s="321"/>
      <c r="C114" s="148"/>
      <c r="D114" s="123"/>
      <c r="E114" s="148"/>
      <c r="F114" s="185"/>
      <c r="G114" s="193"/>
      <c r="H114" s="193"/>
      <c r="I114" s="124"/>
      <c r="J114" s="163"/>
      <c r="K114" s="170"/>
      <c r="L114" s="159"/>
      <c r="M114" s="194"/>
      <c r="N114" s="194"/>
      <c r="O114" s="159"/>
      <c r="P114" s="159"/>
      <c r="Q114" s="159"/>
      <c r="R114" s="122"/>
      <c r="S114" s="159"/>
      <c r="T114" s="122"/>
      <c r="U114" s="189"/>
      <c r="V114" s="189"/>
      <c r="W114" s="189"/>
      <c r="X114" s="189"/>
      <c r="Y114" s="189"/>
      <c r="Z114" s="189"/>
      <c r="AA114" s="123"/>
      <c r="AB114" s="123"/>
      <c r="AC114" s="123"/>
      <c r="AD114" s="189"/>
      <c r="AE114" s="123"/>
      <c r="AF114" s="189"/>
      <c r="AG114" s="163"/>
      <c r="AH114" s="189"/>
      <c r="AI114" s="189"/>
      <c r="AJ114" s="189"/>
      <c r="AK114" s="189"/>
      <c r="AL114" s="189"/>
      <c r="AM114" s="123"/>
      <c r="AN114" s="189"/>
      <c r="AO114" s="189"/>
      <c r="AP114" s="188"/>
      <c r="AQ114" s="188"/>
      <c r="AR114" s="188"/>
      <c r="AS114" s="27"/>
      <c r="AT114" s="27"/>
      <c r="AU114" s="27"/>
      <c r="AV114" s="27"/>
      <c r="AW114" s="121"/>
      <c r="AX114" s="135"/>
      <c r="AY114" s="323"/>
      <c r="AZ114" s="130"/>
      <c r="BC114" s="260">
        <f t="shared" si="38"/>
        <v>1</v>
      </c>
      <c r="BD114" s="261">
        <f t="shared" si="39"/>
        <v>10</v>
      </c>
      <c r="BE114" s="261">
        <f t="shared" si="37"/>
        <v>0</v>
      </c>
      <c r="BF114" s="260">
        <f t="shared" si="40"/>
        <v>0</v>
      </c>
      <c r="BG114" s="325"/>
    </row>
    <row r="115" spans="2:68">
      <c r="B115" s="197"/>
      <c r="C115" s="148"/>
      <c r="D115" s="123"/>
      <c r="E115" s="148"/>
      <c r="F115" s="185"/>
      <c r="G115" s="193"/>
      <c r="H115" s="193"/>
      <c r="I115" s="124"/>
      <c r="J115" s="163"/>
      <c r="K115" s="170"/>
      <c r="L115" s="159"/>
      <c r="M115" s="194"/>
      <c r="N115" s="194"/>
      <c r="O115" s="159"/>
      <c r="P115" s="159"/>
      <c r="Q115" s="159"/>
      <c r="R115" s="122"/>
      <c r="S115" s="159"/>
      <c r="T115" s="122"/>
      <c r="U115" s="189"/>
      <c r="V115" s="189"/>
      <c r="W115" s="189"/>
      <c r="X115" s="189"/>
      <c r="Y115" s="189"/>
      <c r="Z115" s="189"/>
      <c r="AA115" s="123"/>
      <c r="AB115" s="123"/>
      <c r="AC115" s="123"/>
      <c r="AD115" s="189"/>
      <c r="AE115" s="123"/>
      <c r="AF115" s="189"/>
      <c r="AG115" s="163"/>
      <c r="AH115" s="189"/>
      <c r="AI115" s="189"/>
      <c r="AJ115" s="189"/>
      <c r="AK115" s="189"/>
      <c r="AL115" s="189"/>
      <c r="AM115" s="123"/>
      <c r="AN115" s="189"/>
      <c r="AO115" s="189"/>
      <c r="AP115" s="188"/>
      <c r="AQ115" s="188"/>
      <c r="AR115" s="188"/>
      <c r="AS115" s="27"/>
      <c r="AT115" s="27"/>
      <c r="AU115" s="27"/>
      <c r="AV115" s="27"/>
      <c r="AW115" s="121"/>
      <c r="AX115" s="135"/>
      <c r="AY115" s="323"/>
      <c r="AZ115" s="130"/>
      <c r="BC115" s="260">
        <f t="shared" si="38"/>
        <v>1</v>
      </c>
      <c r="BD115" s="261">
        <f t="shared" si="39"/>
        <v>10</v>
      </c>
      <c r="BE115" s="261">
        <f t="shared" si="37"/>
        <v>0</v>
      </c>
      <c r="BF115" s="260">
        <f t="shared" si="40"/>
        <v>0</v>
      </c>
      <c r="BG115" s="325"/>
    </row>
    <row r="116" spans="2:68">
      <c r="B116" s="129"/>
      <c r="C116" s="97"/>
      <c r="D116" s="181"/>
      <c r="E116" s="145"/>
      <c r="F116" s="145"/>
      <c r="G116" s="119"/>
      <c r="H116" s="73"/>
      <c r="I116" s="73"/>
      <c r="J116" s="73"/>
      <c r="K116" s="156"/>
      <c r="L116" s="156"/>
      <c r="M116" s="156"/>
      <c r="N116" s="156"/>
      <c r="O116" s="156"/>
      <c r="P116" s="156"/>
      <c r="Q116" s="156"/>
      <c r="R116" s="73"/>
      <c r="S116" s="156"/>
      <c r="T116" s="73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119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73"/>
      <c r="AT116" s="73"/>
      <c r="AU116" s="73"/>
      <c r="AV116" s="73"/>
      <c r="AW116" s="73"/>
      <c r="AX116" s="99"/>
      <c r="AY116" s="139"/>
      <c r="AZ116" s="130"/>
    </row>
    <row r="117" spans="2:68">
      <c r="B117" s="129"/>
      <c r="C117" s="98"/>
      <c r="D117" s="168"/>
      <c r="E117" s="168"/>
      <c r="F117" s="178"/>
      <c r="H117" s="99"/>
      <c r="I117" s="73"/>
      <c r="J117" s="73"/>
      <c r="K117" s="156"/>
      <c r="L117" s="156"/>
      <c r="M117" s="156"/>
      <c r="N117" s="156"/>
      <c r="O117" s="156"/>
      <c r="P117" s="156"/>
      <c r="Q117" s="156"/>
      <c r="R117" s="73"/>
      <c r="S117" s="156"/>
      <c r="T117" s="73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119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73"/>
      <c r="AT117" s="73"/>
      <c r="AU117" s="73"/>
      <c r="AV117" s="73"/>
      <c r="AW117" s="73"/>
      <c r="AX117" s="99"/>
      <c r="AY117" s="139"/>
      <c r="AZ117" s="130"/>
    </row>
    <row r="118" spans="2:68">
      <c r="B118" s="129"/>
      <c r="C118" s="98"/>
      <c r="D118" s="145"/>
      <c r="E118" s="145"/>
      <c r="F118" s="145"/>
      <c r="G118" s="119"/>
      <c r="H118" s="73"/>
      <c r="I118" s="73"/>
      <c r="J118" s="73"/>
      <c r="K118" s="156"/>
      <c r="L118" s="156"/>
      <c r="M118" s="156"/>
      <c r="N118" s="156"/>
      <c r="O118" s="156"/>
      <c r="P118" s="156"/>
      <c r="Q118" s="156"/>
      <c r="R118" s="73"/>
      <c r="S118" s="156"/>
      <c r="T118" s="73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119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73"/>
      <c r="AT118" s="73"/>
      <c r="AU118" s="73"/>
      <c r="AV118" s="73"/>
      <c r="AW118" s="73"/>
      <c r="AX118" s="99"/>
      <c r="AY118" s="139"/>
      <c r="AZ118" s="130"/>
    </row>
    <row r="119" spans="2:68">
      <c r="B119" s="129"/>
      <c r="C119" s="98"/>
      <c r="D119" s="145"/>
      <c r="E119" s="145"/>
      <c r="F119" s="145"/>
      <c r="G119" s="119"/>
      <c r="H119" s="73"/>
      <c r="I119" s="73"/>
      <c r="J119" s="73"/>
      <c r="K119" s="156"/>
      <c r="L119" s="156"/>
      <c r="M119" s="156"/>
      <c r="N119" s="156"/>
      <c r="O119" s="156"/>
      <c r="P119" s="156"/>
      <c r="Q119" s="156"/>
      <c r="R119" s="73"/>
      <c r="S119" s="156"/>
      <c r="T119" s="73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119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73"/>
      <c r="AT119" s="73"/>
      <c r="AU119" s="73"/>
      <c r="AV119" s="73"/>
      <c r="AW119" s="73"/>
      <c r="AX119" s="99"/>
      <c r="AY119" s="139"/>
      <c r="AZ119" s="130"/>
    </row>
    <row r="120" spans="2:68">
      <c r="B120" s="129"/>
      <c r="C120" s="98"/>
      <c r="D120" s="145"/>
      <c r="E120" s="145"/>
      <c r="F120" s="145"/>
      <c r="G120" s="119"/>
      <c r="H120" s="73"/>
      <c r="I120" s="73"/>
      <c r="J120" s="73"/>
      <c r="K120" s="156"/>
      <c r="L120" s="156"/>
      <c r="M120" s="156"/>
      <c r="N120" s="156"/>
      <c r="O120" s="156"/>
      <c r="P120" s="156"/>
      <c r="Q120" s="156"/>
      <c r="R120" s="73"/>
      <c r="S120" s="156"/>
      <c r="T120" s="73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119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73"/>
      <c r="AT120" s="73"/>
      <c r="AU120" s="73"/>
      <c r="AV120" s="73"/>
      <c r="AW120" s="73"/>
      <c r="AX120" s="99"/>
      <c r="AY120" s="139"/>
      <c r="AZ120" s="130"/>
    </row>
    <row r="121" spans="2:68">
      <c r="B121" s="129"/>
      <c r="C121" s="98"/>
      <c r="D121" s="145"/>
      <c r="E121" s="145"/>
      <c r="F121" s="145"/>
      <c r="G121" s="119"/>
      <c r="H121" s="73"/>
      <c r="I121" s="73"/>
      <c r="J121" s="73"/>
      <c r="K121" s="156"/>
      <c r="L121" s="156"/>
      <c r="M121" s="156"/>
      <c r="N121" s="156"/>
      <c r="O121" s="156"/>
      <c r="P121" s="156"/>
      <c r="Q121" s="156"/>
      <c r="R121" s="73"/>
      <c r="S121" s="156"/>
      <c r="T121" s="73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119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73"/>
      <c r="AT121" s="73"/>
      <c r="AU121" s="73"/>
      <c r="AV121" s="73"/>
      <c r="AW121" s="73"/>
      <c r="AX121" s="99"/>
      <c r="AY121" s="139"/>
      <c r="AZ121" s="130"/>
    </row>
    <row r="122" spans="2:68" s="73" customFormat="1">
      <c r="B122" s="129"/>
      <c r="C122" s="98"/>
      <c r="D122" s="145"/>
      <c r="E122" s="145"/>
      <c r="F122" s="145"/>
      <c r="G122" s="119"/>
      <c r="K122" s="156"/>
      <c r="L122" s="156"/>
      <c r="M122" s="156"/>
      <c r="N122" s="156"/>
      <c r="O122" s="156"/>
      <c r="P122" s="156"/>
      <c r="Q122" s="156"/>
      <c r="S122" s="156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119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X122" s="99"/>
      <c r="AY122" s="139"/>
      <c r="AZ122" s="130"/>
      <c r="BB122" s="6"/>
      <c r="BC122" s="6"/>
      <c r="BD122" s="6"/>
      <c r="BE122" s="6"/>
      <c r="BF122" s="6"/>
      <c r="BG122" s="6"/>
      <c r="BN122" s="6"/>
      <c r="BO122" s="6"/>
      <c r="BP122" s="6"/>
    </row>
    <row r="123" spans="2:68" s="73" customFormat="1">
      <c r="B123" s="129"/>
      <c r="C123" s="98"/>
      <c r="D123" s="145"/>
      <c r="E123" s="145"/>
      <c r="F123" s="145"/>
      <c r="G123" s="119"/>
      <c r="K123" s="156"/>
      <c r="L123" s="156"/>
      <c r="M123" s="156"/>
      <c r="N123" s="156"/>
      <c r="O123" s="156"/>
      <c r="P123" s="156"/>
      <c r="Q123" s="156"/>
      <c r="S123" s="156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119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X123" s="99"/>
      <c r="AY123" s="139"/>
      <c r="AZ123" s="130"/>
      <c r="BB123" s="6"/>
      <c r="BC123" s="6"/>
      <c r="BD123" s="6"/>
      <c r="BE123" s="6"/>
      <c r="BF123" s="6"/>
      <c r="BG123" s="6"/>
    </row>
    <row r="124" spans="2:68" s="73" customFormat="1">
      <c r="B124" s="129"/>
      <c r="C124" s="98"/>
      <c r="D124" s="145"/>
      <c r="E124" s="145"/>
      <c r="F124" s="145"/>
      <c r="G124" s="119"/>
      <c r="K124" s="156"/>
      <c r="L124" s="156"/>
      <c r="M124" s="156"/>
      <c r="N124" s="156"/>
      <c r="O124" s="156"/>
      <c r="P124" s="156"/>
      <c r="Q124" s="156"/>
      <c r="S124" s="156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119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X124" s="99"/>
      <c r="AY124" s="139"/>
      <c r="AZ124" s="130"/>
      <c r="BB124" s="6"/>
      <c r="BC124" s="6"/>
      <c r="BD124" s="6"/>
      <c r="BE124" s="6"/>
      <c r="BF124" s="6"/>
      <c r="BG124" s="6"/>
    </row>
    <row r="125" spans="2:68" s="73" customFormat="1">
      <c r="B125" s="129"/>
      <c r="D125" s="145"/>
      <c r="E125" s="145"/>
      <c r="F125" s="145"/>
      <c r="G125" s="119"/>
      <c r="K125" s="156"/>
      <c r="L125" s="156"/>
      <c r="M125" s="156"/>
      <c r="N125" s="156"/>
      <c r="O125" s="156"/>
      <c r="P125" s="156"/>
      <c r="Q125" s="156"/>
      <c r="S125" s="156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119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X125" s="99"/>
      <c r="AY125" s="99"/>
      <c r="AZ125" s="130"/>
      <c r="BB125" s="6"/>
      <c r="BC125" s="6"/>
      <c r="BD125" s="6"/>
      <c r="BE125" s="6"/>
      <c r="BF125" s="6"/>
      <c r="BG125" s="6"/>
    </row>
    <row r="126" spans="2:68" s="73" customFormat="1">
      <c r="B126" s="129"/>
      <c r="D126" s="145"/>
      <c r="E126" s="145"/>
      <c r="F126" s="145"/>
      <c r="G126" s="119"/>
      <c r="K126" s="156"/>
      <c r="L126" s="156"/>
      <c r="M126" s="156"/>
      <c r="N126" s="156"/>
      <c r="O126" s="156"/>
      <c r="P126" s="156"/>
      <c r="Q126" s="156"/>
      <c r="S126" s="156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119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X126" s="99"/>
      <c r="AY126" s="99"/>
      <c r="AZ126" s="130"/>
      <c r="BB126" s="6"/>
      <c r="BC126" s="6"/>
      <c r="BD126" s="6"/>
      <c r="BE126" s="6"/>
      <c r="BF126" s="6"/>
      <c r="BG126" s="6"/>
    </row>
    <row r="127" spans="2:68" s="73" customFormat="1">
      <c r="B127" s="129"/>
      <c r="D127" s="145"/>
      <c r="E127" s="145"/>
      <c r="F127" s="145"/>
      <c r="G127" s="119"/>
      <c r="K127" s="156"/>
      <c r="L127" s="156"/>
      <c r="M127" s="156"/>
      <c r="N127" s="156"/>
      <c r="O127" s="156"/>
      <c r="P127" s="156"/>
      <c r="Q127" s="156"/>
      <c r="S127" s="156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119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X127" s="99"/>
      <c r="AY127" s="99"/>
      <c r="AZ127" s="130"/>
      <c r="BB127" s="6"/>
      <c r="BC127" s="6"/>
      <c r="BD127" s="6"/>
      <c r="BE127" s="6"/>
      <c r="BF127" s="6"/>
      <c r="BG127" s="6"/>
    </row>
    <row r="128" spans="2:68" s="73" customFormat="1">
      <c r="B128" s="129"/>
      <c r="D128" s="145"/>
      <c r="E128" s="145"/>
      <c r="F128" s="145"/>
      <c r="G128" s="119"/>
      <c r="K128" s="156"/>
      <c r="L128" s="156"/>
      <c r="M128" s="156"/>
      <c r="N128" s="156"/>
      <c r="O128" s="156"/>
      <c r="P128" s="156"/>
      <c r="Q128" s="156"/>
      <c r="S128" s="156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119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X128" s="99"/>
      <c r="AY128" s="99"/>
      <c r="AZ128" s="130"/>
      <c r="BB128" s="6"/>
      <c r="BC128" s="6"/>
      <c r="BD128" s="6"/>
      <c r="BE128" s="6"/>
      <c r="BF128" s="6"/>
      <c r="BG128" s="6"/>
    </row>
    <row r="129" spans="2:68" s="73" customFormat="1">
      <c r="B129" s="129"/>
      <c r="D129" s="145"/>
      <c r="E129" s="145"/>
      <c r="F129" s="145"/>
      <c r="G129" s="119"/>
      <c r="K129" s="156"/>
      <c r="L129" s="156"/>
      <c r="M129" s="156"/>
      <c r="N129" s="156"/>
      <c r="O129" s="156"/>
      <c r="P129" s="156"/>
      <c r="Q129" s="156"/>
      <c r="S129" s="156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119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X129" s="99"/>
      <c r="AY129" s="99"/>
      <c r="AZ129" s="130"/>
      <c r="BB129" s="6"/>
      <c r="BC129" s="6"/>
      <c r="BD129" s="6"/>
      <c r="BE129" s="6"/>
      <c r="BF129" s="6"/>
      <c r="BG129" s="6"/>
    </row>
    <row r="130" spans="2:68" s="73" customFormat="1">
      <c r="B130" s="129"/>
      <c r="D130" s="145"/>
      <c r="E130" s="145"/>
      <c r="F130" s="145"/>
      <c r="G130" s="119"/>
      <c r="K130" s="156"/>
      <c r="L130" s="156"/>
      <c r="M130" s="156"/>
      <c r="N130" s="156"/>
      <c r="O130" s="156"/>
      <c r="P130" s="156"/>
      <c r="Q130" s="156"/>
      <c r="S130" s="156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119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X130" s="99"/>
      <c r="AY130" s="99"/>
      <c r="AZ130" s="130"/>
      <c r="BB130" s="6"/>
      <c r="BC130" s="6"/>
      <c r="BD130" s="6"/>
      <c r="BE130" s="6"/>
      <c r="BF130" s="6"/>
      <c r="BG130" s="6"/>
    </row>
    <row r="131" spans="2:68" s="73" customFormat="1" ht="12" thickBot="1">
      <c r="B131" s="131"/>
      <c r="C131" s="132"/>
      <c r="D131" s="149"/>
      <c r="E131" s="149"/>
      <c r="F131" s="149"/>
      <c r="G131" s="164"/>
      <c r="H131" s="132"/>
      <c r="I131" s="132"/>
      <c r="J131" s="132"/>
      <c r="K131" s="160"/>
      <c r="L131" s="160"/>
      <c r="M131" s="160"/>
      <c r="N131" s="160"/>
      <c r="O131" s="160"/>
      <c r="P131" s="160"/>
      <c r="Q131" s="160"/>
      <c r="R131" s="132"/>
      <c r="S131" s="160"/>
      <c r="T131" s="132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64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32"/>
      <c r="AT131" s="132"/>
      <c r="AU131" s="132"/>
      <c r="AV131" s="132"/>
      <c r="AW131" s="132"/>
      <c r="AX131" s="136"/>
      <c r="AY131" s="136"/>
      <c r="AZ131" s="133"/>
      <c r="BB131" s="6"/>
      <c r="BC131" s="6"/>
      <c r="BD131" s="6"/>
      <c r="BE131" s="6"/>
      <c r="BF131" s="6"/>
      <c r="BG131" s="6"/>
    </row>
    <row r="132" spans="2:68">
      <c r="BN132" s="73"/>
      <c r="BO132" s="73"/>
      <c r="BP132" s="73"/>
    </row>
    <row r="133" spans="2:68" s="73" customFormat="1">
      <c r="B133" s="6"/>
      <c r="C133" s="6"/>
      <c r="D133" s="143"/>
      <c r="E133" s="143"/>
      <c r="F133" s="143"/>
      <c r="G133" s="161"/>
      <c r="H133" s="6"/>
      <c r="I133" s="6"/>
      <c r="J133" s="6"/>
      <c r="K133" s="154"/>
      <c r="L133" s="154"/>
      <c r="M133" s="154"/>
      <c r="N133" s="154"/>
      <c r="O133" s="154"/>
      <c r="P133" s="154"/>
      <c r="Q133" s="154"/>
      <c r="R133" s="6"/>
      <c r="S133" s="154"/>
      <c r="T133" s="6"/>
      <c r="U133" s="150"/>
      <c r="V133" s="150"/>
      <c r="W133" s="150"/>
      <c r="X133" s="150"/>
      <c r="Y133" s="150"/>
      <c r="Z133" s="150"/>
      <c r="AA133" s="150"/>
      <c r="AB133" s="150"/>
      <c r="AC133" s="150"/>
      <c r="AD133" s="150"/>
      <c r="AE133" s="150"/>
      <c r="AF133" s="150"/>
      <c r="AG133" s="161"/>
      <c r="AH133" s="150"/>
      <c r="AI133" s="150"/>
      <c r="AJ133" s="150"/>
      <c r="AK133" s="150"/>
      <c r="AL133" s="150"/>
      <c r="AM133" s="150"/>
      <c r="AN133" s="150"/>
      <c r="AO133" s="150"/>
      <c r="AP133" s="150"/>
      <c r="AQ133" s="150"/>
      <c r="AR133" s="150"/>
      <c r="AS133" s="6"/>
      <c r="AT133" s="6"/>
      <c r="AU133" s="6"/>
      <c r="AV133" s="6"/>
      <c r="AW133" s="6"/>
      <c r="AX133" s="45"/>
      <c r="AY133" s="45"/>
      <c r="AZ133" s="6"/>
      <c r="BB133" s="6"/>
      <c r="BC133" s="6"/>
      <c r="BD133" s="6"/>
      <c r="BE133" s="6"/>
      <c r="BF133" s="6"/>
      <c r="BG133" s="6"/>
      <c r="BN133" s="6"/>
      <c r="BO133" s="6"/>
      <c r="BP133" s="6"/>
    </row>
    <row r="134" spans="2:68" s="73" customFormat="1">
      <c r="B134" s="6"/>
      <c r="C134" s="6"/>
      <c r="D134" s="143"/>
      <c r="E134" s="143"/>
      <c r="F134" s="143"/>
      <c r="G134" s="161"/>
      <c r="H134" s="6"/>
      <c r="I134" s="6"/>
      <c r="J134" s="6"/>
      <c r="K134" s="154"/>
      <c r="L134" s="154"/>
      <c r="M134" s="154"/>
      <c r="N134" s="154"/>
      <c r="O134" s="154"/>
      <c r="P134" s="154"/>
      <c r="Q134" s="154"/>
      <c r="R134" s="6"/>
      <c r="S134" s="154"/>
      <c r="T134" s="6"/>
      <c r="U134" s="150"/>
      <c r="V134" s="150"/>
      <c r="W134" s="150"/>
      <c r="X134" s="150"/>
      <c r="Y134" s="150"/>
      <c r="Z134" s="150"/>
      <c r="AA134" s="150"/>
      <c r="AB134" s="150"/>
      <c r="AC134" s="150"/>
      <c r="AD134" s="150"/>
      <c r="AE134" s="150"/>
      <c r="AF134" s="150"/>
      <c r="AG134" s="161"/>
      <c r="AH134" s="150"/>
      <c r="AI134" s="150"/>
      <c r="AJ134" s="150"/>
      <c r="AK134" s="150"/>
      <c r="AL134" s="150"/>
      <c r="AM134" s="150"/>
      <c r="AN134" s="150"/>
      <c r="AO134" s="150"/>
      <c r="AP134" s="150"/>
      <c r="AQ134" s="150"/>
      <c r="AR134" s="150"/>
      <c r="AS134" s="6"/>
      <c r="AT134" s="6"/>
      <c r="AU134" s="6"/>
      <c r="AV134" s="6"/>
      <c r="AW134" s="6"/>
      <c r="AX134" s="45"/>
      <c r="AY134" s="45"/>
      <c r="AZ134" s="6"/>
      <c r="BB134" s="6"/>
      <c r="BC134" s="6"/>
      <c r="BD134" s="6"/>
      <c r="BE134" s="6"/>
      <c r="BF134" s="6"/>
      <c r="BG134" s="6"/>
    </row>
    <row r="135" spans="2:68" s="73" customFormat="1">
      <c r="B135" s="6"/>
      <c r="C135" s="6"/>
      <c r="D135" s="143"/>
      <c r="E135" s="143"/>
      <c r="F135" s="143"/>
      <c r="G135" s="161"/>
      <c r="H135" s="6"/>
      <c r="I135" s="6"/>
      <c r="J135" s="6"/>
      <c r="K135" s="154"/>
      <c r="L135" s="154"/>
      <c r="M135" s="154"/>
      <c r="N135" s="154"/>
      <c r="O135" s="154"/>
      <c r="P135" s="154"/>
      <c r="Q135" s="154"/>
      <c r="R135" s="6"/>
      <c r="S135" s="154"/>
      <c r="T135" s="6"/>
      <c r="U135" s="150"/>
      <c r="V135" s="150"/>
      <c r="W135" s="150"/>
      <c r="X135" s="150"/>
      <c r="Y135" s="150"/>
      <c r="Z135" s="150"/>
      <c r="AA135" s="150"/>
      <c r="AB135" s="150"/>
      <c r="AC135" s="150"/>
      <c r="AD135" s="150"/>
      <c r="AE135" s="150"/>
      <c r="AF135" s="150"/>
      <c r="AG135" s="161"/>
      <c r="AH135" s="150"/>
      <c r="AI135" s="150"/>
      <c r="AJ135" s="150"/>
      <c r="AK135" s="150"/>
      <c r="AL135" s="150"/>
      <c r="AM135" s="150"/>
      <c r="AN135" s="150"/>
      <c r="AO135" s="150"/>
      <c r="AP135" s="150"/>
      <c r="AQ135" s="150"/>
      <c r="AR135" s="150"/>
      <c r="AS135" s="6"/>
      <c r="AT135" s="6"/>
      <c r="AU135" s="6"/>
      <c r="AV135" s="6"/>
      <c r="AW135" s="6"/>
      <c r="AX135" s="45"/>
      <c r="AY135" s="45"/>
      <c r="AZ135" s="6"/>
      <c r="BB135" s="6"/>
      <c r="BC135" s="6"/>
      <c r="BD135" s="6"/>
      <c r="BE135" s="6"/>
      <c r="BF135" s="6"/>
      <c r="BG135" s="6"/>
    </row>
    <row r="136" spans="2:68" s="73" customFormat="1">
      <c r="B136" s="6"/>
      <c r="C136" s="106"/>
      <c r="D136" s="107"/>
      <c r="E136" s="183"/>
      <c r="F136" s="183"/>
      <c r="G136" s="179"/>
      <c r="H136" s="108"/>
      <c r="I136" s="109"/>
      <c r="J136" s="109"/>
      <c r="K136" s="171"/>
      <c r="L136" s="169"/>
      <c r="M136" s="156"/>
      <c r="N136" s="156"/>
      <c r="O136" s="156"/>
      <c r="P136" s="156"/>
      <c r="Q136" s="156"/>
      <c r="S136" s="156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150"/>
      <c r="AG136" s="161"/>
      <c r="AH136" s="150"/>
      <c r="AI136" s="150"/>
      <c r="AJ136" s="150"/>
      <c r="AK136" s="150"/>
      <c r="AL136" s="150"/>
      <c r="AM136" s="150"/>
      <c r="AN136" s="150"/>
      <c r="AO136" s="150"/>
      <c r="AP136" s="150"/>
      <c r="AQ136" s="150"/>
      <c r="AR136" s="150"/>
      <c r="AS136" s="6"/>
      <c r="AT136" s="6"/>
      <c r="AU136" s="6"/>
      <c r="AV136" s="6"/>
      <c r="AW136" s="6"/>
      <c r="AX136" s="45"/>
      <c r="AY136" s="45"/>
      <c r="AZ136" s="6"/>
      <c r="BB136" s="6"/>
      <c r="BC136" s="6"/>
      <c r="BD136" s="6"/>
      <c r="BE136" s="6"/>
      <c r="BF136" s="6"/>
      <c r="BG136" s="6"/>
    </row>
    <row r="137" spans="2:68">
      <c r="C137" s="106"/>
      <c r="D137" s="107"/>
      <c r="E137" s="183"/>
      <c r="F137" s="183"/>
      <c r="G137" s="179"/>
      <c r="H137" s="108"/>
      <c r="I137" s="109"/>
      <c r="J137" s="109"/>
      <c r="K137" s="171"/>
      <c r="L137" s="169"/>
      <c r="M137" s="156"/>
      <c r="N137" s="156"/>
      <c r="O137" s="156"/>
      <c r="P137" s="156"/>
      <c r="Q137" s="156"/>
      <c r="R137" s="73"/>
      <c r="S137" s="156"/>
      <c r="T137" s="73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BN137" s="73"/>
      <c r="BO137" s="73"/>
      <c r="BP137" s="73"/>
    </row>
    <row r="138" spans="2:68">
      <c r="C138" s="106"/>
      <c r="D138" s="107"/>
      <c r="E138" s="183"/>
      <c r="F138" s="183"/>
      <c r="G138" s="179"/>
      <c r="H138" s="108"/>
      <c r="I138" s="109"/>
      <c r="J138" s="109"/>
      <c r="K138" s="171"/>
      <c r="L138" s="169"/>
      <c r="M138" s="156"/>
      <c r="N138" s="156"/>
      <c r="O138" s="156"/>
      <c r="P138" s="156"/>
      <c r="Q138" s="156"/>
      <c r="R138" s="73"/>
      <c r="S138" s="156"/>
      <c r="T138" s="73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</row>
    <row r="139" spans="2:68">
      <c r="C139" s="106"/>
      <c r="D139" s="107"/>
      <c r="E139" s="183"/>
      <c r="F139" s="183"/>
      <c r="G139" s="179"/>
      <c r="H139" s="108"/>
      <c r="I139" s="109"/>
      <c r="J139" s="109"/>
      <c r="K139" s="171"/>
      <c r="L139" s="169"/>
      <c r="M139" s="156"/>
      <c r="N139" s="156"/>
      <c r="O139" s="156"/>
      <c r="P139" s="156"/>
      <c r="Q139" s="156"/>
      <c r="R139" s="73"/>
      <c r="S139" s="156"/>
      <c r="T139" s="73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</row>
    <row r="140" spans="2:68">
      <c r="C140" s="106"/>
      <c r="D140" s="107"/>
      <c r="E140" s="183"/>
      <c r="F140" s="183"/>
      <c r="G140" s="179"/>
      <c r="H140" s="108"/>
      <c r="I140" s="109"/>
      <c r="J140" s="109"/>
      <c r="K140" s="171"/>
      <c r="L140" s="169"/>
      <c r="M140" s="156"/>
      <c r="N140" s="156"/>
      <c r="O140" s="156"/>
      <c r="P140" s="156"/>
      <c r="Q140" s="156"/>
      <c r="R140" s="73"/>
      <c r="S140" s="156"/>
      <c r="T140" s="73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</row>
    <row r="141" spans="2:68">
      <c r="C141" s="106"/>
      <c r="D141" s="107"/>
      <c r="E141" s="183"/>
      <c r="F141" s="183"/>
      <c r="G141" s="179"/>
      <c r="H141" s="108"/>
      <c r="I141" s="109"/>
      <c r="J141" s="109"/>
      <c r="K141" s="171"/>
      <c r="L141" s="169"/>
      <c r="M141" s="156"/>
      <c r="N141" s="156"/>
      <c r="O141" s="156"/>
      <c r="P141" s="156"/>
      <c r="Q141" s="156"/>
      <c r="R141" s="73"/>
      <c r="S141" s="156"/>
      <c r="T141" s="73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</row>
    <row r="142" spans="2:68">
      <c r="C142" s="106"/>
      <c r="D142" s="107"/>
      <c r="E142" s="183"/>
      <c r="F142" s="183"/>
      <c r="G142" s="179"/>
      <c r="H142" s="108"/>
      <c r="I142" s="109"/>
      <c r="J142" s="109"/>
      <c r="K142" s="171"/>
      <c r="L142" s="169"/>
      <c r="M142" s="156"/>
      <c r="N142" s="156"/>
      <c r="O142" s="156"/>
      <c r="P142" s="156"/>
      <c r="Q142" s="156"/>
      <c r="R142" s="73"/>
      <c r="S142" s="156"/>
      <c r="T142" s="73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</row>
    <row r="143" spans="2:68">
      <c r="C143" s="106"/>
      <c r="D143" s="107"/>
      <c r="E143" s="183"/>
      <c r="F143" s="183"/>
      <c r="G143" s="179"/>
      <c r="H143" s="108"/>
      <c r="I143" s="109"/>
      <c r="J143" s="109"/>
      <c r="K143" s="171"/>
      <c r="L143" s="169"/>
      <c r="M143" s="156"/>
      <c r="N143" s="156"/>
      <c r="O143" s="156"/>
      <c r="P143" s="156"/>
      <c r="Q143" s="156"/>
      <c r="R143" s="73"/>
      <c r="S143" s="156"/>
      <c r="T143" s="73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</row>
    <row r="144" spans="2:68">
      <c r="C144" s="110"/>
      <c r="D144" s="111"/>
      <c r="E144" s="184"/>
      <c r="F144" s="184"/>
      <c r="G144" s="180"/>
      <c r="H144" s="112"/>
      <c r="I144" s="113"/>
      <c r="J144" s="113"/>
      <c r="K144" s="172"/>
      <c r="L144" s="169"/>
      <c r="M144" s="156"/>
      <c r="N144" s="156"/>
      <c r="O144" s="156"/>
      <c r="P144" s="156"/>
      <c r="Q144" s="156"/>
      <c r="R144" s="73"/>
      <c r="S144" s="156"/>
      <c r="T144" s="73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</row>
    <row r="145" spans="3:31">
      <c r="C145" s="110"/>
      <c r="D145" s="111"/>
      <c r="E145" s="184"/>
      <c r="F145" s="184"/>
      <c r="G145" s="180"/>
      <c r="H145" s="112"/>
      <c r="I145" s="113"/>
      <c r="J145" s="113"/>
      <c r="K145" s="172"/>
      <c r="L145" s="169"/>
      <c r="M145" s="156"/>
      <c r="N145" s="156"/>
      <c r="O145" s="156"/>
      <c r="P145" s="156"/>
      <c r="Q145" s="156"/>
      <c r="R145" s="73"/>
      <c r="S145" s="156"/>
      <c r="T145" s="73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</row>
    <row r="146" spans="3:31">
      <c r="C146" s="110"/>
      <c r="D146" s="111"/>
      <c r="E146" s="184"/>
      <c r="F146" s="184"/>
      <c r="G146" s="180"/>
      <c r="H146" s="112"/>
      <c r="I146" s="113"/>
      <c r="J146" s="113"/>
      <c r="K146" s="172"/>
      <c r="L146" s="169"/>
      <c r="M146" s="156"/>
      <c r="N146" s="156"/>
      <c r="O146" s="156"/>
      <c r="P146" s="156"/>
      <c r="Q146" s="156"/>
      <c r="R146" s="73"/>
      <c r="S146" s="156"/>
      <c r="T146" s="73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</row>
    <row r="147" spans="3:31">
      <c r="C147" s="110"/>
      <c r="D147" s="111"/>
      <c r="E147" s="184"/>
      <c r="F147" s="184"/>
      <c r="G147" s="180"/>
      <c r="H147" s="112"/>
      <c r="I147" s="113"/>
      <c r="J147" s="113"/>
      <c r="K147" s="172"/>
      <c r="L147" s="169"/>
      <c r="M147" s="156"/>
      <c r="N147" s="156"/>
      <c r="O147" s="156"/>
      <c r="P147" s="156"/>
      <c r="Q147" s="156"/>
      <c r="R147" s="73"/>
      <c r="S147" s="156"/>
      <c r="T147" s="73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</row>
    <row r="148" spans="3:31">
      <c r="C148" s="110"/>
      <c r="D148" s="111"/>
      <c r="E148" s="184"/>
      <c r="F148" s="184"/>
      <c r="G148" s="180"/>
      <c r="H148" s="112"/>
      <c r="I148" s="113"/>
      <c r="J148" s="113"/>
      <c r="K148" s="172"/>
      <c r="L148" s="169"/>
      <c r="M148" s="156"/>
      <c r="N148" s="156"/>
      <c r="O148" s="156"/>
      <c r="P148" s="156"/>
      <c r="Q148" s="156"/>
      <c r="R148" s="73"/>
      <c r="S148" s="156"/>
      <c r="T148" s="73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</row>
    <row r="149" spans="3:31">
      <c r="C149" s="110"/>
      <c r="D149" s="111"/>
      <c r="E149" s="184"/>
      <c r="F149" s="184"/>
      <c r="G149" s="180"/>
      <c r="H149" s="112"/>
      <c r="I149" s="113"/>
      <c r="J149" s="113"/>
      <c r="K149" s="172"/>
      <c r="L149" s="169"/>
      <c r="M149" s="156"/>
      <c r="N149" s="156"/>
      <c r="O149" s="156"/>
      <c r="P149" s="156"/>
      <c r="Q149" s="156"/>
      <c r="R149" s="73"/>
      <c r="S149" s="156"/>
      <c r="T149" s="73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</row>
    <row r="150" spans="3:31">
      <c r="C150" s="110"/>
      <c r="D150" s="111"/>
      <c r="E150" s="184"/>
      <c r="F150" s="184"/>
      <c r="G150" s="180"/>
      <c r="H150" s="112"/>
      <c r="I150" s="113"/>
      <c r="J150" s="113"/>
      <c r="K150" s="172"/>
      <c r="L150" s="169"/>
      <c r="M150" s="156"/>
      <c r="N150" s="156"/>
      <c r="O150" s="156"/>
      <c r="P150" s="156"/>
      <c r="Q150" s="156"/>
      <c r="R150" s="73"/>
      <c r="S150" s="156"/>
      <c r="T150" s="73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</row>
    <row r="151" spans="3:31">
      <c r="C151" s="110"/>
      <c r="D151" s="111"/>
      <c r="E151" s="184"/>
      <c r="F151" s="184"/>
      <c r="G151" s="180"/>
      <c r="H151" s="112"/>
      <c r="I151" s="113"/>
      <c r="J151" s="113"/>
      <c r="K151" s="172"/>
      <c r="L151" s="169"/>
      <c r="M151" s="156"/>
      <c r="N151" s="156"/>
      <c r="O151" s="156"/>
      <c r="P151" s="156"/>
      <c r="Q151" s="156"/>
      <c r="R151" s="73"/>
      <c r="S151" s="156"/>
      <c r="T151" s="73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</row>
    <row r="152" spans="3:31">
      <c r="C152" s="110"/>
      <c r="D152" s="111"/>
      <c r="E152" s="184"/>
      <c r="F152" s="184"/>
      <c r="G152" s="180"/>
      <c r="H152" s="112"/>
      <c r="I152" s="113"/>
      <c r="J152" s="113"/>
      <c r="K152" s="172"/>
      <c r="L152" s="169"/>
      <c r="M152" s="156"/>
      <c r="N152" s="156"/>
      <c r="O152" s="156"/>
      <c r="P152" s="156"/>
      <c r="Q152" s="156"/>
      <c r="R152" s="73"/>
      <c r="S152" s="156"/>
      <c r="T152" s="73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</row>
    <row r="153" spans="3:31">
      <c r="C153" s="110"/>
      <c r="D153" s="111"/>
      <c r="E153" s="184"/>
      <c r="F153" s="184"/>
      <c r="G153" s="180"/>
      <c r="H153" s="112"/>
      <c r="I153" s="113"/>
      <c r="J153" s="113"/>
      <c r="K153" s="172"/>
      <c r="L153" s="169"/>
      <c r="M153" s="156"/>
      <c r="N153" s="156"/>
      <c r="O153" s="156"/>
      <c r="P153" s="156"/>
      <c r="Q153" s="156"/>
      <c r="R153" s="73"/>
      <c r="S153" s="156"/>
      <c r="T153" s="73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</row>
  </sheetData>
  <mergeCells count="41">
    <mergeCell ref="BG54:BG73"/>
    <mergeCell ref="BG74:BG94"/>
    <mergeCell ref="B49:B67"/>
    <mergeCell ref="AZ99:AZ108"/>
    <mergeCell ref="AY74:AY86"/>
    <mergeCell ref="AY52:AY64"/>
    <mergeCell ref="BO87:BP87"/>
    <mergeCell ref="B68:B73"/>
    <mergeCell ref="B74:B114"/>
    <mergeCell ref="AY39:AY51"/>
    <mergeCell ref="AY65:AY73"/>
    <mergeCell ref="BG95:BG115"/>
    <mergeCell ref="B30:B48"/>
    <mergeCell ref="AY112:AY115"/>
    <mergeCell ref="AY87:AY98"/>
    <mergeCell ref="AY99:AY111"/>
    <mergeCell ref="BC9:BG9"/>
    <mergeCell ref="F10:F11"/>
    <mergeCell ref="B26:B29"/>
    <mergeCell ref="B13:B16"/>
    <mergeCell ref="AY26:AY38"/>
    <mergeCell ref="AY13:AY25"/>
    <mergeCell ref="BG13:BG32"/>
    <mergeCell ref="BG33:BG53"/>
    <mergeCell ref="Z5:AB5"/>
    <mergeCell ref="AC5:AD5"/>
    <mergeCell ref="I4:Y4"/>
    <mergeCell ref="Z4:AB4"/>
    <mergeCell ref="AC4:AD4"/>
    <mergeCell ref="AC6:AD6"/>
    <mergeCell ref="Z6:AB6"/>
    <mergeCell ref="C3:F4"/>
    <mergeCell ref="G3:H3"/>
    <mergeCell ref="I3:Y3"/>
    <mergeCell ref="Z3:AB3"/>
    <mergeCell ref="C6:F6"/>
    <mergeCell ref="AC3:AD3"/>
    <mergeCell ref="G4:H4"/>
    <mergeCell ref="C5:F5"/>
    <mergeCell ref="G5:H6"/>
    <mergeCell ref="I5:Y6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2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B9CF4-10B4-4720-A65F-1A15B90DC362}">
  <dimension ref="A1:AY79"/>
  <sheetViews>
    <sheetView topLeftCell="A4" zoomScale="70" zoomScaleNormal="70" workbookViewId="0">
      <selection activeCell="S10" sqref="S10"/>
    </sheetView>
  </sheetViews>
  <sheetFormatPr defaultRowHeight="12.5"/>
  <cols>
    <col min="2" max="2" width="12.6328125" style="209" customWidth="1"/>
    <col min="3" max="3" width="7.6328125" customWidth="1"/>
    <col min="4" max="4" width="8.54296875" customWidth="1"/>
    <col min="5" max="5" width="9.54296875" customWidth="1"/>
    <col min="6" max="6" width="9" customWidth="1"/>
    <col min="29" max="29" width="10.08984375" customWidth="1"/>
    <col min="32" max="32" width="15.90625" customWidth="1"/>
    <col min="51" max="51" width="19.6328125" customWidth="1"/>
  </cols>
  <sheetData>
    <row r="1" spans="1:38" ht="13" thickBot="1">
      <c r="A1" s="263"/>
      <c r="B1" s="264"/>
      <c r="C1" s="264"/>
      <c r="D1" s="264"/>
      <c r="E1" s="265"/>
      <c r="F1" s="266"/>
      <c r="G1" s="265"/>
      <c r="H1" s="265"/>
      <c r="I1" s="265"/>
      <c r="J1" s="349" t="s">
        <v>169</v>
      </c>
      <c r="K1" s="350"/>
      <c r="L1" s="350"/>
      <c r="M1" s="283" t="s">
        <v>174</v>
      </c>
      <c r="N1" s="329"/>
      <c r="O1" s="330"/>
      <c r="P1" s="330"/>
      <c r="Q1" s="330"/>
      <c r="R1" s="330"/>
      <c r="S1" s="330"/>
      <c r="T1" s="330"/>
      <c r="U1" s="330"/>
      <c r="V1" s="330"/>
      <c r="W1" s="330"/>
      <c r="X1" s="330"/>
      <c r="Y1" s="330"/>
      <c r="Z1" s="330"/>
      <c r="AA1" s="330"/>
      <c r="AB1" s="330"/>
      <c r="AC1" s="330"/>
      <c r="AD1" s="330"/>
      <c r="AE1" s="330"/>
      <c r="AF1" s="330"/>
      <c r="AG1" s="330"/>
      <c r="AH1" s="330"/>
      <c r="AI1" s="330"/>
      <c r="AJ1" s="331"/>
      <c r="AK1" s="284" t="s">
        <v>175</v>
      </c>
      <c r="AL1" s="285"/>
    </row>
    <row r="2" spans="1:38">
      <c r="A2" s="267"/>
      <c r="B2" s="207"/>
      <c r="C2" s="207"/>
      <c r="D2" s="207"/>
      <c r="E2" s="268"/>
      <c r="F2" s="269"/>
      <c r="G2" s="268"/>
      <c r="H2" s="268"/>
      <c r="I2" s="268"/>
      <c r="J2" s="351"/>
      <c r="K2" s="352"/>
      <c r="L2" s="352"/>
      <c r="M2" s="286"/>
      <c r="N2" s="332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4"/>
      <c r="AK2" s="329">
        <v>1</v>
      </c>
      <c r="AL2" s="331"/>
    </row>
    <row r="3" spans="1:38">
      <c r="A3" s="270"/>
      <c r="B3" s="268"/>
      <c r="C3" s="268"/>
      <c r="D3" s="268"/>
      <c r="E3" s="268"/>
      <c r="F3" s="268"/>
      <c r="G3" s="268"/>
      <c r="H3" s="268"/>
      <c r="I3" s="268"/>
      <c r="J3" s="332"/>
      <c r="K3" s="333"/>
      <c r="L3" s="333"/>
      <c r="M3" s="270"/>
      <c r="N3" s="332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4"/>
      <c r="AK3" s="332"/>
      <c r="AL3" s="334"/>
    </row>
    <row r="4" spans="1:38" ht="13" thickBot="1">
      <c r="A4" s="270"/>
      <c r="B4" s="268"/>
      <c r="C4" s="268"/>
      <c r="D4" s="268"/>
      <c r="E4" s="268"/>
      <c r="F4" s="268"/>
      <c r="G4" s="268"/>
      <c r="H4" s="268"/>
      <c r="I4" s="268"/>
      <c r="J4" s="332"/>
      <c r="K4" s="333"/>
      <c r="L4" s="333"/>
      <c r="M4" s="272"/>
      <c r="N4" s="335"/>
      <c r="O4" s="336"/>
      <c r="P4" s="336"/>
      <c r="Q4" s="336"/>
      <c r="R4" s="336"/>
      <c r="S4" s="336"/>
      <c r="T4" s="336"/>
      <c r="U4" s="336"/>
      <c r="V4" s="336"/>
      <c r="W4" s="336"/>
      <c r="X4" s="336"/>
      <c r="Y4" s="336"/>
      <c r="Z4" s="336"/>
      <c r="AA4" s="336"/>
      <c r="AB4" s="336"/>
      <c r="AC4" s="336"/>
      <c r="AD4" s="336"/>
      <c r="AE4" s="336"/>
      <c r="AF4" s="336"/>
      <c r="AG4" s="336"/>
      <c r="AH4" s="336"/>
      <c r="AI4" s="336"/>
      <c r="AJ4" s="337"/>
      <c r="AK4" s="332"/>
      <c r="AL4" s="334"/>
    </row>
    <row r="5" spans="1:38">
      <c r="A5" s="271" t="s">
        <v>170</v>
      </c>
      <c r="B5" s="353" t="s">
        <v>130</v>
      </c>
      <c r="C5" s="354"/>
      <c r="D5" s="271" t="s">
        <v>171</v>
      </c>
      <c r="E5" s="353" t="s">
        <v>131</v>
      </c>
      <c r="F5" s="354"/>
      <c r="G5" s="271" t="s">
        <v>172</v>
      </c>
      <c r="H5" s="353"/>
      <c r="I5" s="354"/>
      <c r="J5" s="332"/>
      <c r="K5" s="333"/>
      <c r="L5" s="333"/>
      <c r="M5" s="271" t="s">
        <v>176</v>
      </c>
      <c r="N5" s="338"/>
      <c r="O5" s="339"/>
      <c r="P5" s="339"/>
      <c r="Q5" s="339"/>
      <c r="R5" s="339"/>
      <c r="S5" s="339"/>
      <c r="T5" s="339"/>
      <c r="U5" s="339"/>
      <c r="V5" s="339"/>
      <c r="W5" s="339"/>
      <c r="X5" s="339"/>
      <c r="Y5" s="339"/>
      <c r="Z5" s="339"/>
      <c r="AA5" s="339"/>
      <c r="AB5" s="339"/>
      <c r="AC5" s="339"/>
      <c r="AD5" s="339"/>
      <c r="AE5" s="339"/>
      <c r="AF5" s="339"/>
      <c r="AG5" s="339"/>
      <c r="AH5" s="339"/>
      <c r="AI5" s="339"/>
      <c r="AJ5" s="340"/>
      <c r="AK5" s="332"/>
      <c r="AL5" s="334"/>
    </row>
    <row r="6" spans="1:38" ht="13" thickBot="1">
      <c r="A6" s="272"/>
      <c r="B6" s="355"/>
      <c r="C6" s="356"/>
      <c r="D6" s="272"/>
      <c r="E6" s="355"/>
      <c r="F6" s="356"/>
      <c r="G6" s="272"/>
      <c r="H6" s="355"/>
      <c r="I6" s="356"/>
      <c r="J6" s="332"/>
      <c r="K6" s="333"/>
      <c r="L6" s="333"/>
      <c r="M6" s="287"/>
      <c r="N6" s="341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3"/>
      <c r="AK6" s="332"/>
      <c r="AL6" s="334"/>
    </row>
    <row r="7" spans="1:38" ht="13" thickBot="1">
      <c r="A7" s="273" t="s">
        <v>173</v>
      </c>
      <c r="B7" s="357">
        <v>45665</v>
      </c>
      <c r="C7" s="358"/>
      <c r="D7" s="273" t="s">
        <v>173</v>
      </c>
      <c r="E7" s="357">
        <v>45665</v>
      </c>
      <c r="F7" s="358"/>
      <c r="G7" s="273" t="s">
        <v>173</v>
      </c>
      <c r="H7" s="353"/>
      <c r="I7" s="354"/>
      <c r="J7" s="332"/>
      <c r="K7" s="333"/>
      <c r="L7" s="333"/>
      <c r="M7" s="287"/>
      <c r="N7" s="341"/>
      <c r="O7" s="342"/>
      <c r="P7" s="342"/>
      <c r="Q7" s="342"/>
      <c r="R7" s="342"/>
      <c r="S7" s="342"/>
      <c r="T7" s="342"/>
      <c r="U7" s="342"/>
      <c r="V7" s="342"/>
      <c r="W7" s="342"/>
      <c r="X7" s="342"/>
      <c r="Y7" s="342"/>
      <c r="Z7" s="342"/>
      <c r="AA7" s="342"/>
      <c r="AB7" s="342"/>
      <c r="AC7" s="342"/>
      <c r="AD7" s="342"/>
      <c r="AE7" s="342"/>
      <c r="AF7" s="342"/>
      <c r="AG7" s="342"/>
      <c r="AH7" s="342"/>
      <c r="AI7" s="342"/>
      <c r="AJ7" s="343"/>
      <c r="AK7" s="335"/>
      <c r="AL7" s="337"/>
    </row>
    <row r="8" spans="1:38" ht="13.5" thickBot="1">
      <c r="A8" s="272"/>
      <c r="B8" s="359"/>
      <c r="C8" s="360"/>
      <c r="D8" s="272"/>
      <c r="E8" s="359"/>
      <c r="F8" s="360"/>
      <c r="G8" s="274"/>
      <c r="H8" s="355"/>
      <c r="I8" s="356"/>
      <c r="J8" s="275"/>
      <c r="K8" s="276"/>
      <c r="L8" s="277"/>
      <c r="M8" s="272"/>
      <c r="N8" s="344"/>
      <c r="O8" s="345"/>
      <c r="P8" s="345"/>
      <c r="Q8" s="345"/>
      <c r="R8" s="345"/>
      <c r="S8" s="345"/>
      <c r="T8" s="345"/>
      <c r="U8" s="345"/>
      <c r="V8" s="345"/>
      <c r="W8" s="345"/>
      <c r="X8" s="345"/>
      <c r="Y8" s="345"/>
      <c r="Z8" s="345"/>
      <c r="AA8" s="345"/>
      <c r="AB8" s="345"/>
      <c r="AC8" s="345"/>
      <c r="AD8" s="345"/>
      <c r="AE8" s="345"/>
      <c r="AF8" s="345"/>
      <c r="AG8" s="345"/>
      <c r="AH8" s="345"/>
      <c r="AI8" s="345"/>
      <c r="AJ8" s="346"/>
      <c r="AK8" s="272"/>
      <c r="AL8" s="288"/>
    </row>
    <row r="9" spans="1:38" ht="14">
      <c r="A9" s="278"/>
      <c r="B9" s="279"/>
      <c r="C9" s="279"/>
      <c r="D9" s="278"/>
      <c r="E9" s="279"/>
      <c r="F9" s="279"/>
      <c r="G9" s="280"/>
      <c r="H9" s="281"/>
      <c r="I9" s="281"/>
      <c r="J9" s="282"/>
      <c r="K9" s="282"/>
      <c r="L9" s="282"/>
      <c r="AA9" s="293"/>
    </row>
    <row r="10" spans="1:38" ht="14">
      <c r="A10" s="291" t="s">
        <v>177</v>
      </c>
      <c r="B10" s="279"/>
      <c r="C10" s="279"/>
      <c r="D10" s="278"/>
      <c r="E10" s="279"/>
      <c r="F10" s="279"/>
      <c r="G10" s="280"/>
      <c r="H10" s="281"/>
      <c r="I10" s="281"/>
      <c r="J10" s="282"/>
      <c r="K10" s="282"/>
      <c r="L10" s="282"/>
    </row>
    <row r="11" spans="1:38" ht="14">
      <c r="A11" s="289" t="s">
        <v>178</v>
      </c>
      <c r="B11" s="296">
        <f>'All boreholes'!AE13</f>
        <v>1.5</v>
      </c>
      <c r="C11" s="290" t="s">
        <v>180</v>
      </c>
      <c r="D11" s="278"/>
      <c r="E11" s="279"/>
      <c r="F11" s="279"/>
      <c r="G11" s="280"/>
      <c r="H11" s="281"/>
      <c r="I11" s="281"/>
      <c r="J11" s="282"/>
      <c r="K11" s="282"/>
      <c r="L11" s="282"/>
    </row>
    <row r="12" spans="1:38" ht="14">
      <c r="A12" s="289" t="s">
        <v>179</v>
      </c>
      <c r="B12" s="296">
        <f>'All boreholes'!AM3</f>
        <v>6.2</v>
      </c>
      <c r="C12" s="290" t="s">
        <v>181</v>
      </c>
      <c r="D12" s="278"/>
      <c r="E12" s="279"/>
      <c r="F12" s="279"/>
      <c r="G12" s="280"/>
      <c r="H12" s="281"/>
      <c r="I12" s="281"/>
      <c r="J12" s="282"/>
      <c r="K12" s="282"/>
      <c r="L12" s="282"/>
    </row>
    <row r="13" spans="1:38" ht="14">
      <c r="A13" s="278"/>
      <c r="B13" s="279"/>
      <c r="C13" s="279"/>
      <c r="D13" s="278"/>
      <c r="E13" s="279"/>
      <c r="F13" s="279"/>
      <c r="G13" s="280"/>
      <c r="H13" s="281"/>
      <c r="I13" s="281"/>
      <c r="J13" s="282"/>
      <c r="K13" s="282"/>
      <c r="L13" s="282"/>
    </row>
    <row r="14" spans="1:38" ht="13">
      <c r="AE14" s="294"/>
      <c r="AF14" s="294"/>
      <c r="AG14" s="294"/>
      <c r="AH14" s="295"/>
      <c r="AI14" s="295"/>
      <c r="AJ14" s="295"/>
      <c r="AK14" s="295"/>
      <c r="AL14" s="295"/>
    </row>
    <row r="15" spans="1:38" ht="13">
      <c r="AD15" s="293"/>
      <c r="AE15" s="294"/>
      <c r="AF15" s="294"/>
      <c r="AG15" s="294"/>
      <c r="AH15" s="295"/>
      <c r="AI15" s="295"/>
    </row>
    <row r="16" spans="1:38" ht="13">
      <c r="AD16" s="293"/>
      <c r="AE16" s="294"/>
      <c r="AF16" s="294"/>
      <c r="AG16" s="294"/>
      <c r="AH16" s="295"/>
      <c r="AI16" s="295"/>
    </row>
    <row r="17" spans="30:50" ht="13">
      <c r="AD17" s="293"/>
      <c r="AE17" s="294"/>
      <c r="AF17" s="294"/>
      <c r="AG17" s="294"/>
      <c r="AH17" s="295"/>
      <c r="AI17" s="295"/>
    </row>
    <row r="18" spans="30:50" ht="13">
      <c r="AD18" s="293"/>
      <c r="AE18" s="294"/>
      <c r="AF18" s="294"/>
      <c r="AG18" s="294"/>
      <c r="AH18" s="295"/>
      <c r="AI18" s="295"/>
    </row>
    <row r="19" spans="30:50" ht="13">
      <c r="AD19" s="293"/>
      <c r="AE19" s="294"/>
      <c r="AF19" s="294"/>
      <c r="AG19" s="294"/>
      <c r="AH19" s="295"/>
      <c r="AI19" s="295"/>
    </row>
    <row r="20" spans="30:50" ht="13">
      <c r="AD20" s="293"/>
      <c r="AE20" s="294"/>
      <c r="AF20" s="294"/>
      <c r="AG20" s="294"/>
      <c r="AH20" s="295"/>
      <c r="AI20" s="295"/>
    </row>
    <row r="21" spans="30:50" ht="13">
      <c r="AD21" s="293"/>
      <c r="AE21" s="294"/>
      <c r="AF21" s="294"/>
      <c r="AG21" s="294"/>
      <c r="AH21" s="295"/>
      <c r="AI21" s="295"/>
    </row>
    <row r="22" spans="30:50" ht="13">
      <c r="AD22" s="293"/>
      <c r="AE22" s="294"/>
      <c r="AF22" s="294"/>
      <c r="AG22" s="294"/>
      <c r="AH22" s="295"/>
      <c r="AI22" s="295"/>
    </row>
    <row r="23" spans="30:50" ht="13">
      <c r="AD23" s="293"/>
      <c r="AE23" s="294"/>
      <c r="AF23" s="294"/>
      <c r="AG23" s="294"/>
      <c r="AH23" s="295"/>
      <c r="AI23" s="295"/>
    </row>
    <row r="24" spans="30:50" ht="13">
      <c r="AD24" s="293"/>
      <c r="AE24" s="294"/>
      <c r="AF24" s="294"/>
      <c r="AG24" s="294"/>
      <c r="AH24" s="295"/>
      <c r="AI24" s="295"/>
    </row>
    <row r="25" spans="30:50" ht="13">
      <c r="AD25" s="293"/>
      <c r="AE25" s="294"/>
      <c r="AF25" s="294"/>
      <c r="AG25" s="294"/>
      <c r="AH25" s="295"/>
      <c r="AI25" s="295"/>
      <c r="AJ25" s="295"/>
      <c r="AK25" s="295"/>
      <c r="AL25" s="295"/>
    </row>
    <row r="26" spans="30:50" ht="13">
      <c r="AD26" s="293"/>
      <c r="AE26" s="294"/>
      <c r="AF26" s="294"/>
      <c r="AG26" s="294"/>
      <c r="AH26" s="295"/>
      <c r="AI26" s="295"/>
      <c r="AJ26" s="295"/>
      <c r="AK26" s="295"/>
      <c r="AL26" s="295"/>
    </row>
    <row r="27" spans="30:50" ht="13">
      <c r="AD27" s="209"/>
      <c r="AM27" s="253"/>
      <c r="AT27" s="207"/>
      <c r="AU27" s="207"/>
      <c r="AV27" s="207"/>
      <c r="AW27" s="207"/>
      <c r="AX27" s="207"/>
    </row>
    <row r="28" spans="30:50" ht="13">
      <c r="AD28" s="209"/>
      <c r="AM28" s="253"/>
    </row>
    <row r="29" spans="30:50" ht="13">
      <c r="AD29" s="209"/>
      <c r="AM29" s="253"/>
    </row>
    <row r="30" spans="30:50" ht="13">
      <c r="AD30" s="209"/>
      <c r="AM30" s="253"/>
    </row>
    <row r="31" spans="30:50">
      <c r="AD31" s="209"/>
    </row>
    <row r="32" spans="30:50">
      <c r="AD32" s="209"/>
    </row>
    <row r="33" spans="30:51">
      <c r="AD33" s="209"/>
      <c r="AY33" s="208"/>
    </row>
    <row r="34" spans="30:51">
      <c r="AD34" s="209"/>
    </row>
    <row r="35" spans="30:51">
      <c r="AD35" s="209"/>
    </row>
    <row r="36" spans="30:51">
      <c r="AD36" s="209"/>
    </row>
    <row r="37" spans="30:51">
      <c r="AD37" s="209"/>
    </row>
    <row r="38" spans="30:51">
      <c r="AD38" s="209"/>
    </row>
    <row r="39" spans="30:51">
      <c r="AD39" s="209"/>
    </row>
    <row r="40" spans="30:51">
      <c r="AD40" s="209"/>
    </row>
    <row r="41" spans="30:51">
      <c r="AD41" s="209"/>
    </row>
    <row r="42" spans="30:51">
      <c r="AD42" s="209"/>
    </row>
    <row r="43" spans="30:51">
      <c r="AD43" s="209"/>
    </row>
    <row r="44" spans="30:51">
      <c r="AD44" s="209"/>
    </row>
    <row r="45" spans="30:51">
      <c r="AD45" s="209"/>
    </row>
    <row r="46" spans="30:51">
      <c r="AD46" s="209"/>
    </row>
    <row r="47" spans="30:51">
      <c r="AD47" s="209"/>
    </row>
    <row r="48" spans="30:51">
      <c r="AD48" s="209"/>
    </row>
    <row r="49" spans="30:30">
      <c r="AD49" s="209"/>
    </row>
    <row r="50" spans="30:30">
      <c r="AD50" s="209"/>
    </row>
    <row r="51" spans="30:30">
      <c r="AD51" s="209"/>
    </row>
    <row r="52" spans="30:30">
      <c r="AD52" s="209"/>
    </row>
    <row r="53" spans="30:30">
      <c r="AD53" s="209"/>
    </row>
    <row r="54" spans="30:30">
      <c r="AD54" s="209"/>
    </row>
    <row r="55" spans="30:30">
      <c r="AD55" s="209"/>
    </row>
    <row r="56" spans="30:30">
      <c r="AD56" s="209"/>
    </row>
    <row r="57" spans="30:30">
      <c r="AD57" s="209"/>
    </row>
    <row r="58" spans="30:30">
      <c r="AD58" s="209"/>
    </row>
    <row r="70" spans="27:30">
      <c r="AA70" s="348" t="s">
        <v>127</v>
      </c>
      <c r="AB70" s="348"/>
      <c r="AC70" s="347" t="s">
        <v>134</v>
      </c>
      <c r="AD70" s="347"/>
    </row>
    <row r="71" spans="27:30">
      <c r="AA71" s="210" t="s">
        <v>132</v>
      </c>
      <c r="AB71" s="210" t="s">
        <v>133</v>
      </c>
      <c r="AC71" s="209" t="s">
        <v>132</v>
      </c>
      <c r="AD71" s="209" t="s">
        <v>133</v>
      </c>
    </row>
    <row r="72" spans="27:30">
      <c r="AA72" s="209">
        <v>1</v>
      </c>
      <c r="AB72" s="209">
        <v>0</v>
      </c>
      <c r="AC72" s="209">
        <v>0</v>
      </c>
      <c r="AD72" s="209">
        <f>AVERAGE('All boreholes'!G13,'All boreholes'!G33,'All boreholes'!G54,'All boreholes'!G74,'All boreholes'!G95)</f>
        <v>0</v>
      </c>
    </row>
    <row r="73" spans="27:30">
      <c r="AA73" s="209">
        <v>1</v>
      </c>
      <c r="AB73" s="209">
        <v>20</v>
      </c>
      <c r="AC73" s="209">
        <v>6</v>
      </c>
      <c r="AD73" s="209">
        <f>AD72</f>
        <v>0</v>
      </c>
    </row>
    <row r="74" spans="27:30">
      <c r="AA74" s="209"/>
      <c r="AB74" s="209"/>
      <c r="AC74" s="209"/>
      <c r="AD74" s="209"/>
    </row>
    <row r="75" spans="27:30">
      <c r="AA75" s="220">
        <v>1.2</v>
      </c>
      <c r="AB75" s="209">
        <v>0</v>
      </c>
      <c r="AC75" s="209"/>
      <c r="AD75" s="209"/>
    </row>
    <row r="76" spans="27:30">
      <c r="AA76" s="220">
        <v>1.2</v>
      </c>
      <c r="AB76" s="209">
        <v>20</v>
      </c>
      <c r="AC76" s="209"/>
      <c r="AD76" s="209"/>
    </row>
    <row r="77" spans="27:30">
      <c r="AA77" s="209"/>
      <c r="AB77" s="209"/>
      <c r="AC77" s="209"/>
      <c r="AD77" s="209"/>
    </row>
    <row r="78" spans="27:30">
      <c r="AA78" s="220">
        <v>1.5</v>
      </c>
      <c r="AB78" s="209">
        <v>0</v>
      </c>
      <c r="AC78" s="209"/>
      <c r="AD78" s="209"/>
    </row>
    <row r="79" spans="27:30">
      <c r="AA79" s="220">
        <v>1.5</v>
      </c>
      <c r="AB79" s="209">
        <v>20</v>
      </c>
      <c r="AC79" s="209"/>
      <c r="AD79" s="209"/>
    </row>
  </sheetData>
  <mergeCells count="13">
    <mergeCell ref="B5:C6"/>
    <mergeCell ref="E5:F6"/>
    <mergeCell ref="H5:I6"/>
    <mergeCell ref="B7:C8"/>
    <mergeCell ref="E7:F8"/>
    <mergeCell ref="H7:I8"/>
    <mergeCell ref="N1:AJ4"/>
    <mergeCell ref="AK2:AL7"/>
    <mergeCell ref="N5:AJ8"/>
    <mergeCell ref="AC70:AD70"/>
    <mergeCell ref="AA70:AB70"/>
    <mergeCell ref="J1:L2"/>
    <mergeCell ref="J3:L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28EDB-ED47-41F2-9D75-8AE7D3C268A6}">
  <dimension ref="B2:CG785"/>
  <sheetViews>
    <sheetView topLeftCell="BQ1" zoomScale="85" zoomScaleNormal="85" workbookViewId="0">
      <selection activeCell="CE3" sqref="CE2:CG3"/>
    </sheetView>
  </sheetViews>
  <sheetFormatPr defaultRowHeight="12.5"/>
  <cols>
    <col min="2" max="2" width="8.90625" style="209" customWidth="1"/>
    <col min="3" max="3" width="15.1796875" style="209" bestFit="1" customWidth="1"/>
    <col min="4" max="4" width="8.90625" style="209" customWidth="1"/>
    <col min="5" max="5" width="10.1796875" style="209" bestFit="1" customWidth="1"/>
    <col min="6" max="9" width="8.90625" style="209" customWidth="1"/>
    <col min="17" max="17" width="8.90625" style="209" customWidth="1"/>
    <col min="18" max="18" width="15.1796875" style="209" bestFit="1" customWidth="1"/>
    <col min="19" max="19" width="8.90625" style="209" customWidth="1"/>
    <col min="20" max="20" width="10.1796875" style="209" bestFit="1" customWidth="1"/>
    <col min="21" max="21" width="8.90625" style="209" customWidth="1"/>
    <col min="33" max="33" width="16.453125" bestFit="1" customWidth="1"/>
    <col min="35" max="35" width="10.90625" bestFit="1" customWidth="1"/>
    <col min="48" max="48" width="8.90625" style="209" customWidth="1"/>
    <col min="49" max="49" width="16.453125" bestFit="1" customWidth="1"/>
    <col min="50" max="50" width="8.90625" style="209" customWidth="1"/>
    <col min="51" max="51" width="10.90625" style="209" bestFit="1" customWidth="1"/>
    <col min="52" max="52" width="8.90625" style="209" customWidth="1"/>
    <col min="64" max="64" width="8.90625" style="209" customWidth="1"/>
    <col min="65" max="65" width="16.453125" style="209" bestFit="1" customWidth="1"/>
    <col min="66" max="66" width="8.90625" style="209" customWidth="1"/>
    <col min="67" max="67" width="10.90625" style="209" bestFit="1" customWidth="1"/>
    <col min="68" max="69" width="8.90625" style="209" customWidth="1"/>
    <col min="83" max="83" width="10.453125" customWidth="1"/>
    <col min="84" max="84" width="7.54296875" customWidth="1"/>
  </cols>
  <sheetData>
    <row r="2" spans="2:85" ht="37.5">
      <c r="E2" s="209" t="s">
        <v>157</v>
      </c>
      <c r="F2" s="177">
        <f>'All boreholes'!G13</f>
        <v>0</v>
      </c>
      <c r="T2" s="209" t="s">
        <v>157</v>
      </c>
      <c r="U2" s="177">
        <f>'All boreholes'!G33</f>
        <v>0</v>
      </c>
      <c r="AI2" s="209" t="s">
        <v>157</v>
      </c>
      <c r="AJ2" s="177">
        <f>'All boreholes'!G54</f>
        <v>0</v>
      </c>
      <c r="AY2" s="209" t="s">
        <v>157</v>
      </c>
      <c r="AZ2" s="177">
        <f>'All boreholes'!G74</f>
        <v>0</v>
      </c>
      <c r="BO2" s="209" t="s">
        <v>157</v>
      </c>
      <c r="BP2" s="252">
        <f>'All boreholes'!G95</f>
        <v>0</v>
      </c>
      <c r="CD2" s="218" t="s">
        <v>191</v>
      </c>
      <c r="CE2" s="297" t="s">
        <v>188</v>
      </c>
      <c r="CF2" s="297" t="s">
        <v>189</v>
      </c>
      <c r="CG2" s="297" t="s">
        <v>190</v>
      </c>
    </row>
    <row r="3" spans="2:85">
      <c r="B3" s="361" t="s">
        <v>155</v>
      </c>
      <c r="C3" s="361"/>
      <c r="D3" s="361"/>
      <c r="E3" s="361"/>
      <c r="F3" s="361"/>
      <c r="Q3" s="361" t="s">
        <v>158</v>
      </c>
      <c r="R3" s="361"/>
      <c r="S3" s="361"/>
      <c r="T3" s="361"/>
      <c r="U3" s="361"/>
      <c r="AF3" s="361" t="s">
        <v>160</v>
      </c>
      <c r="AG3" s="361"/>
      <c r="AH3" s="361"/>
      <c r="AI3" s="361"/>
      <c r="AJ3" s="361"/>
      <c r="AV3" s="361" t="s">
        <v>161</v>
      </c>
      <c r="AW3" s="361"/>
      <c r="AX3" s="361"/>
      <c r="AY3" s="361"/>
      <c r="AZ3" s="361"/>
      <c r="BL3" s="361" t="s">
        <v>162</v>
      </c>
      <c r="BM3" s="361"/>
      <c r="BN3" s="361"/>
      <c r="BO3" s="361"/>
      <c r="BP3" s="361"/>
      <c r="CD3" s="218" t="s">
        <v>33</v>
      </c>
      <c r="CE3" s="218">
        <f>'All boreholes'!G13</f>
        <v>0</v>
      </c>
      <c r="CF3" s="218">
        <v>14.933999999999999</v>
      </c>
      <c r="CG3" s="218">
        <f>CE3-CF3</f>
        <v>-14.933999999999999</v>
      </c>
    </row>
    <row r="4" spans="2:85">
      <c r="B4" s="218" t="s">
        <v>154</v>
      </c>
      <c r="C4" s="218" t="s">
        <v>156</v>
      </c>
      <c r="D4" s="218" t="s">
        <v>151</v>
      </c>
      <c r="E4" s="218" t="s">
        <v>152</v>
      </c>
      <c r="F4" s="218" t="s">
        <v>153</v>
      </c>
      <c r="Q4" s="218" t="s">
        <v>154</v>
      </c>
      <c r="R4" s="218" t="s">
        <v>156</v>
      </c>
      <c r="S4" s="218" t="s">
        <v>151</v>
      </c>
      <c r="T4" s="218" t="s">
        <v>152</v>
      </c>
      <c r="U4" s="218" t="s">
        <v>153</v>
      </c>
      <c r="AF4" s="218" t="s">
        <v>154</v>
      </c>
      <c r="AG4" s="218" t="s">
        <v>156</v>
      </c>
      <c r="AH4" s="218" t="s">
        <v>151</v>
      </c>
      <c r="AI4" s="218" t="s">
        <v>152</v>
      </c>
      <c r="AJ4" s="218" t="s">
        <v>153</v>
      </c>
      <c r="AV4" s="218" t="s">
        <v>5</v>
      </c>
      <c r="AW4" s="218" t="s">
        <v>156</v>
      </c>
      <c r="AX4" s="218" t="s">
        <v>151</v>
      </c>
      <c r="AY4" s="218" t="s">
        <v>152</v>
      </c>
      <c r="AZ4" s="218" t="s">
        <v>153</v>
      </c>
      <c r="BL4" s="218" t="s">
        <v>5</v>
      </c>
      <c r="BM4" s="218" t="s">
        <v>156</v>
      </c>
      <c r="BN4" s="218" t="s">
        <v>151</v>
      </c>
      <c r="BO4" s="218" t="s">
        <v>152</v>
      </c>
      <c r="BP4" s="218" t="s">
        <v>153</v>
      </c>
      <c r="CD4" s="218" t="s">
        <v>113</v>
      </c>
      <c r="CE4" s="218">
        <f>'All boreholes'!G33</f>
        <v>0</v>
      </c>
      <c r="CF4" s="218">
        <v>14.933999999999999</v>
      </c>
      <c r="CG4" s="218">
        <f>CE4-CF4</f>
        <v>-14.933999999999999</v>
      </c>
    </row>
    <row r="5" spans="2:85">
      <c r="B5" s="218">
        <v>0.62</v>
      </c>
      <c r="C5" s="218">
        <f>$F$2-B5</f>
        <v>-0.62</v>
      </c>
      <c r="D5" s="218">
        <v>0.53</v>
      </c>
      <c r="E5" s="218">
        <v>0.15</v>
      </c>
      <c r="F5" s="218">
        <v>5</v>
      </c>
      <c r="Q5" s="218">
        <v>0.67</v>
      </c>
      <c r="R5" s="251">
        <f>$U$2-Q5</f>
        <v>-0.67</v>
      </c>
      <c r="S5" s="218">
        <v>0.39</v>
      </c>
      <c r="T5" s="218">
        <v>0.15</v>
      </c>
      <c r="U5" s="218">
        <v>5</v>
      </c>
      <c r="AF5" s="218">
        <v>0.59</v>
      </c>
      <c r="AG5" s="251">
        <f>$AJ$2-AF5</f>
        <v>-0.59</v>
      </c>
      <c r="AH5" s="218">
        <v>0.37</v>
      </c>
      <c r="AI5" s="218">
        <v>0.15</v>
      </c>
      <c r="AJ5" s="218">
        <v>5</v>
      </c>
      <c r="AV5" s="218">
        <v>0.57999999999999996</v>
      </c>
      <c r="AW5" s="251">
        <f>$AZ$2-AV5</f>
        <v>-0.57999999999999996</v>
      </c>
      <c r="AX5" s="218">
        <v>0.36</v>
      </c>
      <c r="AY5" s="218">
        <v>0.15</v>
      </c>
      <c r="AZ5" s="218">
        <v>5</v>
      </c>
      <c r="BL5" s="218">
        <v>0.5</v>
      </c>
      <c r="BM5" s="251">
        <f>$BP$2-BL5</f>
        <v>-0.5</v>
      </c>
      <c r="BN5" s="218">
        <v>0.45</v>
      </c>
      <c r="BO5" s="218">
        <v>0.15</v>
      </c>
      <c r="BP5" s="218">
        <v>5</v>
      </c>
      <c r="CD5" s="218" t="s">
        <v>120</v>
      </c>
      <c r="CE5" s="218">
        <f>'All boreholes'!G54</f>
        <v>0</v>
      </c>
      <c r="CF5" s="218">
        <v>14.933999999999999</v>
      </c>
      <c r="CG5" s="218">
        <f>CE5-CF5</f>
        <v>-14.933999999999999</v>
      </c>
    </row>
    <row r="6" spans="2:85">
      <c r="B6" s="218">
        <v>0.64</v>
      </c>
      <c r="C6" s="218">
        <f t="shared" ref="C6:C69" si="0">$F$2-B6</f>
        <v>-0.64</v>
      </c>
      <c r="D6" s="218">
        <v>0.52</v>
      </c>
      <c r="E6" s="218">
        <v>0.15</v>
      </c>
      <c r="F6" s="218">
        <v>5</v>
      </c>
      <c r="Q6" s="218">
        <v>0.69</v>
      </c>
      <c r="R6" s="251">
        <f t="shared" ref="R6:R69" si="1">$U$2-Q6</f>
        <v>-0.69</v>
      </c>
      <c r="S6" s="218">
        <v>0.39</v>
      </c>
      <c r="T6" s="218">
        <v>0.15</v>
      </c>
      <c r="U6" s="218">
        <v>5</v>
      </c>
      <c r="AF6" s="218">
        <v>0.61</v>
      </c>
      <c r="AG6" s="251">
        <f t="shared" ref="AG6:AG69" si="2">$AJ$2-AF6</f>
        <v>-0.61</v>
      </c>
      <c r="AH6" s="218">
        <v>0.37</v>
      </c>
      <c r="AI6" s="218">
        <v>0.15</v>
      </c>
      <c r="AJ6" s="218">
        <v>5</v>
      </c>
      <c r="AV6" s="218">
        <v>0.6</v>
      </c>
      <c r="AW6" s="251">
        <f t="shared" ref="AW6:AW69" si="3">$AZ$2-AV6</f>
        <v>-0.6</v>
      </c>
      <c r="AX6" s="218">
        <v>0.35</v>
      </c>
      <c r="AY6" s="218">
        <v>0.15</v>
      </c>
      <c r="AZ6" s="218">
        <v>5</v>
      </c>
      <c r="BL6" s="218">
        <v>0.52</v>
      </c>
      <c r="BM6" s="251">
        <f t="shared" ref="BM6:BM69" si="4">$AZ$2-BL6</f>
        <v>-0.52</v>
      </c>
      <c r="BN6" s="218">
        <v>0.44</v>
      </c>
      <c r="BO6" s="218">
        <v>0.15</v>
      </c>
      <c r="BP6" s="218">
        <v>5</v>
      </c>
      <c r="CD6" s="218" t="s">
        <v>121</v>
      </c>
      <c r="CE6" s="218">
        <f>'All boreholes'!G74</f>
        <v>0</v>
      </c>
      <c r="CF6" s="218">
        <v>14.933999999999999</v>
      </c>
      <c r="CG6" s="218">
        <f>CE6-CF6</f>
        <v>-14.933999999999999</v>
      </c>
    </row>
    <row r="7" spans="2:85">
      <c r="B7" s="218">
        <v>0.67</v>
      </c>
      <c r="C7" s="218">
        <f t="shared" si="0"/>
        <v>-0.67</v>
      </c>
      <c r="D7" s="218">
        <v>0.5</v>
      </c>
      <c r="E7" s="218">
        <v>0.15</v>
      </c>
      <c r="F7" s="218">
        <v>5</v>
      </c>
      <c r="Q7" s="218">
        <v>0.72</v>
      </c>
      <c r="R7" s="251">
        <f t="shared" si="1"/>
        <v>-0.72</v>
      </c>
      <c r="S7" s="218">
        <v>0.38</v>
      </c>
      <c r="T7" s="218">
        <v>0.15</v>
      </c>
      <c r="U7" s="218">
        <v>5</v>
      </c>
      <c r="AF7" s="218">
        <v>0.64</v>
      </c>
      <c r="AG7" s="251">
        <f t="shared" si="2"/>
        <v>-0.64</v>
      </c>
      <c r="AH7" s="218">
        <v>0.36</v>
      </c>
      <c r="AI7" s="218">
        <v>0.15</v>
      </c>
      <c r="AJ7" s="218">
        <v>5</v>
      </c>
      <c r="AV7" s="218">
        <v>0.63</v>
      </c>
      <c r="AW7" s="251">
        <f t="shared" si="3"/>
        <v>-0.63</v>
      </c>
      <c r="AX7" s="218">
        <v>0.35</v>
      </c>
      <c r="AY7" s="218">
        <v>0.15</v>
      </c>
      <c r="AZ7" s="218">
        <v>5</v>
      </c>
      <c r="BL7" s="218">
        <v>0.55000000000000004</v>
      </c>
      <c r="BM7" s="251">
        <f t="shared" si="4"/>
        <v>-0.55000000000000004</v>
      </c>
      <c r="BN7" s="218">
        <v>0.44</v>
      </c>
      <c r="BO7" s="218">
        <v>0.15</v>
      </c>
      <c r="BP7" s="218">
        <v>5</v>
      </c>
      <c r="CD7" s="218" t="s">
        <v>122</v>
      </c>
      <c r="CE7" s="218">
        <f>'All boreholes'!G95</f>
        <v>0</v>
      </c>
      <c r="CF7" s="218">
        <v>14.933999999999999</v>
      </c>
      <c r="CG7" s="218">
        <f>CE7-CF7</f>
        <v>-14.933999999999999</v>
      </c>
    </row>
    <row r="8" spans="2:85">
      <c r="B8" s="218">
        <v>0.69</v>
      </c>
      <c r="C8" s="218">
        <f t="shared" si="0"/>
        <v>-0.69</v>
      </c>
      <c r="D8" s="218">
        <v>0.48</v>
      </c>
      <c r="E8" s="218">
        <v>0.15</v>
      </c>
      <c r="F8" s="218">
        <v>5</v>
      </c>
      <c r="Q8" s="218">
        <v>0.74</v>
      </c>
      <c r="R8" s="251">
        <f t="shared" si="1"/>
        <v>-0.74</v>
      </c>
      <c r="S8" s="218">
        <v>0.38</v>
      </c>
      <c r="T8" s="218">
        <v>0.15</v>
      </c>
      <c r="U8" s="218">
        <v>5</v>
      </c>
      <c r="AF8" s="218">
        <v>0.66</v>
      </c>
      <c r="AG8" s="251">
        <f t="shared" si="2"/>
        <v>-0.66</v>
      </c>
      <c r="AH8" s="218">
        <v>0.36</v>
      </c>
      <c r="AI8" s="218">
        <v>0.15</v>
      </c>
      <c r="AJ8" s="218">
        <v>5</v>
      </c>
      <c r="AV8" s="218">
        <v>0.65</v>
      </c>
      <c r="AW8" s="251">
        <f t="shared" si="3"/>
        <v>-0.65</v>
      </c>
      <c r="AX8" s="218">
        <v>0.34</v>
      </c>
      <c r="AY8" s="218">
        <v>0.15</v>
      </c>
      <c r="AZ8" s="218">
        <v>5</v>
      </c>
      <c r="BL8" s="218">
        <v>0.56999999999999995</v>
      </c>
      <c r="BM8" s="251">
        <f t="shared" si="4"/>
        <v>-0.56999999999999995</v>
      </c>
      <c r="BN8" s="218">
        <v>0.43</v>
      </c>
      <c r="BO8" s="218">
        <v>0.15</v>
      </c>
      <c r="BP8" s="218">
        <v>5</v>
      </c>
    </row>
    <row r="9" spans="2:85">
      <c r="B9" s="218">
        <v>0.72</v>
      </c>
      <c r="C9" s="218">
        <f t="shared" si="0"/>
        <v>-0.72</v>
      </c>
      <c r="D9" s="218">
        <v>0.46</v>
      </c>
      <c r="E9" s="218">
        <v>0.15</v>
      </c>
      <c r="F9" s="218">
        <v>5</v>
      </c>
      <c r="Q9" s="218">
        <v>0.77</v>
      </c>
      <c r="R9" s="251">
        <f t="shared" si="1"/>
        <v>-0.77</v>
      </c>
      <c r="S9" s="218">
        <v>0.37</v>
      </c>
      <c r="T9" s="218">
        <v>0.15</v>
      </c>
      <c r="U9" s="218">
        <v>5</v>
      </c>
      <c r="AF9" s="218">
        <v>0.69</v>
      </c>
      <c r="AG9" s="251">
        <f t="shared" si="2"/>
        <v>-0.69</v>
      </c>
      <c r="AH9" s="218">
        <v>0.36</v>
      </c>
      <c r="AI9" s="218">
        <v>0.15</v>
      </c>
      <c r="AJ9" s="218">
        <v>5</v>
      </c>
      <c r="AV9" s="218">
        <v>0.68</v>
      </c>
      <c r="AW9" s="251">
        <f t="shared" si="3"/>
        <v>-0.68</v>
      </c>
      <c r="AX9" s="218">
        <v>0.33</v>
      </c>
      <c r="AY9" s="218">
        <v>0.15</v>
      </c>
      <c r="AZ9" s="218">
        <v>5</v>
      </c>
      <c r="BL9" s="218">
        <v>0.6</v>
      </c>
      <c r="BM9" s="251">
        <f t="shared" si="4"/>
        <v>-0.6</v>
      </c>
      <c r="BN9" s="218">
        <v>0.42</v>
      </c>
      <c r="BO9" s="218">
        <v>0.15</v>
      </c>
      <c r="BP9" s="218">
        <v>5</v>
      </c>
    </row>
    <row r="10" spans="2:85">
      <c r="B10" s="218">
        <v>0.74</v>
      </c>
      <c r="C10" s="218">
        <f t="shared" si="0"/>
        <v>-0.74</v>
      </c>
      <c r="D10" s="218">
        <v>0.45</v>
      </c>
      <c r="E10" s="218">
        <v>0.15</v>
      </c>
      <c r="F10" s="218">
        <v>5</v>
      </c>
      <c r="Q10" s="218">
        <v>0.79</v>
      </c>
      <c r="R10" s="251">
        <f t="shared" si="1"/>
        <v>-0.79</v>
      </c>
      <c r="S10" s="218">
        <v>0.37</v>
      </c>
      <c r="T10" s="218">
        <v>0.15</v>
      </c>
      <c r="U10" s="218">
        <v>5</v>
      </c>
      <c r="AF10" s="218">
        <v>0.71</v>
      </c>
      <c r="AG10" s="251">
        <f t="shared" si="2"/>
        <v>-0.71</v>
      </c>
      <c r="AH10" s="218">
        <v>0.35</v>
      </c>
      <c r="AI10" s="218">
        <v>0.15</v>
      </c>
      <c r="AJ10" s="218">
        <v>5</v>
      </c>
      <c r="AV10" s="218">
        <v>0.7</v>
      </c>
      <c r="AW10" s="251">
        <f t="shared" si="3"/>
        <v>-0.7</v>
      </c>
      <c r="AX10" s="218">
        <v>0.33</v>
      </c>
      <c r="AY10" s="218">
        <v>0.15</v>
      </c>
      <c r="AZ10" s="218">
        <v>5</v>
      </c>
      <c r="BL10" s="218">
        <v>0.62</v>
      </c>
      <c r="BM10" s="251">
        <f t="shared" si="4"/>
        <v>-0.62</v>
      </c>
      <c r="BN10" s="218">
        <v>0.42</v>
      </c>
      <c r="BO10" s="218">
        <v>0.15</v>
      </c>
      <c r="BP10" s="218">
        <v>5</v>
      </c>
    </row>
    <row r="11" spans="2:85">
      <c r="B11" s="218">
        <v>0.77</v>
      </c>
      <c r="C11" s="218">
        <f t="shared" si="0"/>
        <v>-0.77</v>
      </c>
      <c r="D11" s="218">
        <v>0.44</v>
      </c>
      <c r="E11" s="218">
        <v>0.15</v>
      </c>
      <c r="F11" s="218">
        <v>5</v>
      </c>
      <c r="Q11" s="218">
        <v>0.82</v>
      </c>
      <c r="R11" s="251">
        <f t="shared" si="1"/>
        <v>-0.82</v>
      </c>
      <c r="S11" s="218">
        <v>0.37</v>
      </c>
      <c r="T11" s="218">
        <v>0.15</v>
      </c>
      <c r="U11" s="218">
        <v>5</v>
      </c>
      <c r="AF11" s="218">
        <v>0.74</v>
      </c>
      <c r="AG11" s="251">
        <f t="shared" si="2"/>
        <v>-0.74</v>
      </c>
      <c r="AH11" s="218">
        <v>0.35</v>
      </c>
      <c r="AI11" s="218">
        <v>0.15</v>
      </c>
      <c r="AJ11" s="218">
        <v>5</v>
      </c>
      <c r="AV11" s="218">
        <v>0.73</v>
      </c>
      <c r="AW11" s="251">
        <f t="shared" si="3"/>
        <v>-0.73</v>
      </c>
      <c r="AX11" s="218">
        <v>0.32</v>
      </c>
      <c r="AY11" s="218">
        <v>0.15</v>
      </c>
      <c r="AZ11" s="218">
        <v>5</v>
      </c>
      <c r="BL11" s="218">
        <v>0.65</v>
      </c>
      <c r="BM11" s="251">
        <f t="shared" si="4"/>
        <v>-0.65</v>
      </c>
      <c r="BN11" s="218">
        <v>0.41</v>
      </c>
      <c r="BO11" s="218">
        <v>0.15</v>
      </c>
      <c r="BP11" s="218">
        <v>5</v>
      </c>
    </row>
    <row r="12" spans="2:85">
      <c r="B12" s="218">
        <v>0.79</v>
      </c>
      <c r="C12" s="218">
        <f t="shared" si="0"/>
        <v>-0.79</v>
      </c>
      <c r="D12" s="218">
        <v>0.42</v>
      </c>
      <c r="E12" s="218">
        <v>0.15</v>
      </c>
      <c r="F12" s="218">
        <v>5</v>
      </c>
      <c r="Q12" s="218">
        <v>0.84</v>
      </c>
      <c r="R12" s="251">
        <f t="shared" si="1"/>
        <v>-0.84</v>
      </c>
      <c r="S12" s="218">
        <v>0.36</v>
      </c>
      <c r="T12" s="218">
        <v>0.15</v>
      </c>
      <c r="U12" s="218">
        <v>5</v>
      </c>
      <c r="AF12" s="218">
        <v>0.76</v>
      </c>
      <c r="AG12" s="251">
        <f t="shared" si="2"/>
        <v>-0.76</v>
      </c>
      <c r="AH12" s="218">
        <v>0.34</v>
      </c>
      <c r="AI12" s="218">
        <v>0.15</v>
      </c>
      <c r="AJ12" s="218">
        <v>5</v>
      </c>
      <c r="AV12" s="218">
        <v>0.75</v>
      </c>
      <c r="AW12" s="251">
        <f t="shared" si="3"/>
        <v>-0.75</v>
      </c>
      <c r="AX12" s="218">
        <v>0.31</v>
      </c>
      <c r="AY12" s="218">
        <v>0.15</v>
      </c>
      <c r="AZ12" s="218">
        <v>5</v>
      </c>
      <c r="BL12" s="218">
        <v>0.67</v>
      </c>
      <c r="BM12" s="251">
        <f t="shared" si="4"/>
        <v>-0.67</v>
      </c>
      <c r="BN12" s="218">
        <v>0.4</v>
      </c>
      <c r="BO12" s="218">
        <v>0.15</v>
      </c>
      <c r="BP12" s="218">
        <v>5</v>
      </c>
    </row>
    <row r="13" spans="2:85">
      <c r="B13" s="218">
        <v>0.82</v>
      </c>
      <c r="C13" s="218">
        <f t="shared" si="0"/>
        <v>-0.82</v>
      </c>
      <c r="D13" s="218">
        <v>0.41</v>
      </c>
      <c r="E13" s="218">
        <v>0.15</v>
      </c>
      <c r="F13" s="218">
        <v>5</v>
      </c>
      <c r="Q13" s="218">
        <v>0.87</v>
      </c>
      <c r="R13" s="251">
        <f t="shared" si="1"/>
        <v>-0.87</v>
      </c>
      <c r="S13" s="218">
        <v>0.36</v>
      </c>
      <c r="T13" s="218">
        <v>0.15</v>
      </c>
      <c r="U13" s="218">
        <v>5</v>
      </c>
      <c r="AF13" s="218">
        <v>0.79</v>
      </c>
      <c r="AG13" s="251">
        <f t="shared" si="2"/>
        <v>-0.79</v>
      </c>
      <c r="AH13" s="218">
        <v>0.34</v>
      </c>
      <c r="AI13" s="218">
        <v>0.15</v>
      </c>
      <c r="AJ13" s="218">
        <v>5</v>
      </c>
      <c r="AV13" s="218">
        <v>0.78</v>
      </c>
      <c r="AW13" s="251">
        <f t="shared" si="3"/>
        <v>-0.78</v>
      </c>
      <c r="AX13" s="218">
        <v>0.31</v>
      </c>
      <c r="AY13" s="218">
        <v>0.15</v>
      </c>
      <c r="AZ13" s="218">
        <v>5</v>
      </c>
      <c r="BL13" s="218">
        <v>0.7</v>
      </c>
      <c r="BM13" s="251">
        <f t="shared" si="4"/>
        <v>-0.7</v>
      </c>
      <c r="BN13" s="218">
        <v>0.4</v>
      </c>
      <c r="BO13" s="218">
        <v>0.15</v>
      </c>
      <c r="BP13" s="218">
        <v>5</v>
      </c>
    </row>
    <row r="14" spans="2:85">
      <c r="B14" s="218">
        <v>0.84</v>
      </c>
      <c r="C14" s="218">
        <f t="shared" si="0"/>
        <v>-0.84</v>
      </c>
      <c r="D14" s="218">
        <v>0.4</v>
      </c>
      <c r="E14" s="218">
        <v>0.15</v>
      </c>
      <c r="F14" s="218">
        <v>5</v>
      </c>
      <c r="Q14" s="218">
        <v>0.89</v>
      </c>
      <c r="R14" s="251">
        <f t="shared" si="1"/>
        <v>-0.89</v>
      </c>
      <c r="S14" s="218">
        <v>0.35</v>
      </c>
      <c r="T14" s="218">
        <v>0.15</v>
      </c>
      <c r="U14" s="218">
        <v>5</v>
      </c>
      <c r="AF14" s="218">
        <v>0.81</v>
      </c>
      <c r="AG14" s="251">
        <f t="shared" si="2"/>
        <v>-0.81</v>
      </c>
      <c r="AH14" s="218">
        <v>0.34</v>
      </c>
      <c r="AI14" s="218">
        <v>0.15</v>
      </c>
      <c r="AJ14" s="218">
        <v>5</v>
      </c>
      <c r="AV14" s="218">
        <v>0.8</v>
      </c>
      <c r="AW14" s="251">
        <f t="shared" si="3"/>
        <v>-0.8</v>
      </c>
      <c r="AX14" s="218">
        <v>0.3</v>
      </c>
      <c r="AY14" s="218">
        <v>0.15</v>
      </c>
      <c r="AZ14" s="218">
        <v>5</v>
      </c>
      <c r="BL14" s="218">
        <v>0.72</v>
      </c>
      <c r="BM14" s="251">
        <f t="shared" si="4"/>
        <v>-0.72</v>
      </c>
      <c r="BN14" s="218">
        <v>0.39</v>
      </c>
      <c r="BO14" s="218">
        <v>0.15</v>
      </c>
      <c r="BP14" s="218">
        <v>5</v>
      </c>
    </row>
    <row r="15" spans="2:85">
      <c r="B15" s="218">
        <v>0.87</v>
      </c>
      <c r="C15" s="218">
        <f t="shared" si="0"/>
        <v>-0.87</v>
      </c>
      <c r="D15" s="218">
        <v>0.38</v>
      </c>
      <c r="E15" s="218">
        <v>0.15</v>
      </c>
      <c r="F15" s="218">
        <v>5</v>
      </c>
      <c r="Q15" s="218">
        <v>0.92</v>
      </c>
      <c r="R15" s="251">
        <f t="shared" si="1"/>
        <v>-0.92</v>
      </c>
      <c r="S15" s="218">
        <v>0.35</v>
      </c>
      <c r="T15" s="218">
        <v>0.15</v>
      </c>
      <c r="U15" s="218">
        <v>5</v>
      </c>
      <c r="AF15" s="218">
        <v>0.84</v>
      </c>
      <c r="AG15" s="251">
        <f t="shared" si="2"/>
        <v>-0.84</v>
      </c>
      <c r="AH15" s="218">
        <v>0.33</v>
      </c>
      <c r="AI15" s="218">
        <v>0.15</v>
      </c>
      <c r="AJ15" s="218">
        <v>5</v>
      </c>
      <c r="AV15" s="218">
        <v>0.83</v>
      </c>
      <c r="AW15" s="251">
        <f t="shared" si="3"/>
        <v>-0.83</v>
      </c>
      <c r="AX15" s="218">
        <v>0.28999999999999998</v>
      </c>
      <c r="AY15" s="218">
        <v>0.15</v>
      </c>
      <c r="AZ15" s="218">
        <v>5</v>
      </c>
      <c r="BL15" s="218">
        <v>0.75</v>
      </c>
      <c r="BM15" s="251">
        <f t="shared" si="4"/>
        <v>-0.75</v>
      </c>
      <c r="BN15" s="218">
        <v>0.39</v>
      </c>
      <c r="BO15" s="218">
        <v>0.15</v>
      </c>
      <c r="BP15" s="218">
        <v>5</v>
      </c>
    </row>
    <row r="16" spans="2:85">
      <c r="B16" s="218">
        <v>0.89</v>
      </c>
      <c r="C16" s="218">
        <f t="shared" si="0"/>
        <v>-0.89</v>
      </c>
      <c r="D16" s="218">
        <v>0.37</v>
      </c>
      <c r="E16" s="218">
        <v>0.15</v>
      </c>
      <c r="F16" s="218">
        <v>5</v>
      </c>
      <c r="Q16" s="218">
        <v>0.94</v>
      </c>
      <c r="R16" s="251">
        <f t="shared" si="1"/>
        <v>-0.94</v>
      </c>
      <c r="S16" s="218">
        <v>0.34</v>
      </c>
      <c r="T16" s="218">
        <v>0.15</v>
      </c>
      <c r="U16" s="218">
        <v>5</v>
      </c>
      <c r="AF16" s="218">
        <v>0.86</v>
      </c>
      <c r="AG16" s="251">
        <f t="shared" si="2"/>
        <v>-0.86</v>
      </c>
      <c r="AH16" s="218">
        <v>0.33</v>
      </c>
      <c r="AI16" s="218">
        <v>0.15</v>
      </c>
      <c r="AJ16" s="218">
        <v>5</v>
      </c>
      <c r="AV16" s="218">
        <v>0.85</v>
      </c>
      <c r="AW16" s="251">
        <f t="shared" si="3"/>
        <v>-0.85</v>
      </c>
      <c r="AX16" s="218">
        <v>0.28999999999999998</v>
      </c>
      <c r="AY16" s="218">
        <v>0.15</v>
      </c>
      <c r="AZ16" s="218">
        <v>5</v>
      </c>
      <c r="BL16" s="218">
        <v>0.77</v>
      </c>
      <c r="BM16" s="251">
        <f t="shared" si="4"/>
        <v>-0.77</v>
      </c>
      <c r="BN16" s="218">
        <v>0.38</v>
      </c>
      <c r="BO16" s="218">
        <v>0.15</v>
      </c>
      <c r="BP16" s="218">
        <v>5</v>
      </c>
    </row>
    <row r="17" spans="2:72">
      <c r="B17" s="218">
        <v>0.92</v>
      </c>
      <c r="C17" s="218">
        <f t="shared" si="0"/>
        <v>-0.92</v>
      </c>
      <c r="D17" s="218">
        <v>0.36</v>
      </c>
      <c r="E17" s="218">
        <v>0.15</v>
      </c>
      <c r="F17" s="218">
        <v>5</v>
      </c>
      <c r="Q17" s="218">
        <v>0.97</v>
      </c>
      <c r="R17" s="251">
        <f t="shared" si="1"/>
        <v>-0.97</v>
      </c>
      <c r="S17" s="218">
        <v>0.34</v>
      </c>
      <c r="T17" s="218">
        <v>0.15</v>
      </c>
      <c r="U17" s="218">
        <v>5</v>
      </c>
      <c r="AF17" s="218">
        <v>0.89</v>
      </c>
      <c r="AG17" s="251">
        <f t="shared" si="2"/>
        <v>-0.89</v>
      </c>
      <c r="AH17" s="218">
        <v>0.33</v>
      </c>
      <c r="AI17" s="218">
        <v>0.15</v>
      </c>
      <c r="AJ17" s="218">
        <v>5</v>
      </c>
      <c r="AV17" s="218">
        <v>0.88</v>
      </c>
      <c r="AW17" s="251">
        <f t="shared" si="3"/>
        <v>-0.88</v>
      </c>
      <c r="AX17" s="218">
        <v>0.28000000000000003</v>
      </c>
      <c r="AY17" s="218">
        <v>0.15</v>
      </c>
      <c r="AZ17" s="218">
        <v>5</v>
      </c>
      <c r="BL17" s="218">
        <v>0.8</v>
      </c>
      <c r="BM17" s="251">
        <f t="shared" si="4"/>
        <v>-0.8</v>
      </c>
      <c r="BN17" s="218">
        <v>0.38</v>
      </c>
      <c r="BO17" s="218">
        <v>0.15</v>
      </c>
      <c r="BP17" s="218">
        <v>5</v>
      </c>
    </row>
    <row r="18" spans="2:72">
      <c r="B18" s="218">
        <v>0.94</v>
      </c>
      <c r="C18" s="218">
        <f t="shared" si="0"/>
        <v>-0.94</v>
      </c>
      <c r="D18" s="218">
        <v>0.35</v>
      </c>
      <c r="E18" s="218">
        <v>0.15</v>
      </c>
      <c r="F18" s="218">
        <v>5</v>
      </c>
      <c r="Q18" s="218">
        <v>0.99</v>
      </c>
      <c r="R18" s="251">
        <f t="shared" si="1"/>
        <v>-0.99</v>
      </c>
      <c r="S18" s="218">
        <v>0.33</v>
      </c>
      <c r="T18" s="218">
        <v>0.15</v>
      </c>
      <c r="U18" s="218">
        <v>5</v>
      </c>
      <c r="AF18" s="218">
        <v>0.91</v>
      </c>
      <c r="AG18" s="251">
        <f t="shared" si="2"/>
        <v>-0.91</v>
      </c>
      <c r="AH18" s="218">
        <v>0.32</v>
      </c>
      <c r="AI18" s="218">
        <v>0.15</v>
      </c>
      <c r="AJ18" s="218">
        <v>5</v>
      </c>
      <c r="AV18" s="218">
        <v>0.9</v>
      </c>
      <c r="AW18" s="251">
        <f t="shared" si="3"/>
        <v>-0.9</v>
      </c>
      <c r="AX18" s="218">
        <v>0.27</v>
      </c>
      <c r="AY18" s="218">
        <v>0.15</v>
      </c>
      <c r="AZ18" s="218">
        <v>5</v>
      </c>
      <c r="BL18" s="218">
        <v>0.82</v>
      </c>
      <c r="BM18" s="251">
        <f t="shared" si="4"/>
        <v>-0.82</v>
      </c>
      <c r="BN18" s="218">
        <v>0.37</v>
      </c>
      <c r="BO18" s="218">
        <v>0.15</v>
      </c>
      <c r="BP18" s="218">
        <v>5</v>
      </c>
    </row>
    <row r="19" spans="2:72">
      <c r="B19" s="218">
        <v>0.97</v>
      </c>
      <c r="C19" s="218">
        <f t="shared" si="0"/>
        <v>-0.97</v>
      </c>
      <c r="D19" s="218">
        <v>0.34</v>
      </c>
      <c r="E19" s="218">
        <v>0.15</v>
      </c>
      <c r="F19" s="218">
        <v>5</v>
      </c>
      <c r="Q19" s="218">
        <v>1.02</v>
      </c>
      <c r="R19" s="251">
        <f t="shared" si="1"/>
        <v>-1.02</v>
      </c>
      <c r="S19" s="218">
        <v>0.33</v>
      </c>
      <c r="T19" s="218">
        <v>0.15</v>
      </c>
      <c r="U19" s="218">
        <v>5</v>
      </c>
      <c r="AF19" s="218">
        <v>0.94</v>
      </c>
      <c r="AG19" s="251">
        <f t="shared" si="2"/>
        <v>-0.94</v>
      </c>
      <c r="AH19" s="218">
        <v>0.32</v>
      </c>
      <c r="AI19" s="218">
        <v>0.15</v>
      </c>
      <c r="AJ19" s="218">
        <v>5</v>
      </c>
      <c r="AV19" s="218">
        <v>0.93</v>
      </c>
      <c r="AW19" s="251">
        <f t="shared" si="3"/>
        <v>-0.93</v>
      </c>
      <c r="AX19" s="218">
        <v>0.27</v>
      </c>
      <c r="AY19" s="218">
        <v>0.15</v>
      </c>
      <c r="AZ19" s="218">
        <v>5</v>
      </c>
      <c r="BL19" s="218">
        <v>0.85</v>
      </c>
      <c r="BM19" s="251">
        <f t="shared" si="4"/>
        <v>-0.85</v>
      </c>
      <c r="BN19" s="218">
        <v>0.37</v>
      </c>
      <c r="BO19" s="218">
        <v>0.15</v>
      </c>
      <c r="BP19" s="218">
        <v>5</v>
      </c>
    </row>
    <row r="20" spans="2:72">
      <c r="B20" s="218">
        <v>0.99</v>
      </c>
      <c r="C20" s="218">
        <f t="shared" si="0"/>
        <v>-0.99</v>
      </c>
      <c r="D20" s="218">
        <v>0.33</v>
      </c>
      <c r="E20" s="218">
        <v>0.15</v>
      </c>
      <c r="F20" s="218">
        <v>5</v>
      </c>
      <c r="Q20" s="218">
        <v>1.04</v>
      </c>
      <c r="R20" s="251">
        <f t="shared" si="1"/>
        <v>-1.04</v>
      </c>
      <c r="S20" s="218">
        <v>0.32</v>
      </c>
      <c r="T20" s="218">
        <v>0.15</v>
      </c>
      <c r="U20" s="218">
        <v>5</v>
      </c>
      <c r="AF20" s="218">
        <v>0.96</v>
      </c>
      <c r="AG20" s="251">
        <f t="shared" si="2"/>
        <v>-0.96</v>
      </c>
      <c r="AH20" s="218">
        <v>0.32</v>
      </c>
      <c r="AI20" s="218">
        <v>0.15</v>
      </c>
      <c r="AJ20" s="218">
        <v>5</v>
      </c>
      <c r="AM20" s="362" t="s">
        <v>159</v>
      </c>
      <c r="AN20" s="362"/>
      <c r="AV20" s="218">
        <v>0.95</v>
      </c>
      <c r="AW20" s="251">
        <f t="shared" si="3"/>
        <v>-0.95</v>
      </c>
      <c r="AX20" s="218">
        <v>0.26</v>
      </c>
      <c r="AY20" s="218">
        <v>0.15</v>
      </c>
      <c r="AZ20" s="218">
        <v>5</v>
      </c>
      <c r="BC20" s="362" t="s">
        <v>159</v>
      </c>
      <c r="BD20" s="362"/>
      <c r="BL20" s="218">
        <v>0.87</v>
      </c>
      <c r="BM20" s="251">
        <f t="shared" si="4"/>
        <v>-0.87</v>
      </c>
      <c r="BN20" s="218">
        <v>0.36</v>
      </c>
      <c r="BO20" s="218">
        <v>0.15</v>
      </c>
      <c r="BP20" s="218">
        <v>5</v>
      </c>
      <c r="BS20" s="362" t="s">
        <v>159</v>
      </c>
      <c r="BT20" s="362"/>
    </row>
    <row r="21" spans="2:72">
      <c r="B21" s="218">
        <v>1.02</v>
      </c>
      <c r="C21" s="218">
        <f t="shared" si="0"/>
        <v>-1.02</v>
      </c>
      <c r="D21" s="218">
        <v>0.32</v>
      </c>
      <c r="E21" s="218">
        <v>0.15</v>
      </c>
      <c r="F21" s="218">
        <v>5</v>
      </c>
      <c r="H21" s="362" t="s">
        <v>159</v>
      </c>
      <c r="I21" s="362"/>
      <c r="Q21" s="218">
        <v>1.07</v>
      </c>
      <c r="R21" s="251">
        <f t="shared" si="1"/>
        <v>-1.07</v>
      </c>
      <c r="S21" s="218">
        <v>0.32</v>
      </c>
      <c r="T21" s="218">
        <v>0.15</v>
      </c>
      <c r="U21" s="218">
        <v>5</v>
      </c>
      <c r="X21" s="362" t="s">
        <v>159</v>
      </c>
      <c r="Y21" s="362"/>
      <c r="AF21" s="218">
        <v>0.99</v>
      </c>
      <c r="AG21" s="251">
        <f t="shared" si="2"/>
        <v>-0.99</v>
      </c>
      <c r="AH21" s="218">
        <v>0.31</v>
      </c>
      <c r="AI21" s="218">
        <v>0.15</v>
      </c>
      <c r="AJ21" s="218">
        <v>5</v>
      </c>
      <c r="AM21" s="209" t="s">
        <v>132</v>
      </c>
      <c r="AN21" s="209" t="s">
        <v>133</v>
      </c>
      <c r="AV21" s="218">
        <v>0.98</v>
      </c>
      <c r="AW21" s="251">
        <f t="shared" si="3"/>
        <v>-0.98</v>
      </c>
      <c r="AX21" s="218">
        <v>0.25</v>
      </c>
      <c r="AY21" s="218">
        <v>0.15</v>
      </c>
      <c r="AZ21" s="218">
        <v>5</v>
      </c>
      <c r="BC21" s="209" t="s">
        <v>132</v>
      </c>
      <c r="BD21" s="209" t="s">
        <v>133</v>
      </c>
      <c r="BL21" s="218">
        <v>0.9</v>
      </c>
      <c r="BM21" s="251">
        <f t="shared" si="4"/>
        <v>-0.9</v>
      </c>
      <c r="BN21" s="218">
        <v>0.36</v>
      </c>
      <c r="BO21" s="218">
        <v>0.15</v>
      </c>
      <c r="BP21" s="218">
        <v>5</v>
      </c>
      <c r="BS21" s="209" t="s">
        <v>132</v>
      </c>
      <c r="BT21" s="209" t="s">
        <v>133</v>
      </c>
    </row>
    <row r="22" spans="2:72">
      <c r="B22" s="218">
        <v>1.04</v>
      </c>
      <c r="C22" s="218">
        <f t="shared" si="0"/>
        <v>-1.04</v>
      </c>
      <c r="D22" s="218">
        <v>0.31</v>
      </c>
      <c r="E22" s="218">
        <v>0.15</v>
      </c>
      <c r="F22" s="218">
        <v>5</v>
      </c>
      <c r="H22" s="209" t="s">
        <v>132</v>
      </c>
      <c r="I22" s="209" t="s">
        <v>133</v>
      </c>
      <c r="Q22" s="218">
        <v>1.0900000000000001</v>
      </c>
      <c r="R22" s="251">
        <f t="shared" si="1"/>
        <v>-1.0900000000000001</v>
      </c>
      <c r="S22" s="218">
        <v>0.32</v>
      </c>
      <c r="T22" s="218">
        <v>0.15</v>
      </c>
      <c r="U22" s="218">
        <v>5</v>
      </c>
      <c r="X22" s="209" t="s">
        <v>132</v>
      </c>
      <c r="Y22" s="209" t="s">
        <v>133</v>
      </c>
      <c r="AF22" s="218">
        <v>1.01</v>
      </c>
      <c r="AG22" s="251">
        <f t="shared" si="2"/>
        <v>-1.01</v>
      </c>
      <c r="AH22" s="218">
        <v>0.31</v>
      </c>
      <c r="AI22" s="218">
        <v>0.15</v>
      </c>
      <c r="AJ22" s="218">
        <v>5</v>
      </c>
      <c r="AM22" s="220">
        <v>1.2</v>
      </c>
      <c r="AN22" s="209">
        <v>-5</v>
      </c>
      <c r="AV22" s="218">
        <v>1</v>
      </c>
      <c r="AW22" s="251">
        <f t="shared" si="3"/>
        <v>-1</v>
      </c>
      <c r="AX22" s="218">
        <v>0.25</v>
      </c>
      <c r="AY22" s="218">
        <v>0.15</v>
      </c>
      <c r="AZ22" s="218">
        <v>5</v>
      </c>
      <c r="BC22" s="220">
        <v>1.2</v>
      </c>
      <c r="BD22" s="209">
        <v>-5</v>
      </c>
      <c r="BL22" s="218">
        <v>0.92</v>
      </c>
      <c r="BM22" s="251">
        <f t="shared" si="4"/>
        <v>-0.92</v>
      </c>
      <c r="BN22" s="218">
        <v>0.35</v>
      </c>
      <c r="BO22" s="218">
        <v>0.15</v>
      </c>
      <c r="BP22" s="218">
        <v>5</v>
      </c>
      <c r="BS22" s="220">
        <v>1.2</v>
      </c>
      <c r="BT22" s="209">
        <v>-5</v>
      </c>
    </row>
    <row r="23" spans="2:72">
      <c r="B23" s="218">
        <v>1.07</v>
      </c>
      <c r="C23" s="218">
        <f t="shared" si="0"/>
        <v>-1.07</v>
      </c>
      <c r="D23" s="218">
        <v>0.3</v>
      </c>
      <c r="E23" s="218">
        <v>0.15</v>
      </c>
      <c r="F23" s="218">
        <v>5</v>
      </c>
      <c r="H23" s="220">
        <v>1.2</v>
      </c>
      <c r="I23" s="209">
        <v>-5</v>
      </c>
      <c r="Q23" s="218">
        <v>1.1200000000000001</v>
      </c>
      <c r="R23" s="251">
        <f t="shared" si="1"/>
        <v>-1.1200000000000001</v>
      </c>
      <c r="S23" s="218">
        <v>0.33</v>
      </c>
      <c r="T23" s="218">
        <v>0.15</v>
      </c>
      <c r="U23" s="218">
        <v>5</v>
      </c>
      <c r="X23" s="220">
        <v>1.2</v>
      </c>
      <c r="Y23" s="209">
        <v>-5</v>
      </c>
      <c r="AF23" s="218">
        <v>1.04</v>
      </c>
      <c r="AG23" s="251">
        <f t="shared" si="2"/>
        <v>-1.04</v>
      </c>
      <c r="AH23" s="218">
        <v>0.31</v>
      </c>
      <c r="AI23" s="218">
        <v>0.15</v>
      </c>
      <c r="AJ23" s="218">
        <v>5</v>
      </c>
      <c r="AM23" s="220">
        <v>1.2</v>
      </c>
      <c r="AN23" s="209">
        <v>20</v>
      </c>
      <c r="AV23" s="218">
        <v>1.03</v>
      </c>
      <c r="AW23" s="251">
        <f t="shared" si="3"/>
        <v>-1.03</v>
      </c>
      <c r="AX23" s="218">
        <v>0.24</v>
      </c>
      <c r="AY23" s="218">
        <v>0.15</v>
      </c>
      <c r="AZ23" s="218">
        <v>5</v>
      </c>
      <c r="BC23" s="220">
        <v>1.2</v>
      </c>
      <c r="BD23" s="209">
        <v>20</v>
      </c>
      <c r="BL23" s="218">
        <v>0.95</v>
      </c>
      <c r="BM23" s="251">
        <f t="shared" si="4"/>
        <v>-0.95</v>
      </c>
      <c r="BN23" s="218">
        <v>0.35</v>
      </c>
      <c r="BO23" s="218">
        <v>0.15</v>
      </c>
      <c r="BP23" s="218">
        <v>5</v>
      </c>
      <c r="BS23" s="220">
        <v>1.2</v>
      </c>
      <c r="BT23" s="209">
        <v>20</v>
      </c>
    </row>
    <row r="24" spans="2:72">
      <c r="B24" s="218">
        <v>1.0900000000000001</v>
      </c>
      <c r="C24" s="218">
        <f t="shared" si="0"/>
        <v>-1.0900000000000001</v>
      </c>
      <c r="D24" s="218">
        <v>0.28999999999999998</v>
      </c>
      <c r="E24" s="218">
        <v>0.15</v>
      </c>
      <c r="F24" s="218">
        <v>5</v>
      </c>
      <c r="H24" s="220">
        <v>1.2</v>
      </c>
      <c r="I24" s="209">
        <v>20</v>
      </c>
      <c r="Q24" s="218">
        <v>1.1399999999999999</v>
      </c>
      <c r="R24" s="251">
        <f t="shared" si="1"/>
        <v>-1.1399999999999999</v>
      </c>
      <c r="S24" s="218">
        <v>0.34</v>
      </c>
      <c r="T24" s="218">
        <v>0.15</v>
      </c>
      <c r="U24" s="218">
        <v>5</v>
      </c>
      <c r="X24" s="220">
        <v>1.2</v>
      </c>
      <c r="Y24" s="209">
        <v>20</v>
      </c>
      <c r="AF24" s="218">
        <v>1.06</v>
      </c>
      <c r="AG24" s="251">
        <f t="shared" si="2"/>
        <v>-1.06</v>
      </c>
      <c r="AH24" s="218">
        <v>0.3</v>
      </c>
      <c r="AI24" s="218">
        <v>0.15</v>
      </c>
      <c r="AJ24" s="218">
        <v>5</v>
      </c>
      <c r="AV24" s="218">
        <v>1.05</v>
      </c>
      <c r="AW24" s="251">
        <f t="shared" si="3"/>
        <v>-1.05</v>
      </c>
      <c r="AX24" s="218">
        <v>0.23</v>
      </c>
      <c r="AY24" s="218">
        <v>0.15</v>
      </c>
      <c r="AZ24" s="218">
        <v>5</v>
      </c>
      <c r="BL24" s="218">
        <v>0.97</v>
      </c>
      <c r="BM24" s="251">
        <f t="shared" si="4"/>
        <v>-0.97</v>
      </c>
      <c r="BN24" s="218">
        <v>0.34</v>
      </c>
      <c r="BO24" s="218">
        <v>0.15</v>
      </c>
      <c r="BP24" s="218">
        <v>5</v>
      </c>
    </row>
    <row r="25" spans="2:72">
      <c r="B25" s="218">
        <v>1.1200000000000001</v>
      </c>
      <c r="C25" s="218">
        <f t="shared" si="0"/>
        <v>-1.1200000000000001</v>
      </c>
      <c r="D25" s="218">
        <v>0.28000000000000003</v>
      </c>
      <c r="E25" s="218">
        <v>0.15</v>
      </c>
      <c r="F25" s="218">
        <v>5</v>
      </c>
      <c r="Q25" s="218">
        <v>1.17</v>
      </c>
      <c r="R25" s="251">
        <f t="shared" si="1"/>
        <v>-1.17</v>
      </c>
      <c r="S25" s="218">
        <v>0.34</v>
      </c>
      <c r="T25" s="218">
        <v>0.15</v>
      </c>
      <c r="U25" s="218">
        <v>5</v>
      </c>
      <c r="AF25" s="218">
        <v>1.0900000000000001</v>
      </c>
      <c r="AG25" s="251">
        <f t="shared" si="2"/>
        <v>-1.0900000000000001</v>
      </c>
      <c r="AH25" s="218">
        <v>0.3</v>
      </c>
      <c r="AI25" s="218">
        <v>0.15</v>
      </c>
      <c r="AJ25" s="218">
        <v>5</v>
      </c>
      <c r="AV25" s="218">
        <v>1.08</v>
      </c>
      <c r="AW25" s="251">
        <f t="shared" si="3"/>
        <v>-1.08</v>
      </c>
      <c r="AX25" s="218">
        <v>0.23</v>
      </c>
      <c r="AY25" s="218">
        <v>0.15</v>
      </c>
      <c r="AZ25" s="218">
        <v>5</v>
      </c>
      <c r="BL25" s="218">
        <v>1</v>
      </c>
      <c r="BM25" s="251">
        <f t="shared" si="4"/>
        <v>-1</v>
      </c>
      <c r="BN25" s="218">
        <v>0.34</v>
      </c>
      <c r="BO25" s="218">
        <v>0.15</v>
      </c>
      <c r="BP25" s="218">
        <v>5</v>
      </c>
    </row>
    <row r="26" spans="2:72">
      <c r="B26" s="218">
        <v>1.1399999999999999</v>
      </c>
      <c r="C26" s="218">
        <f t="shared" si="0"/>
        <v>-1.1399999999999999</v>
      </c>
      <c r="D26" s="218">
        <v>0.31</v>
      </c>
      <c r="E26" s="218">
        <v>0.15</v>
      </c>
      <c r="F26" s="218">
        <v>5</v>
      </c>
      <c r="Q26" s="218">
        <v>1.19</v>
      </c>
      <c r="R26" s="251">
        <f t="shared" si="1"/>
        <v>-1.19</v>
      </c>
      <c r="S26" s="218">
        <v>0.35</v>
      </c>
      <c r="T26" s="218">
        <v>0.15</v>
      </c>
      <c r="U26" s="218">
        <v>5</v>
      </c>
      <c r="AF26" s="218">
        <v>1.1100000000000001</v>
      </c>
      <c r="AG26" s="251">
        <f t="shared" si="2"/>
        <v>-1.1100000000000001</v>
      </c>
      <c r="AH26" s="218">
        <v>0.31</v>
      </c>
      <c r="AI26" s="218">
        <v>0.15</v>
      </c>
      <c r="AJ26" s="218">
        <v>5</v>
      </c>
      <c r="AV26" s="218">
        <v>1.1000000000000001</v>
      </c>
      <c r="AW26" s="251">
        <f t="shared" si="3"/>
        <v>-1.1000000000000001</v>
      </c>
      <c r="AX26" s="218">
        <v>0.22</v>
      </c>
      <c r="AY26" s="218">
        <v>0.15</v>
      </c>
      <c r="AZ26" s="218">
        <v>5</v>
      </c>
      <c r="BL26" s="218">
        <v>1.02</v>
      </c>
      <c r="BM26" s="251">
        <f t="shared" si="4"/>
        <v>-1.02</v>
      </c>
      <c r="BN26" s="218">
        <v>0.33</v>
      </c>
      <c r="BO26" s="218">
        <v>0.15</v>
      </c>
      <c r="BP26" s="218">
        <v>5</v>
      </c>
    </row>
    <row r="27" spans="2:72">
      <c r="B27" s="218">
        <v>1.17</v>
      </c>
      <c r="C27" s="218">
        <f t="shared" si="0"/>
        <v>-1.17</v>
      </c>
      <c r="D27" s="218">
        <v>0.35</v>
      </c>
      <c r="E27" s="218">
        <v>0.15</v>
      </c>
      <c r="F27" s="218">
        <v>5</v>
      </c>
      <c r="Q27" s="218">
        <v>1.22</v>
      </c>
      <c r="R27" s="251">
        <f t="shared" si="1"/>
        <v>-1.22</v>
      </c>
      <c r="S27" s="218">
        <v>0.35</v>
      </c>
      <c r="T27" s="218">
        <v>0.15</v>
      </c>
      <c r="U27" s="218">
        <v>5</v>
      </c>
      <c r="AF27" s="218">
        <v>1.1399999999999999</v>
      </c>
      <c r="AG27" s="251">
        <f t="shared" si="2"/>
        <v>-1.1399999999999999</v>
      </c>
      <c r="AH27" s="218">
        <v>0.32</v>
      </c>
      <c r="AI27" s="218">
        <v>0.15</v>
      </c>
      <c r="AJ27" s="218">
        <v>5</v>
      </c>
      <c r="AV27" s="218">
        <v>1.1299999999999999</v>
      </c>
      <c r="AW27" s="251">
        <f t="shared" si="3"/>
        <v>-1.1299999999999999</v>
      </c>
      <c r="AX27" s="218">
        <v>0.22</v>
      </c>
      <c r="AY27" s="218">
        <v>0.15</v>
      </c>
      <c r="AZ27" s="218">
        <v>5</v>
      </c>
      <c r="BL27" s="218">
        <v>1.05</v>
      </c>
      <c r="BM27" s="251">
        <f t="shared" si="4"/>
        <v>-1.05</v>
      </c>
      <c r="BN27" s="218">
        <v>0.33</v>
      </c>
      <c r="BO27" s="218">
        <v>0.15</v>
      </c>
      <c r="BP27" s="218">
        <v>5</v>
      </c>
    </row>
    <row r="28" spans="2:72">
      <c r="B28" s="218">
        <v>1.19</v>
      </c>
      <c r="C28" s="218">
        <f t="shared" si="0"/>
        <v>-1.19</v>
      </c>
      <c r="D28" s="218">
        <v>0.39</v>
      </c>
      <c r="E28" s="218">
        <v>0.15</v>
      </c>
      <c r="F28" s="218">
        <v>5</v>
      </c>
      <c r="Q28" s="218">
        <v>1.24</v>
      </c>
      <c r="R28" s="251">
        <f t="shared" si="1"/>
        <v>-1.24</v>
      </c>
      <c r="S28" s="218">
        <v>0.36</v>
      </c>
      <c r="T28" s="218">
        <v>0.15</v>
      </c>
      <c r="U28" s="218">
        <v>5</v>
      </c>
      <c r="AF28" s="218">
        <v>1.1599999999999999</v>
      </c>
      <c r="AG28" s="251">
        <f t="shared" si="2"/>
        <v>-1.1599999999999999</v>
      </c>
      <c r="AH28" s="218">
        <v>0.33</v>
      </c>
      <c r="AI28" s="218">
        <v>0.15</v>
      </c>
      <c r="AJ28" s="218">
        <v>5</v>
      </c>
      <c r="AV28" s="218">
        <v>1.1499999999999999</v>
      </c>
      <c r="AW28" s="251">
        <f t="shared" si="3"/>
        <v>-1.1499999999999999</v>
      </c>
      <c r="AX28" s="218">
        <v>0.21</v>
      </c>
      <c r="AY28" s="218">
        <v>0.15</v>
      </c>
      <c r="AZ28" s="218">
        <v>5</v>
      </c>
      <c r="BL28" s="218">
        <v>1.07</v>
      </c>
      <c r="BM28" s="251">
        <f t="shared" si="4"/>
        <v>-1.07</v>
      </c>
      <c r="BN28" s="218">
        <v>0.32</v>
      </c>
      <c r="BO28" s="218">
        <v>0.15</v>
      </c>
      <c r="BP28" s="218">
        <v>5</v>
      </c>
    </row>
    <row r="29" spans="2:72">
      <c r="B29" s="218">
        <v>1.22</v>
      </c>
      <c r="C29" s="218">
        <f t="shared" si="0"/>
        <v>-1.22</v>
      </c>
      <c r="D29" s="218">
        <v>0.44</v>
      </c>
      <c r="E29" s="218">
        <v>0.15</v>
      </c>
      <c r="F29" s="218">
        <v>5</v>
      </c>
      <c r="Q29" s="218">
        <v>1.27</v>
      </c>
      <c r="R29" s="251">
        <f t="shared" si="1"/>
        <v>-1.27</v>
      </c>
      <c r="S29" s="218">
        <v>0.36</v>
      </c>
      <c r="T29" s="218">
        <v>0.15</v>
      </c>
      <c r="U29" s="218">
        <v>5</v>
      </c>
      <c r="AF29" s="218">
        <v>1.19</v>
      </c>
      <c r="AG29" s="251">
        <f t="shared" si="2"/>
        <v>-1.19</v>
      </c>
      <c r="AH29" s="218">
        <v>0.33</v>
      </c>
      <c r="AI29" s="218">
        <v>0.15</v>
      </c>
      <c r="AJ29" s="218">
        <v>5</v>
      </c>
      <c r="AV29" s="218">
        <v>1.18</v>
      </c>
      <c r="AW29" s="251">
        <f t="shared" si="3"/>
        <v>-1.18</v>
      </c>
      <c r="AX29" s="218">
        <v>0.2</v>
      </c>
      <c r="AY29" s="218">
        <v>0.15</v>
      </c>
      <c r="AZ29" s="218">
        <v>5</v>
      </c>
      <c r="BL29" s="218">
        <v>1.1000000000000001</v>
      </c>
      <c r="BM29" s="251">
        <f t="shared" si="4"/>
        <v>-1.1000000000000001</v>
      </c>
      <c r="BN29" s="218">
        <v>0.32</v>
      </c>
      <c r="BO29" s="218">
        <v>0.15</v>
      </c>
      <c r="BP29" s="218">
        <v>5</v>
      </c>
    </row>
    <row r="30" spans="2:72">
      <c r="B30" s="218">
        <v>1.24</v>
      </c>
      <c r="C30" s="218">
        <f t="shared" si="0"/>
        <v>-1.24</v>
      </c>
      <c r="D30" s="218">
        <v>0.5</v>
      </c>
      <c r="E30" s="218">
        <v>0.15</v>
      </c>
      <c r="F30" s="218">
        <v>5</v>
      </c>
      <c r="Q30" s="218">
        <v>1.29</v>
      </c>
      <c r="R30" s="251">
        <f t="shared" si="1"/>
        <v>-1.29</v>
      </c>
      <c r="S30" s="218">
        <v>0.36</v>
      </c>
      <c r="T30" s="218">
        <v>0.15</v>
      </c>
      <c r="U30" s="218">
        <v>5</v>
      </c>
      <c r="AF30" s="218">
        <v>1.21</v>
      </c>
      <c r="AG30" s="251">
        <f t="shared" si="2"/>
        <v>-1.21</v>
      </c>
      <c r="AH30" s="218">
        <v>0.34</v>
      </c>
      <c r="AI30" s="218">
        <v>0.15</v>
      </c>
      <c r="AJ30" s="218">
        <v>5</v>
      </c>
      <c r="AV30" s="218">
        <v>1.2</v>
      </c>
      <c r="AW30" s="251">
        <f t="shared" si="3"/>
        <v>-1.2</v>
      </c>
      <c r="AX30" s="218">
        <v>0.21</v>
      </c>
      <c r="AY30" s="218">
        <v>0.15</v>
      </c>
      <c r="AZ30" s="218">
        <v>5</v>
      </c>
      <c r="BL30" s="218">
        <v>1.1200000000000001</v>
      </c>
      <c r="BM30" s="251">
        <f t="shared" si="4"/>
        <v>-1.1200000000000001</v>
      </c>
      <c r="BN30" s="218">
        <v>0.32</v>
      </c>
      <c r="BO30" s="218">
        <v>0.15</v>
      </c>
      <c r="BP30" s="218">
        <v>5</v>
      </c>
    </row>
    <row r="31" spans="2:72">
      <c r="B31" s="218">
        <v>1.27</v>
      </c>
      <c r="C31" s="218">
        <f t="shared" si="0"/>
        <v>-1.27</v>
      </c>
      <c r="D31" s="218">
        <v>0.59</v>
      </c>
      <c r="E31" s="218">
        <v>0.15</v>
      </c>
      <c r="F31" s="218">
        <v>5</v>
      </c>
      <c r="Q31" s="218">
        <v>1.32</v>
      </c>
      <c r="R31" s="251">
        <f t="shared" si="1"/>
        <v>-1.32</v>
      </c>
      <c r="S31" s="218">
        <v>0.37</v>
      </c>
      <c r="T31" s="218">
        <v>0.15</v>
      </c>
      <c r="U31" s="218">
        <v>5</v>
      </c>
      <c r="AF31" s="218">
        <v>1.24</v>
      </c>
      <c r="AG31" s="251">
        <f t="shared" si="2"/>
        <v>-1.24</v>
      </c>
      <c r="AH31" s="218">
        <v>0.35</v>
      </c>
      <c r="AI31" s="218">
        <v>0.15</v>
      </c>
      <c r="AJ31" s="218">
        <v>5</v>
      </c>
      <c r="AV31" s="218">
        <v>1.23</v>
      </c>
      <c r="AW31" s="251">
        <f t="shared" si="3"/>
        <v>-1.23</v>
      </c>
      <c r="AX31" s="218">
        <v>0.22</v>
      </c>
      <c r="AY31" s="218">
        <v>0.15</v>
      </c>
      <c r="AZ31" s="218">
        <v>5</v>
      </c>
      <c r="BL31" s="218">
        <v>1.1499999999999999</v>
      </c>
      <c r="BM31" s="251">
        <f t="shared" si="4"/>
        <v>-1.1499999999999999</v>
      </c>
      <c r="BN31" s="218">
        <v>0.33</v>
      </c>
      <c r="BO31" s="218">
        <v>0.15</v>
      </c>
      <c r="BP31" s="218">
        <v>5</v>
      </c>
    </row>
    <row r="32" spans="2:72">
      <c r="B32" s="218">
        <v>1.29</v>
      </c>
      <c r="C32" s="218">
        <f t="shared" si="0"/>
        <v>-1.29</v>
      </c>
      <c r="D32" s="218">
        <v>0.81</v>
      </c>
      <c r="E32" s="218">
        <v>0.15</v>
      </c>
      <c r="F32" s="218">
        <v>5</v>
      </c>
      <c r="Q32" s="218">
        <v>1.34</v>
      </c>
      <c r="R32" s="251">
        <f t="shared" si="1"/>
        <v>-1.34</v>
      </c>
      <c r="S32" s="218">
        <v>0.37</v>
      </c>
      <c r="T32" s="218">
        <v>0.15</v>
      </c>
      <c r="U32" s="218">
        <v>5</v>
      </c>
      <c r="AF32" s="218">
        <v>1.26</v>
      </c>
      <c r="AG32" s="251">
        <f t="shared" si="2"/>
        <v>-1.26</v>
      </c>
      <c r="AH32" s="218">
        <v>0.36</v>
      </c>
      <c r="AI32" s="218">
        <v>0.15</v>
      </c>
      <c r="AJ32" s="218">
        <v>5</v>
      </c>
      <c r="AV32" s="218">
        <v>1.25</v>
      </c>
      <c r="AW32" s="251">
        <f t="shared" si="3"/>
        <v>-1.25</v>
      </c>
      <c r="AX32" s="218">
        <v>0.23</v>
      </c>
      <c r="AY32" s="218">
        <v>0.15</v>
      </c>
      <c r="AZ32" s="218">
        <v>5</v>
      </c>
      <c r="BL32" s="218">
        <v>1.17</v>
      </c>
      <c r="BM32" s="251">
        <f t="shared" si="4"/>
        <v>-1.17</v>
      </c>
      <c r="BN32" s="218">
        <v>0.34</v>
      </c>
      <c r="BO32" s="218">
        <v>0.15</v>
      </c>
      <c r="BP32" s="218">
        <v>5</v>
      </c>
    </row>
    <row r="33" spans="2:68">
      <c r="B33" s="218">
        <v>1.32</v>
      </c>
      <c r="C33" s="218">
        <f t="shared" si="0"/>
        <v>-1.32</v>
      </c>
      <c r="D33" s="218">
        <v>0.81</v>
      </c>
      <c r="E33" s="218">
        <v>0.15</v>
      </c>
      <c r="F33" s="218">
        <v>5</v>
      </c>
      <c r="Q33" s="218">
        <v>1.37</v>
      </c>
      <c r="R33" s="251">
        <f t="shared" si="1"/>
        <v>-1.37</v>
      </c>
      <c r="S33" s="218">
        <v>0.37</v>
      </c>
      <c r="T33" s="218">
        <v>0.15</v>
      </c>
      <c r="U33" s="218">
        <v>5</v>
      </c>
      <c r="AF33" s="218">
        <v>1.29</v>
      </c>
      <c r="AG33" s="251">
        <f t="shared" si="2"/>
        <v>-1.29</v>
      </c>
      <c r="AH33" s="218">
        <v>0.37</v>
      </c>
      <c r="AI33" s="218">
        <v>0.15</v>
      </c>
      <c r="AJ33" s="218">
        <v>5</v>
      </c>
      <c r="AV33" s="218">
        <v>1.28</v>
      </c>
      <c r="AW33" s="251">
        <f t="shared" si="3"/>
        <v>-1.28</v>
      </c>
      <c r="AX33" s="218">
        <v>0.24</v>
      </c>
      <c r="AY33" s="218">
        <v>0.15</v>
      </c>
      <c r="AZ33" s="218">
        <v>5</v>
      </c>
      <c r="BL33" s="218">
        <v>1.2</v>
      </c>
      <c r="BM33" s="251">
        <f t="shared" si="4"/>
        <v>-1.2</v>
      </c>
      <c r="BN33" s="218">
        <v>0.34</v>
      </c>
      <c r="BO33" s="218">
        <v>0.15</v>
      </c>
      <c r="BP33" s="218">
        <v>5</v>
      </c>
    </row>
    <row r="34" spans="2:68">
      <c r="B34" s="218">
        <v>1.34</v>
      </c>
      <c r="C34" s="218">
        <f t="shared" si="0"/>
        <v>-1.34</v>
      </c>
      <c r="D34" s="218">
        <v>0.81</v>
      </c>
      <c r="E34" s="218">
        <v>0.15</v>
      </c>
      <c r="F34" s="218">
        <v>5</v>
      </c>
      <c r="Q34" s="218">
        <v>1.39</v>
      </c>
      <c r="R34" s="251">
        <f t="shared" si="1"/>
        <v>-1.39</v>
      </c>
      <c r="S34" s="218">
        <v>0.38</v>
      </c>
      <c r="T34" s="218">
        <v>0.15</v>
      </c>
      <c r="U34" s="218">
        <v>5</v>
      </c>
      <c r="AF34" s="218">
        <v>1.31</v>
      </c>
      <c r="AG34" s="251">
        <f t="shared" si="2"/>
        <v>-1.31</v>
      </c>
      <c r="AH34" s="218">
        <v>0.38</v>
      </c>
      <c r="AI34" s="218">
        <v>0.15</v>
      </c>
      <c r="AJ34" s="218">
        <v>5</v>
      </c>
      <c r="AV34" s="218">
        <v>1.3</v>
      </c>
      <c r="AW34" s="251">
        <f t="shared" si="3"/>
        <v>-1.3</v>
      </c>
      <c r="AX34" s="218">
        <v>0.25</v>
      </c>
      <c r="AY34" s="218">
        <v>0.15</v>
      </c>
      <c r="AZ34" s="218">
        <v>5</v>
      </c>
      <c r="BL34" s="218">
        <v>1.22</v>
      </c>
      <c r="BM34" s="251">
        <f t="shared" si="4"/>
        <v>-1.22</v>
      </c>
      <c r="BN34" s="218">
        <v>0.35</v>
      </c>
      <c r="BO34" s="218">
        <v>0.15</v>
      </c>
      <c r="BP34" s="218">
        <v>5</v>
      </c>
    </row>
    <row r="35" spans="2:68">
      <c r="B35" s="218">
        <v>1.37</v>
      </c>
      <c r="C35" s="218">
        <f t="shared" si="0"/>
        <v>-1.37</v>
      </c>
      <c r="D35" s="218">
        <v>0.81</v>
      </c>
      <c r="E35" s="218">
        <v>0.15</v>
      </c>
      <c r="F35" s="218">
        <v>5</v>
      </c>
      <c r="Q35" s="218">
        <v>1.42</v>
      </c>
      <c r="R35" s="251">
        <f t="shared" si="1"/>
        <v>-1.42</v>
      </c>
      <c r="S35" s="218">
        <v>0.38</v>
      </c>
      <c r="T35" s="218">
        <v>0.15</v>
      </c>
      <c r="U35" s="218">
        <v>5</v>
      </c>
      <c r="AF35" s="218">
        <v>1.34</v>
      </c>
      <c r="AG35" s="251">
        <f t="shared" si="2"/>
        <v>-1.34</v>
      </c>
      <c r="AH35" s="218">
        <v>0.39</v>
      </c>
      <c r="AI35" s="218">
        <v>0.15</v>
      </c>
      <c r="AJ35" s="218">
        <v>5</v>
      </c>
      <c r="AV35" s="218">
        <v>1.33</v>
      </c>
      <c r="AW35" s="251">
        <f t="shared" si="3"/>
        <v>-1.33</v>
      </c>
      <c r="AX35" s="218">
        <v>0.25</v>
      </c>
      <c r="AY35" s="218">
        <v>0.15</v>
      </c>
      <c r="AZ35" s="218">
        <v>5</v>
      </c>
      <c r="BL35" s="218">
        <v>1.25</v>
      </c>
      <c r="BM35" s="251">
        <f t="shared" si="4"/>
        <v>-1.25</v>
      </c>
      <c r="BN35" s="218">
        <v>0.36</v>
      </c>
      <c r="BO35" s="218">
        <v>0.15</v>
      </c>
      <c r="BP35" s="218">
        <v>5</v>
      </c>
    </row>
    <row r="36" spans="2:68">
      <c r="B36" s="218">
        <v>1.39</v>
      </c>
      <c r="C36" s="218">
        <f t="shared" si="0"/>
        <v>-1.39</v>
      </c>
      <c r="D36" s="218">
        <v>0.81</v>
      </c>
      <c r="E36" s="218">
        <v>0.15</v>
      </c>
      <c r="F36" s="218">
        <v>5</v>
      </c>
      <c r="Q36" s="218">
        <v>1.44</v>
      </c>
      <c r="R36" s="251">
        <f t="shared" si="1"/>
        <v>-1.44</v>
      </c>
      <c r="S36" s="218">
        <v>0.38</v>
      </c>
      <c r="T36" s="218">
        <v>0.15</v>
      </c>
      <c r="U36" s="218">
        <v>5</v>
      </c>
      <c r="AF36" s="218">
        <v>1.36</v>
      </c>
      <c r="AG36" s="251">
        <f t="shared" si="2"/>
        <v>-1.36</v>
      </c>
      <c r="AH36" s="218">
        <v>0.4</v>
      </c>
      <c r="AI36" s="218">
        <v>0.15</v>
      </c>
      <c r="AJ36" s="218">
        <v>5</v>
      </c>
      <c r="AV36" s="218">
        <v>1.35</v>
      </c>
      <c r="AW36" s="251">
        <f t="shared" si="3"/>
        <v>-1.35</v>
      </c>
      <c r="AX36" s="218">
        <v>0.26</v>
      </c>
      <c r="AY36" s="218">
        <v>0.15</v>
      </c>
      <c r="AZ36" s="218">
        <v>5</v>
      </c>
      <c r="BL36" s="218">
        <v>1.27</v>
      </c>
      <c r="BM36" s="251">
        <f t="shared" si="4"/>
        <v>-1.27</v>
      </c>
      <c r="BN36" s="218">
        <v>0.36</v>
      </c>
      <c r="BO36" s="218">
        <v>0.15</v>
      </c>
      <c r="BP36" s="218">
        <v>5</v>
      </c>
    </row>
    <row r="37" spans="2:68">
      <c r="B37" s="218">
        <v>1.42</v>
      </c>
      <c r="C37" s="218">
        <f t="shared" si="0"/>
        <v>-1.42</v>
      </c>
      <c r="D37" s="218">
        <v>0.81</v>
      </c>
      <c r="E37" s="218">
        <v>0.15</v>
      </c>
      <c r="F37" s="218">
        <v>5</v>
      </c>
      <c r="Q37" s="218">
        <v>1.47</v>
      </c>
      <c r="R37" s="251">
        <f t="shared" si="1"/>
        <v>-1.47</v>
      </c>
      <c r="S37" s="218">
        <v>0.39</v>
      </c>
      <c r="T37" s="218">
        <v>0.15</v>
      </c>
      <c r="U37" s="218">
        <v>5</v>
      </c>
      <c r="AF37" s="218">
        <v>1.39</v>
      </c>
      <c r="AG37" s="251">
        <f t="shared" si="2"/>
        <v>-1.39</v>
      </c>
      <c r="AH37" s="218">
        <v>0.41</v>
      </c>
      <c r="AI37" s="218">
        <v>0.15</v>
      </c>
      <c r="AJ37" s="218">
        <v>5</v>
      </c>
      <c r="AV37" s="218">
        <v>1.38</v>
      </c>
      <c r="AW37" s="251">
        <f t="shared" si="3"/>
        <v>-1.38</v>
      </c>
      <c r="AX37" s="218">
        <v>0.27</v>
      </c>
      <c r="AY37" s="218">
        <v>0.15</v>
      </c>
      <c r="AZ37" s="218">
        <v>5</v>
      </c>
      <c r="BL37" s="218">
        <v>1.3</v>
      </c>
      <c r="BM37" s="251">
        <f t="shared" si="4"/>
        <v>-1.3</v>
      </c>
      <c r="BN37" s="218">
        <v>0.37</v>
      </c>
      <c r="BO37" s="218">
        <v>0.15</v>
      </c>
      <c r="BP37" s="218">
        <v>5</v>
      </c>
    </row>
    <row r="38" spans="2:68">
      <c r="B38" s="218">
        <v>1.44</v>
      </c>
      <c r="C38" s="218">
        <f t="shared" si="0"/>
        <v>-1.44</v>
      </c>
      <c r="D38" s="218">
        <v>0.81</v>
      </c>
      <c r="E38" s="218">
        <v>0.15</v>
      </c>
      <c r="F38" s="218">
        <v>5</v>
      </c>
      <c r="Q38" s="218">
        <v>1.49</v>
      </c>
      <c r="R38" s="251">
        <f t="shared" si="1"/>
        <v>-1.49</v>
      </c>
      <c r="S38" s="218">
        <v>0.39</v>
      </c>
      <c r="T38" s="218">
        <v>0.15</v>
      </c>
      <c r="U38" s="218">
        <v>5</v>
      </c>
      <c r="AF38" s="218">
        <v>1.41</v>
      </c>
      <c r="AG38" s="251">
        <f t="shared" si="2"/>
        <v>-1.41</v>
      </c>
      <c r="AH38" s="218">
        <v>0.42</v>
      </c>
      <c r="AI38" s="218">
        <v>0.15</v>
      </c>
      <c r="AJ38" s="218">
        <v>5</v>
      </c>
      <c r="AV38" s="218">
        <v>1.4</v>
      </c>
      <c r="AW38" s="251">
        <f t="shared" si="3"/>
        <v>-1.4</v>
      </c>
      <c r="AX38" s="218">
        <v>0.28000000000000003</v>
      </c>
      <c r="AY38" s="218">
        <v>0.15</v>
      </c>
      <c r="AZ38" s="218">
        <v>5</v>
      </c>
      <c r="BL38" s="218">
        <v>1.32</v>
      </c>
      <c r="BM38" s="251">
        <f t="shared" si="4"/>
        <v>-1.32</v>
      </c>
      <c r="BN38" s="218">
        <v>0.38</v>
      </c>
      <c r="BO38" s="218">
        <v>0.15</v>
      </c>
      <c r="BP38" s="218">
        <v>5</v>
      </c>
    </row>
    <row r="39" spans="2:68">
      <c r="B39" s="218">
        <v>1.47</v>
      </c>
      <c r="C39" s="218">
        <f t="shared" si="0"/>
        <v>-1.47</v>
      </c>
      <c r="D39" s="218">
        <v>0.81</v>
      </c>
      <c r="E39" s="218">
        <v>0.15</v>
      </c>
      <c r="F39" s="218">
        <v>5</v>
      </c>
      <c r="Q39" s="218">
        <v>1.52</v>
      </c>
      <c r="R39" s="251">
        <f t="shared" si="1"/>
        <v>-1.52</v>
      </c>
      <c r="S39" s="218">
        <v>0.39</v>
      </c>
      <c r="T39" s="218">
        <v>0.15</v>
      </c>
      <c r="U39" s="218">
        <v>5</v>
      </c>
      <c r="AF39" s="218">
        <v>1.44</v>
      </c>
      <c r="AG39" s="251">
        <f t="shared" si="2"/>
        <v>-1.44</v>
      </c>
      <c r="AH39" s="218">
        <v>0.43</v>
      </c>
      <c r="AI39" s="218">
        <v>0.15</v>
      </c>
      <c r="AJ39" s="218">
        <v>5</v>
      </c>
      <c r="AV39" s="218">
        <v>1.43</v>
      </c>
      <c r="AW39" s="251">
        <f t="shared" si="3"/>
        <v>-1.43</v>
      </c>
      <c r="AX39" s="218">
        <v>0.28999999999999998</v>
      </c>
      <c r="AY39" s="218">
        <v>0.15</v>
      </c>
      <c r="AZ39" s="218">
        <v>5</v>
      </c>
      <c r="BL39" s="218">
        <v>1.35</v>
      </c>
      <c r="BM39" s="251">
        <f t="shared" si="4"/>
        <v>-1.35</v>
      </c>
      <c r="BN39" s="218">
        <v>0.38</v>
      </c>
      <c r="BO39" s="218">
        <v>0.15</v>
      </c>
      <c r="BP39" s="218">
        <v>5</v>
      </c>
    </row>
    <row r="40" spans="2:68">
      <c r="B40" s="218">
        <v>1.49</v>
      </c>
      <c r="C40" s="218">
        <f t="shared" si="0"/>
        <v>-1.49</v>
      </c>
      <c r="D40" s="218">
        <v>0.81</v>
      </c>
      <c r="E40" s="218">
        <v>0.15</v>
      </c>
      <c r="F40" s="218">
        <v>5</v>
      </c>
      <c r="Q40" s="218">
        <v>1.54</v>
      </c>
      <c r="R40" s="251">
        <f t="shared" si="1"/>
        <v>-1.54</v>
      </c>
      <c r="S40" s="218">
        <v>0.39</v>
      </c>
      <c r="T40" s="218">
        <v>0.15</v>
      </c>
      <c r="U40" s="218">
        <v>5</v>
      </c>
      <c r="AF40" s="218">
        <v>1.46</v>
      </c>
      <c r="AG40" s="251">
        <f t="shared" si="2"/>
        <v>-1.46</v>
      </c>
      <c r="AH40" s="218">
        <v>0.44</v>
      </c>
      <c r="AI40" s="218">
        <v>0.15</v>
      </c>
      <c r="AJ40" s="218">
        <v>5</v>
      </c>
      <c r="AV40" s="218">
        <v>1.45</v>
      </c>
      <c r="AW40" s="251">
        <f t="shared" si="3"/>
        <v>-1.45</v>
      </c>
      <c r="AX40" s="218">
        <v>0.3</v>
      </c>
      <c r="AY40" s="218">
        <v>0.15</v>
      </c>
      <c r="AZ40" s="218">
        <v>5</v>
      </c>
      <c r="BL40" s="218">
        <v>1.37</v>
      </c>
      <c r="BM40" s="251">
        <f t="shared" si="4"/>
        <v>-1.37</v>
      </c>
      <c r="BN40" s="218">
        <v>0.39</v>
      </c>
      <c r="BO40" s="218">
        <v>0.15</v>
      </c>
      <c r="BP40" s="218">
        <v>5</v>
      </c>
    </row>
    <row r="41" spans="2:68">
      <c r="B41" s="218">
        <v>1.52</v>
      </c>
      <c r="C41" s="218">
        <f t="shared" si="0"/>
        <v>-1.52</v>
      </c>
      <c r="D41" s="218">
        <v>0.81</v>
      </c>
      <c r="E41" s="218">
        <v>0.15</v>
      </c>
      <c r="F41" s="218">
        <v>5</v>
      </c>
      <c r="Q41" s="218">
        <v>1.57</v>
      </c>
      <c r="R41" s="251">
        <f t="shared" si="1"/>
        <v>-1.57</v>
      </c>
      <c r="S41" s="218">
        <v>0.4</v>
      </c>
      <c r="T41" s="218">
        <v>0.15</v>
      </c>
      <c r="U41" s="218">
        <v>5</v>
      </c>
      <c r="AF41" s="218">
        <v>1.49</v>
      </c>
      <c r="AG41" s="251">
        <f t="shared" si="2"/>
        <v>-1.49</v>
      </c>
      <c r="AH41" s="218">
        <v>0.46</v>
      </c>
      <c r="AI41" s="218">
        <v>0.15</v>
      </c>
      <c r="AJ41" s="218">
        <v>5</v>
      </c>
      <c r="AV41" s="218">
        <v>1.48</v>
      </c>
      <c r="AW41" s="251">
        <f t="shared" si="3"/>
        <v>-1.48</v>
      </c>
      <c r="AX41" s="218">
        <v>0.31</v>
      </c>
      <c r="AY41" s="218">
        <v>0.15</v>
      </c>
      <c r="AZ41" s="218">
        <v>5</v>
      </c>
      <c r="BL41" s="218">
        <v>1.4</v>
      </c>
      <c r="BM41" s="251">
        <f t="shared" si="4"/>
        <v>-1.4</v>
      </c>
      <c r="BN41" s="218">
        <v>0.4</v>
      </c>
      <c r="BO41" s="218">
        <v>0.15</v>
      </c>
      <c r="BP41" s="218">
        <v>5</v>
      </c>
    </row>
    <row r="42" spans="2:68">
      <c r="B42" s="218">
        <v>1.54</v>
      </c>
      <c r="C42" s="218">
        <f t="shared" si="0"/>
        <v>-1.54</v>
      </c>
      <c r="D42" s="218">
        <v>0.81</v>
      </c>
      <c r="E42" s="218">
        <v>0.15</v>
      </c>
      <c r="F42" s="218">
        <v>5</v>
      </c>
      <c r="Q42" s="218">
        <v>1.59</v>
      </c>
      <c r="R42" s="251">
        <f t="shared" si="1"/>
        <v>-1.59</v>
      </c>
      <c r="S42" s="218">
        <v>0.4</v>
      </c>
      <c r="T42" s="218">
        <v>0.15</v>
      </c>
      <c r="U42" s="218">
        <v>5</v>
      </c>
      <c r="AF42" s="218">
        <v>1.51</v>
      </c>
      <c r="AG42" s="251">
        <f t="shared" si="2"/>
        <v>-1.51</v>
      </c>
      <c r="AH42" s="218">
        <v>0.44</v>
      </c>
      <c r="AI42" s="218">
        <v>0.15</v>
      </c>
      <c r="AJ42" s="218">
        <v>5</v>
      </c>
      <c r="AV42" s="218">
        <v>1.5</v>
      </c>
      <c r="AW42" s="251">
        <f t="shared" si="3"/>
        <v>-1.5</v>
      </c>
      <c r="AX42" s="218">
        <v>0.32</v>
      </c>
      <c r="AY42" s="218">
        <v>0.15</v>
      </c>
      <c r="AZ42" s="218">
        <v>5</v>
      </c>
      <c r="BL42" s="218">
        <v>1.42</v>
      </c>
      <c r="BM42" s="251">
        <f t="shared" si="4"/>
        <v>-1.42</v>
      </c>
      <c r="BN42" s="218">
        <v>0.41</v>
      </c>
      <c r="BO42" s="218">
        <v>0.15</v>
      </c>
      <c r="BP42" s="218">
        <v>5</v>
      </c>
    </row>
    <row r="43" spans="2:68">
      <c r="B43" s="218">
        <v>1.57</v>
      </c>
      <c r="C43" s="218">
        <f t="shared" si="0"/>
        <v>-1.57</v>
      </c>
      <c r="D43" s="218">
        <v>0.81</v>
      </c>
      <c r="E43" s="218">
        <v>0.15</v>
      </c>
      <c r="F43" s="218">
        <v>5</v>
      </c>
      <c r="Q43" s="218">
        <v>1.62</v>
      </c>
      <c r="R43" s="251">
        <f t="shared" si="1"/>
        <v>-1.62</v>
      </c>
      <c r="S43" s="218">
        <v>0.4</v>
      </c>
      <c r="T43" s="218">
        <v>0.15</v>
      </c>
      <c r="U43" s="218">
        <v>5</v>
      </c>
      <c r="AF43" s="218">
        <v>1.54</v>
      </c>
      <c r="AG43" s="251">
        <f t="shared" si="2"/>
        <v>-1.54</v>
      </c>
      <c r="AH43" s="218">
        <v>0.43</v>
      </c>
      <c r="AI43" s="218">
        <v>0.15</v>
      </c>
      <c r="AJ43" s="218">
        <v>5</v>
      </c>
      <c r="AV43" s="218">
        <v>1.53</v>
      </c>
      <c r="AW43" s="251">
        <f t="shared" si="3"/>
        <v>-1.53</v>
      </c>
      <c r="AX43" s="218">
        <v>0.33</v>
      </c>
      <c r="AY43" s="218">
        <v>0.15</v>
      </c>
      <c r="AZ43" s="218">
        <v>5</v>
      </c>
      <c r="BL43" s="218">
        <v>1.45</v>
      </c>
      <c r="BM43" s="251">
        <f t="shared" si="4"/>
        <v>-1.45</v>
      </c>
      <c r="BN43" s="218">
        <v>0.41</v>
      </c>
      <c r="BO43" s="218">
        <v>0.15</v>
      </c>
      <c r="BP43" s="218">
        <v>5</v>
      </c>
    </row>
    <row r="44" spans="2:68">
      <c r="B44" s="218">
        <v>1.59</v>
      </c>
      <c r="C44" s="218">
        <f t="shared" si="0"/>
        <v>-1.59</v>
      </c>
      <c r="D44" s="218">
        <v>0.81</v>
      </c>
      <c r="E44" s="218">
        <v>0.15</v>
      </c>
      <c r="F44" s="218">
        <v>5</v>
      </c>
      <c r="Q44" s="218">
        <v>1.64</v>
      </c>
      <c r="R44" s="251">
        <f t="shared" si="1"/>
        <v>-1.64</v>
      </c>
      <c r="S44" s="218">
        <v>0.4</v>
      </c>
      <c r="T44" s="218">
        <v>0.15</v>
      </c>
      <c r="U44" s="218">
        <v>5</v>
      </c>
      <c r="AF44" s="218">
        <v>1.56</v>
      </c>
      <c r="AG44" s="251">
        <f t="shared" si="2"/>
        <v>-1.56</v>
      </c>
      <c r="AH44" s="218">
        <v>0.42</v>
      </c>
      <c r="AI44" s="218">
        <v>0.15</v>
      </c>
      <c r="AJ44" s="218">
        <v>5</v>
      </c>
      <c r="AV44" s="218">
        <v>1.55</v>
      </c>
      <c r="AW44" s="251">
        <f t="shared" si="3"/>
        <v>-1.55</v>
      </c>
      <c r="AX44" s="218">
        <v>0.34</v>
      </c>
      <c r="AY44" s="218">
        <v>0.15</v>
      </c>
      <c r="AZ44" s="218">
        <v>5</v>
      </c>
      <c r="BL44" s="218">
        <v>1.47</v>
      </c>
      <c r="BM44" s="251">
        <f t="shared" si="4"/>
        <v>-1.47</v>
      </c>
      <c r="BN44" s="218">
        <v>0.42</v>
      </c>
      <c r="BO44" s="218">
        <v>0.15</v>
      </c>
      <c r="BP44" s="218">
        <v>5</v>
      </c>
    </row>
    <row r="45" spans="2:68">
      <c r="B45" s="218">
        <v>1.62</v>
      </c>
      <c r="C45" s="218">
        <f t="shared" si="0"/>
        <v>-1.62</v>
      </c>
      <c r="D45" s="218">
        <v>0.81</v>
      </c>
      <c r="E45" s="218">
        <v>0.15</v>
      </c>
      <c r="F45" s="218">
        <v>5</v>
      </c>
      <c r="Q45" s="218">
        <v>1.67</v>
      </c>
      <c r="R45" s="251">
        <f t="shared" si="1"/>
        <v>-1.67</v>
      </c>
      <c r="S45" s="218">
        <v>0.41</v>
      </c>
      <c r="T45" s="218">
        <v>0.15</v>
      </c>
      <c r="U45" s="218">
        <v>5</v>
      </c>
      <c r="AF45" s="218">
        <v>1.59</v>
      </c>
      <c r="AG45" s="251">
        <f t="shared" si="2"/>
        <v>-1.59</v>
      </c>
      <c r="AH45" s="218">
        <v>0.41</v>
      </c>
      <c r="AI45" s="218">
        <v>0.15</v>
      </c>
      <c r="AJ45" s="218">
        <v>5</v>
      </c>
      <c r="AV45" s="218">
        <v>1.58</v>
      </c>
      <c r="AW45" s="251">
        <f t="shared" si="3"/>
        <v>-1.58</v>
      </c>
      <c r="AX45" s="218">
        <v>0.35</v>
      </c>
      <c r="AY45" s="218">
        <v>0.15</v>
      </c>
      <c r="AZ45" s="218">
        <v>5</v>
      </c>
      <c r="BL45" s="218">
        <v>1.5</v>
      </c>
      <c r="BM45" s="251">
        <f t="shared" si="4"/>
        <v>-1.5</v>
      </c>
      <c r="BN45" s="218">
        <v>0.43</v>
      </c>
      <c r="BO45" s="218">
        <v>0.15</v>
      </c>
      <c r="BP45" s="218">
        <v>5</v>
      </c>
    </row>
    <row r="46" spans="2:68">
      <c r="B46" s="218">
        <v>1.64</v>
      </c>
      <c r="C46" s="218">
        <f t="shared" si="0"/>
        <v>-1.64</v>
      </c>
      <c r="D46" s="218">
        <v>0.81</v>
      </c>
      <c r="E46" s="218">
        <v>0.15</v>
      </c>
      <c r="F46" s="218">
        <v>5</v>
      </c>
      <c r="Q46" s="218">
        <v>1.69</v>
      </c>
      <c r="R46" s="251">
        <f t="shared" si="1"/>
        <v>-1.69</v>
      </c>
      <c r="S46" s="218">
        <v>0.41</v>
      </c>
      <c r="T46" s="218">
        <v>0.15</v>
      </c>
      <c r="U46" s="218">
        <v>5</v>
      </c>
      <c r="AF46" s="218">
        <v>1.61</v>
      </c>
      <c r="AG46" s="251">
        <f t="shared" si="2"/>
        <v>-1.61</v>
      </c>
      <c r="AH46" s="218">
        <v>0.4</v>
      </c>
      <c r="AI46" s="218">
        <v>0.15</v>
      </c>
      <c r="AJ46" s="218">
        <v>5</v>
      </c>
      <c r="AV46" s="218">
        <v>1.6</v>
      </c>
      <c r="AW46" s="251">
        <f t="shared" si="3"/>
        <v>-1.6</v>
      </c>
      <c r="AX46" s="218">
        <v>0.34</v>
      </c>
      <c r="AY46" s="218">
        <v>0.15</v>
      </c>
      <c r="AZ46" s="218">
        <v>5</v>
      </c>
      <c r="BL46" s="218">
        <v>1.52</v>
      </c>
      <c r="BM46" s="251">
        <f t="shared" si="4"/>
        <v>-1.52</v>
      </c>
      <c r="BN46" s="218">
        <v>0.44</v>
      </c>
      <c r="BO46" s="218">
        <v>0.15</v>
      </c>
      <c r="BP46" s="218">
        <v>5</v>
      </c>
    </row>
    <row r="47" spans="2:68">
      <c r="B47" s="218">
        <v>1.67</v>
      </c>
      <c r="C47" s="218">
        <f t="shared" si="0"/>
        <v>-1.67</v>
      </c>
      <c r="D47" s="218">
        <v>0.81</v>
      </c>
      <c r="E47" s="218">
        <v>0.15</v>
      </c>
      <c r="F47" s="218">
        <v>5</v>
      </c>
      <c r="Q47" s="218">
        <v>1.72</v>
      </c>
      <c r="R47" s="251">
        <f t="shared" si="1"/>
        <v>-1.72</v>
      </c>
      <c r="S47" s="218">
        <v>0.42</v>
      </c>
      <c r="T47" s="218">
        <v>0.15</v>
      </c>
      <c r="U47" s="218">
        <v>5</v>
      </c>
      <c r="AF47" s="218">
        <v>1.64</v>
      </c>
      <c r="AG47" s="251">
        <f t="shared" si="2"/>
        <v>-1.64</v>
      </c>
      <c r="AH47" s="218">
        <v>0.39</v>
      </c>
      <c r="AI47" s="218">
        <v>0.15</v>
      </c>
      <c r="AJ47" s="218">
        <v>5</v>
      </c>
      <c r="AV47" s="218">
        <v>1.63</v>
      </c>
      <c r="AW47" s="251">
        <f t="shared" si="3"/>
        <v>-1.63</v>
      </c>
      <c r="AX47" s="218">
        <v>0.34</v>
      </c>
      <c r="AY47" s="218">
        <v>0.15</v>
      </c>
      <c r="AZ47" s="218">
        <v>5</v>
      </c>
      <c r="BL47" s="218">
        <v>1.55</v>
      </c>
      <c r="BM47" s="251">
        <f t="shared" si="4"/>
        <v>-1.55</v>
      </c>
      <c r="BN47" s="218">
        <v>0.45</v>
      </c>
      <c r="BO47" s="218">
        <v>0.15</v>
      </c>
      <c r="BP47" s="218">
        <v>5</v>
      </c>
    </row>
    <row r="48" spans="2:68">
      <c r="B48" s="218">
        <v>1.69</v>
      </c>
      <c r="C48" s="218">
        <f t="shared" si="0"/>
        <v>-1.69</v>
      </c>
      <c r="D48" s="218">
        <v>0.81</v>
      </c>
      <c r="E48" s="218">
        <v>0.15</v>
      </c>
      <c r="F48" s="218">
        <v>5</v>
      </c>
      <c r="Q48" s="218">
        <v>1.74</v>
      </c>
      <c r="R48" s="251">
        <f t="shared" si="1"/>
        <v>-1.74</v>
      </c>
      <c r="S48" s="218">
        <v>0.43</v>
      </c>
      <c r="T48" s="218">
        <v>0.15</v>
      </c>
      <c r="U48" s="218">
        <v>5</v>
      </c>
      <c r="AF48" s="218">
        <v>1.66</v>
      </c>
      <c r="AG48" s="251">
        <f t="shared" si="2"/>
        <v>-1.66</v>
      </c>
      <c r="AH48" s="218">
        <v>0.37</v>
      </c>
      <c r="AI48" s="218">
        <v>0.15</v>
      </c>
      <c r="AJ48" s="218">
        <v>5</v>
      </c>
      <c r="AV48" s="218">
        <v>1.65</v>
      </c>
      <c r="AW48" s="251">
        <f t="shared" si="3"/>
        <v>-1.65</v>
      </c>
      <c r="AX48" s="218">
        <v>0.34</v>
      </c>
      <c r="AY48" s="218">
        <v>0.15</v>
      </c>
      <c r="AZ48" s="218">
        <v>5</v>
      </c>
      <c r="BL48" s="218">
        <v>1.57</v>
      </c>
      <c r="BM48" s="251">
        <f t="shared" si="4"/>
        <v>-1.57</v>
      </c>
      <c r="BN48" s="218">
        <v>0.46</v>
      </c>
      <c r="BO48" s="218">
        <v>0.15</v>
      </c>
      <c r="BP48" s="218">
        <v>5</v>
      </c>
    </row>
    <row r="49" spans="2:68">
      <c r="B49" s="218">
        <v>1.72</v>
      </c>
      <c r="C49" s="218">
        <f t="shared" si="0"/>
        <v>-1.72</v>
      </c>
      <c r="D49" s="218">
        <v>0.81</v>
      </c>
      <c r="E49" s="218">
        <v>0.15</v>
      </c>
      <c r="F49" s="218">
        <v>5</v>
      </c>
      <c r="Q49" s="218">
        <v>1.77</v>
      </c>
      <c r="R49" s="251">
        <f t="shared" si="1"/>
        <v>-1.77</v>
      </c>
      <c r="S49" s="218">
        <v>0.44</v>
      </c>
      <c r="T49" s="218">
        <v>0.15</v>
      </c>
      <c r="U49" s="218">
        <v>5</v>
      </c>
      <c r="AF49" s="218">
        <v>1.69</v>
      </c>
      <c r="AG49" s="251">
        <f t="shared" si="2"/>
        <v>-1.69</v>
      </c>
      <c r="AH49" s="218">
        <v>0.36</v>
      </c>
      <c r="AI49" s="218">
        <v>0.15</v>
      </c>
      <c r="AJ49" s="218">
        <v>5</v>
      </c>
      <c r="AV49" s="218">
        <v>1.68</v>
      </c>
      <c r="AW49" s="251">
        <f t="shared" si="3"/>
        <v>-1.68</v>
      </c>
      <c r="AX49" s="218">
        <v>0.34</v>
      </c>
      <c r="AY49" s="218">
        <v>0.15</v>
      </c>
      <c r="AZ49" s="218">
        <v>5</v>
      </c>
      <c r="BL49" s="218">
        <v>1.6</v>
      </c>
      <c r="BM49" s="251">
        <f t="shared" si="4"/>
        <v>-1.6</v>
      </c>
      <c r="BN49" s="218">
        <v>0.47</v>
      </c>
      <c r="BO49" s="218">
        <v>0.15</v>
      </c>
      <c r="BP49" s="218">
        <v>5</v>
      </c>
    </row>
    <row r="50" spans="2:68">
      <c r="B50" s="218">
        <v>1.74</v>
      </c>
      <c r="C50" s="218">
        <f t="shared" si="0"/>
        <v>-1.74</v>
      </c>
      <c r="D50" s="218">
        <v>0.81</v>
      </c>
      <c r="E50" s="218">
        <v>0.15</v>
      </c>
      <c r="F50" s="218">
        <v>5</v>
      </c>
      <c r="Q50" s="218">
        <v>1.79</v>
      </c>
      <c r="R50" s="251">
        <f t="shared" si="1"/>
        <v>-1.79</v>
      </c>
      <c r="S50" s="218">
        <v>0.45</v>
      </c>
      <c r="T50" s="218">
        <v>0.15</v>
      </c>
      <c r="U50" s="218">
        <v>5</v>
      </c>
      <c r="AF50" s="218">
        <v>1.71</v>
      </c>
      <c r="AG50" s="251">
        <f t="shared" si="2"/>
        <v>-1.71</v>
      </c>
      <c r="AH50" s="218">
        <v>0.36</v>
      </c>
      <c r="AI50" s="218">
        <v>0.15</v>
      </c>
      <c r="AJ50" s="218">
        <v>5</v>
      </c>
      <c r="AV50" s="218">
        <v>1.7</v>
      </c>
      <c r="AW50" s="251">
        <f t="shared" si="3"/>
        <v>-1.7</v>
      </c>
      <c r="AX50" s="218">
        <v>0.34</v>
      </c>
      <c r="AY50" s="218">
        <v>0.15</v>
      </c>
      <c r="AZ50" s="218">
        <v>5</v>
      </c>
      <c r="BL50" s="218">
        <v>1.62</v>
      </c>
      <c r="BM50" s="251">
        <f t="shared" si="4"/>
        <v>-1.62</v>
      </c>
      <c r="BN50" s="218">
        <v>0.48</v>
      </c>
      <c r="BO50" s="218">
        <v>0.15</v>
      </c>
      <c r="BP50" s="218">
        <v>5</v>
      </c>
    </row>
    <row r="51" spans="2:68">
      <c r="B51" s="218">
        <v>1.77</v>
      </c>
      <c r="C51" s="218">
        <f t="shared" si="0"/>
        <v>-1.77</v>
      </c>
      <c r="D51" s="218">
        <v>0.81</v>
      </c>
      <c r="E51" s="218">
        <v>0.15</v>
      </c>
      <c r="F51" s="218">
        <v>5</v>
      </c>
      <c r="Q51" s="218">
        <v>1.82</v>
      </c>
      <c r="R51" s="251">
        <f t="shared" si="1"/>
        <v>-1.82</v>
      </c>
      <c r="S51" s="218">
        <v>0.46</v>
      </c>
      <c r="T51" s="218">
        <v>0.15</v>
      </c>
      <c r="U51" s="218">
        <v>5</v>
      </c>
      <c r="AF51" s="218">
        <v>1.74</v>
      </c>
      <c r="AG51" s="251">
        <f t="shared" si="2"/>
        <v>-1.74</v>
      </c>
      <c r="AH51" s="218">
        <v>0.35</v>
      </c>
      <c r="AI51" s="218">
        <v>0.15</v>
      </c>
      <c r="AJ51" s="218">
        <v>5</v>
      </c>
      <c r="AV51" s="218">
        <v>1.73</v>
      </c>
      <c r="AW51" s="251">
        <f t="shared" si="3"/>
        <v>-1.73</v>
      </c>
      <c r="AX51" s="218">
        <v>0.33</v>
      </c>
      <c r="AY51" s="218">
        <v>0.15</v>
      </c>
      <c r="AZ51" s="218">
        <v>5</v>
      </c>
      <c r="BL51" s="218">
        <v>1.65</v>
      </c>
      <c r="BM51" s="251">
        <f t="shared" si="4"/>
        <v>-1.65</v>
      </c>
      <c r="BN51" s="218">
        <v>0.48</v>
      </c>
      <c r="BO51" s="218">
        <v>0.15</v>
      </c>
      <c r="BP51" s="218">
        <v>5</v>
      </c>
    </row>
    <row r="52" spans="2:68">
      <c r="B52" s="218">
        <v>1.79</v>
      </c>
      <c r="C52" s="218">
        <f t="shared" si="0"/>
        <v>-1.79</v>
      </c>
      <c r="D52" s="218">
        <v>0.81</v>
      </c>
      <c r="E52" s="218">
        <v>0.15</v>
      </c>
      <c r="F52" s="218">
        <v>5</v>
      </c>
      <c r="Q52" s="218">
        <v>1.84</v>
      </c>
      <c r="R52" s="251">
        <f t="shared" si="1"/>
        <v>-1.84</v>
      </c>
      <c r="S52" s="218">
        <v>0.47</v>
      </c>
      <c r="T52" s="218">
        <v>0.15</v>
      </c>
      <c r="U52" s="218">
        <v>5</v>
      </c>
      <c r="AF52" s="218">
        <v>1.76</v>
      </c>
      <c r="AG52" s="251">
        <f t="shared" si="2"/>
        <v>-1.76</v>
      </c>
      <c r="AH52" s="218">
        <v>0.34</v>
      </c>
      <c r="AI52" s="218">
        <v>0.15</v>
      </c>
      <c r="AJ52" s="218">
        <v>5</v>
      </c>
      <c r="AV52" s="218">
        <v>1.75</v>
      </c>
      <c r="AW52" s="251">
        <f t="shared" si="3"/>
        <v>-1.75</v>
      </c>
      <c r="AX52" s="218">
        <v>0.33</v>
      </c>
      <c r="AY52" s="218">
        <v>0.15</v>
      </c>
      <c r="AZ52" s="218">
        <v>5</v>
      </c>
      <c r="BL52" s="218">
        <v>1.67</v>
      </c>
      <c r="BM52" s="251">
        <f t="shared" si="4"/>
        <v>-1.67</v>
      </c>
      <c r="BN52" s="218">
        <v>0.46</v>
      </c>
      <c r="BO52" s="218">
        <v>0.15</v>
      </c>
      <c r="BP52" s="218">
        <v>5</v>
      </c>
    </row>
    <row r="53" spans="2:68">
      <c r="B53" s="218">
        <v>1.82</v>
      </c>
      <c r="C53" s="218">
        <f t="shared" si="0"/>
        <v>-1.82</v>
      </c>
      <c r="D53" s="218">
        <v>0.81</v>
      </c>
      <c r="E53" s="218">
        <v>0.15</v>
      </c>
      <c r="F53" s="218">
        <v>5</v>
      </c>
      <c r="Q53" s="218">
        <v>1.87</v>
      </c>
      <c r="R53" s="251">
        <f t="shared" si="1"/>
        <v>-1.87</v>
      </c>
      <c r="S53" s="218">
        <v>0.48</v>
      </c>
      <c r="T53" s="218">
        <v>0.15</v>
      </c>
      <c r="U53" s="218">
        <v>5</v>
      </c>
      <c r="AF53" s="218">
        <v>1.79</v>
      </c>
      <c r="AG53" s="251">
        <f t="shared" si="2"/>
        <v>-1.79</v>
      </c>
      <c r="AH53" s="218">
        <v>0.33</v>
      </c>
      <c r="AI53" s="218">
        <v>0.15</v>
      </c>
      <c r="AJ53" s="218">
        <v>5</v>
      </c>
      <c r="AV53" s="218">
        <v>1.78</v>
      </c>
      <c r="AW53" s="251">
        <f t="shared" si="3"/>
        <v>-1.78</v>
      </c>
      <c r="AX53" s="218">
        <v>0.33</v>
      </c>
      <c r="AY53" s="218">
        <v>0.15</v>
      </c>
      <c r="AZ53" s="218">
        <v>5</v>
      </c>
      <c r="BL53" s="218">
        <v>1.7</v>
      </c>
      <c r="BM53" s="251">
        <f t="shared" si="4"/>
        <v>-1.7</v>
      </c>
      <c r="BN53" s="218">
        <v>0.44</v>
      </c>
      <c r="BO53" s="218">
        <v>0.15</v>
      </c>
      <c r="BP53" s="218">
        <v>5</v>
      </c>
    </row>
    <row r="54" spans="2:68">
      <c r="B54" s="218">
        <v>1.84</v>
      </c>
      <c r="C54" s="218">
        <f t="shared" si="0"/>
        <v>-1.84</v>
      </c>
      <c r="D54" s="218">
        <v>0.81</v>
      </c>
      <c r="E54" s="218">
        <v>0.15</v>
      </c>
      <c r="F54" s="218">
        <v>5</v>
      </c>
      <c r="Q54" s="218">
        <v>1.89</v>
      </c>
      <c r="R54" s="251">
        <f t="shared" si="1"/>
        <v>-1.89</v>
      </c>
      <c r="S54" s="218">
        <v>0.49</v>
      </c>
      <c r="T54" s="218">
        <v>0.15</v>
      </c>
      <c r="U54" s="218">
        <v>5</v>
      </c>
      <c r="AF54" s="218">
        <v>1.81</v>
      </c>
      <c r="AG54" s="251">
        <f t="shared" si="2"/>
        <v>-1.81</v>
      </c>
      <c r="AH54" s="218">
        <v>0.32</v>
      </c>
      <c r="AI54" s="218">
        <v>0.15</v>
      </c>
      <c r="AJ54" s="218">
        <v>5</v>
      </c>
      <c r="AV54" s="218">
        <v>1.8</v>
      </c>
      <c r="AW54" s="251">
        <f t="shared" si="3"/>
        <v>-1.8</v>
      </c>
      <c r="AX54" s="218">
        <v>0.33</v>
      </c>
      <c r="AY54" s="218">
        <v>0.15</v>
      </c>
      <c r="AZ54" s="218">
        <v>5</v>
      </c>
      <c r="BL54" s="218">
        <v>1.72</v>
      </c>
      <c r="BM54" s="251">
        <f t="shared" si="4"/>
        <v>-1.72</v>
      </c>
      <c r="BN54" s="218">
        <v>0.43</v>
      </c>
      <c r="BO54" s="218">
        <v>0.15</v>
      </c>
      <c r="BP54" s="218">
        <v>5</v>
      </c>
    </row>
    <row r="55" spans="2:68">
      <c r="B55" s="218">
        <v>1.87</v>
      </c>
      <c r="C55" s="218">
        <f t="shared" si="0"/>
        <v>-1.87</v>
      </c>
      <c r="D55" s="218">
        <v>0.81</v>
      </c>
      <c r="E55" s="218">
        <v>0.15</v>
      </c>
      <c r="F55" s="218">
        <v>5</v>
      </c>
      <c r="Q55" s="218">
        <v>1.92</v>
      </c>
      <c r="R55" s="251">
        <f t="shared" si="1"/>
        <v>-1.92</v>
      </c>
      <c r="S55" s="218">
        <v>0.5</v>
      </c>
      <c r="T55" s="218">
        <v>0.15</v>
      </c>
      <c r="U55" s="218">
        <v>5</v>
      </c>
      <c r="AF55" s="218">
        <v>1.84</v>
      </c>
      <c r="AG55" s="251">
        <f t="shared" si="2"/>
        <v>-1.84</v>
      </c>
      <c r="AH55" s="218">
        <v>0.31</v>
      </c>
      <c r="AI55" s="218">
        <v>0.15</v>
      </c>
      <c r="AJ55" s="218">
        <v>5</v>
      </c>
      <c r="AV55" s="218">
        <v>1.83</v>
      </c>
      <c r="AW55" s="251">
        <f t="shared" si="3"/>
        <v>-1.83</v>
      </c>
      <c r="AX55" s="218">
        <v>0.33</v>
      </c>
      <c r="AY55" s="218">
        <v>0.15</v>
      </c>
      <c r="AZ55" s="218">
        <v>5</v>
      </c>
      <c r="BL55" s="218">
        <v>1.75</v>
      </c>
      <c r="BM55" s="251">
        <f t="shared" si="4"/>
        <v>-1.75</v>
      </c>
      <c r="BN55" s="218">
        <v>0.41</v>
      </c>
      <c r="BO55" s="218">
        <v>0.15</v>
      </c>
      <c r="BP55" s="218">
        <v>5</v>
      </c>
    </row>
    <row r="56" spans="2:68">
      <c r="B56" s="218">
        <v>1.89</v>
      </c>
      <c r="C56" s="218">
        <f t="shared" si="0"/>
        <v>-1.89</v>
      </c>
      <c r="D56" s="218">
        <v>0.81</v>
      </c>
      <c r="E56" s="218">
        <v>0.15</v>
      </c>
      <c r="F56" s="218">
        <v>5</v>
      </c>
      <c r="Q56" s="218">
        <v>1.94</v>
      </c>
      <c r="R56" s="251">
        <f t="shared" si="1"/>
        <v>-1.94</v>
      </c>
      <c r="S56" s="218">
        <v>0.51</v>
      </c>
      <c r="T56" s="218">
        <v>0.15</v>
      </c>
      <c r="U56" s="218">
        <v>5</v>
      </c>
      <c r="AF56" s="218">
        <v>1.86</v>
      </c>
      <c r="AG56" s="251">
        <f t="shared" si="2"/>
        <v>-1.86</v>
      </c>
      <c r="AH56" s="218">
        <v>0.3</v>
      </c>
      <c r="AI56" s="218">
        <v>0.15</v>
      </c>
      <c r="AJ56" s="218">
        <v>5</v>
      </c>
      <c r="AV56" s="218">
        <v>1.85</v>
      </c>
      <c r="AW56" s="251">
        <f t="shared" si="3"/>
        <v>-1.85</v>
      </c>
      <c r="AX56" s="218">
        <v>0.32</v>
      </c>
      <c r="AY56" s="218">
        <v>0.15</v>
      </c>
      <c r="AZ56" s="218">
        <v>5</v>
      </c>
      <c r="BL56" s="218">
        <v>1.77</v>
      </c>
      <c r="BM56" s="251">
        <f t="shared" si="4"/>
        <v>-1.77</v>
      </c>
      <c r="BN56" s="218">
        <v>0.4</v>
      </c>
      <c r="BO56" s="218">
        <v>0.15</v>
      </c>
      <c r="BP56" s="218">
        <v>5</v>
      </c>
    </row>
    <row r="57" spans="2:68">
      <c r="B57" s="218">
        <v>1.92</v>
      </c>
      <c r="C57" s="218">
        <f t="shared" si="0"/>
        <v>-1.92</v>
      </c>
      <c r="D57" s="218">
        <v>0.81</v>
      </c>
      <c r="E57" s="218">
        <v>0.15</v>
      </c>
      <c r="F57" s="218">
        <v>5</v>
      </c>
      <c r="Q57" s="218">
        <v>1.97</v>
      </c>
      <c r="R57" s="251">
        <f t="shared" si="1"/>
        <v>-1.97</v>
      </c>
      <c r="S57" s="218">
        <v>0.52</v>
      </c>
      <c r="T57" s="218">
        <v>0.15</v>
      </c>
      <c r="U57" s="218">
        <v>5</v>
      </c>
      <c r="AF57" s="218">
        <v>1.89</v>
      </c>
      <c r="AG57" s="251">
        <f t="shared" si="2"/>
        <v>-1.89</v>
      </c>
      <c r="AH57" s="218">
        <v>0.28999999999999998</v>
      </c>
      <c r="AI57" s="218">
        <v>0.15</v>
      </c>
      <c r="AJ57" s="218">
        <v>5</v>
      </c>
      <c r="AV57" s="218">
        <v>1.88</v>
      </c>
      <c r="AW57" s="251">
        <f t="shared" si="3"/>
        <v>-1.88</v>
      </c>
      <c r="AX57" s="218">
        <v>0.32</v>
      </c>
      <c r="AY57" s="218">
        <v>0.15</v>
      </c>
      <c r="AZ57" s="218">
        <v>5</v>
      </c>
      <c r="BL57" s="218">
        <v>1.8</v>
      </c>
      <c r="BM57" s="251">
        <f t="shared" si="4"/>
        <v>-1.8</v>
      </c>
      <c r="BN57" s="218">
        <v>0.39</v>
      </c>
      <c r="BO57" s="218">
        <v>0.15</v>
      </c>
      <c r="BP57" s="218">
        <v>5</v>
      </c>
    </row>
    <row r="58" spans="2:68">
      <c r="B58" s="218">
        <v>1.94</v>
      </c>
      <c r="C58" s="218">
        <f t="shared" si="0"/>
        <v>-1.94</v>
      </c>
      <c r="D58" s="218">
        <v>0.81</v>
      </c>
      <c r="E58" s="218">
        <v>0.15</v>
      </c>
      <c r="F58" s="218">
        <v>5</v>
      </c>
      <c r="Q58" s="218">
        <v>1.99</v>
      </c>
      <c r="R58" s="251">
        <f t="shared" si="1"/>
        <v>-1.99</v>
      </c>
      <c r="S58" s="218">
        <v>0.53</v>
      </c>
      <c r="T58" s="218">
        <v>0.15</v>
      </c>
      <c r="U58" s="218">
        <v>5</v>
      </c>
      <c r="AF58" s="218">
        <v>1.91</v>
      </c>
      <c r="AG58" s="251">
        <f t="shared" si="2"/>
        <v>-1.91</v>
      </c>
      <c r="AH58" s="218">
        <v>0.28000000000000003</v>
      </c>
      <c r="AI58" s="218">
        <v>0.15</v>
      </c>
      <c r="AJ58" s="218">
        <v>5</v>
      </c>
      <c r="AV58" s="218">
        <v>1.9</v>
      </c>
      <c r="AW58" s="251">
        <f t="shared" si="3"/>
        <v>-1.9</v>
      </c>
      <c r="AX58" s="218">
        <v>0.32</v>
      </c>
      <c r="AY58" s="218">
        <v>0.15</v>
      </c>
      <c r="AZ58" s="218">
        <v>5</v>
      </c>
      <c r="BL58" s="218">
        <v>1.82</v>
      </c>
      <c r="BM58" s="251">
        <f t="shared" si="4"/>
        <v>-1.82</v>
      </c>
      <c r="BN58" s="218">
        <v>0.37</v>
      </c>
      <c r="BO58" s="218">
        <v>0.15</v>
      </c>
      <c r="BP58" s="218">
        <v>5</v>
      </c>
    </row>
    <row r="59" spans="2:68">
      <c r="B59" s="218">
        <v>1.97</v>
      </c>
      <c r="C59" s="218">
        <f t="shared" si="0"/>
        <v>-1.97</v>
      </c>
      <c r="D59" s="218">
        <v>0.81</v>
      </c>
      <c r="E59" s="218">
        <v>0.15</v>
      </c>
      <c r="F59" s="218">
        <v>5</v>
      </c>
      <c r="Q59" s="218">
        <v>2.02</v>
      </c>
      <c r="R59" s="251">
        <f t="shared" si="1"/>
        <v>-2.02</v>
      </c>
      <c r="S59" s="218">
        <v>0.54</v>
      </c>
      <c r="T59" s="218">
        <v>0.15</v>
      </c>
      <c r="U59" s="218">
        <v>5</v>
      </c>
      <c r="AF59" s="218">
        <v>1.94</v>
      </c>
      <c r="AG59" s="251">
        <f t="shared" si="2"/>
        <v>-1.94</v>
      </c>
      <c r="AH59" s="218">
        <v>0.27</v>
      </c>
      <c r="AI59" s="218">
        <v>0.15</v>
      </c>
      <c r="AJ59" s="218">
        <v>5</v>
      </c>
      <c r="AV59" s="218">
        <v>1.93</v>
      </c>
      <c r="AW59" s="251">
        <f t="shared" si="3"/>
        <v>-1.93</v>
      </c>
      <c r="AX59" s="218">
        <v>0.32</v>
      </c>
      <c r="AY59" s="218">
        <v>0.15</v>
      </c>
      <c r="AZ59" s="218">
        <v>5</v>
      </c>
      <c r="BL59" s="218">
        <v>1.85</v>
      </c>
      <c r="BM59" s="251">
        <f t="shared" si="4"/>
        <v>-1.85</v>
      </c>
      <c r="BN59" s="218">
        <v>0.36</v>
      </c>
      <c r="BO59" s="218">
        <v>0.15</v>
      </c>
      <c r="BP59" s="218">
        <v>5</v>
      </c>
    </row>
    <row r="60" spans="2:68">
      <c r="B60" s="218">
        <v>1.99</v>
      </c>
      <c r="C60" s="218">
        <f t="shared" si="0"/>
        <v>-1.99</v>
      </c>
      <c r="D60" s="218">
        <v>0.59</v>
      </c>
      <c r="E60" s="218">
        <v>0.15</v>
      </c>
      <c r="F60" s="218">
        <v>5</v>
      </c>
      <c r="Q60" s="218">
        <v>2.04</v>
      </c>
      <c r="R60" s="251">
        <f t="shared" si="1"/>
        <v>-2.04</v>
      </c>
      <c r="S60" s="218">
        <v>0.55000000000000004</v>
      </c>
      <c r="T60" s="218">
        <v>0.15</v>
      </c>
      <c r="U60" s="218">
        <v>5</v>
      </c>
      <c r="AF60" s="218">
        <v>1.96</v>
      </c>
      <c r="AG60" s="251">
        <f t="shared" si="2"/>
        <v>-1.96</v>
      </c>
      <c r="AH60" s="218">
        <v>0.26</v>
      </c>
      <c r="AI60" s="218">
        <v>0.15</v>
      </c>
      <c r="AJ60" s="218">
        <v>5</v>
      </c>
      <c r="AV60" s="218">
        <v>1.95</v>
      </c>
      <c r="AW60" s="251">
        <f t="shared" si="3"/>
        <v>-1.95</v>
      </c>
      <c r="AX60" s="218">
        <v>0.32</v>
      </c>
      <c r="AY60" s="218">
        <v>0.15</v>
      </c>
      <c r="AZ60" s="218">
        <v>5</v>
      </c>
      <c r="BL60" s="218">
        <v>1.87</v>
      </c>
      <c r="BM60" s="251">
        <f t="shared" si="4"/>
        <v>-1.87</v>
      </c>
      <c r="BN60" s="218">
        <v>0.35</v>
      </c>
      <c r="BO60" s="218">
        <v>0.15</v>
      </c>
      <c r="BP60" s="218">
        <v>5</v>
      </c>
    </row>
    <row r="61" spans="2:68">
      <c r="B61" s="218">
        <v>2.02</v>
      </c>
      <c r="C61" s="218">
        <f t="shared" si="0"/>
        <v>-2.02</v>
      </c>
      <c r="D61" s="218">
        <v>0.5</v>
      </c>
      <c r="E61" s="218">
        <v>0.15</v>
      </c>
      <c r="F61" s="218">
        <v>5</v>
      </c>
      <c r="Q61" s="218">
        <v>2.0699999999999998</v>
      </c>
      <c r="R61" s="251">
        <f t="shared" si="1"/>
        <v>-2.0699999999999998</v>
      </c>
      <c r="S61" s="218">
        <v>0.56000000000000005</v>
      </c>
      <c r="T61" s="218">
        <v>0.15</v>
      </c>
      <c r="U61" s="218">
        <v>5</v>
      </c>
      <c r="AF61" s="218">
        <v>1.99</v>
      </c>
      <c r="AG61" s="251">
        <f t="shared" si="2"/>
        <v>-1.99</v>
      </c>
      <c r="AH61" s="218">
        <v>0.25</v>
      </c>
      <c r="AI61" s="218">
        <v>0.15</v>
      </c>
      <c r="AJ61" s="218">
        <v>5</v>
      </c>
      <c r="AV61" s="218">
        <v>1.98</v>
      </c>
      <c r="AW61" s="251">
        <f t="shared" si="3"/>
        <v>-1.98</v>
      </c>
      <c r="AX61" s="218">
        <v>0.31</v>
      </c>
      <c r="AY61" s="218">
        <v>0.15</v>
      </c>
      <c r="AZ61" s="218">
        <v>5</v>
      </c>
      <c r="BL61" s="218">
        <v>1.9</v>
      </c>
      <c r="BM61" s="251">
        <f t="shared" si="4"/>
        <v>-1.9</v>
      </c>
      <c r="BN61" s="218">
        <v>0.34</v>
      </c>
      <c r="BO61" s="218">
        <v>0.15</v>
      </c>
      <c r="BP61" s="218">
        <v>5</v>
      </c>
    </row>
    <row r="62" spans="2:68">
      <c r="B62" s="218">
        <v>2.04</v>
      </c>
      <c r="C62" s="218">
        <f t="shared" si="0"/>
        <v>-2.04</v>
      </c>
      <c r="D62" s="218">
        <v>0.44</v>
      </c>
      <c r="E62" s="218">
        <v>0.15</v>
      </c>
      <c r="F62" s="218">
        <v>5</v>
      </c>
      <c r="Q62" s="218">
        <v>2.09</v>
      </c>
      <c r="R62" s="251">
        <f t="shared" si="1"/>
        <v>-2.09</v>
      </c>
      <c r="S62" s="218">
        <v>0.56999999999999995</v>
      </c>
      <c r="T62" s="218">
        <v>0.15</v>
      </c>
      <c r="U62" s="218">
        <v>5</v>
      </c>
      <c r="AF62" s="218">
        <v>2.0099999999999998</v>
      </c>
      <c r="AG62" s="251">
        <f t="shared" si="2"/>
        <v>-2.0099999999999998</v>
      </c>
      <c r="AH62" s="218">
        <v>0.26</v>
      </c>
      <c r="AI62" s="218">
        <v>0.15</v>
      </c>
      <c r="AJ62" s="218">
        <v>5</v>
      </c>
      <c r="AV62" s="218">
        <v>2</v>
      </c>
      <c r="AW62" s="251">
        <f t="shared" si="3"/>
        <v>-2</v>
      </c>
      <c r="AX62" s="218">
        <v>0.31</v>
      </c>
      <c r="AY62" s="218">
        <v>0.15</v>
      </c>
      <c r="AZ62" s="218">
        <v>5</v>
      </c>
      <c r="BL62" s="218">
        <v>1.92</v>
      </c>
      <c r="BM62" s="251">
        <f t="shared" si="4"/>
        <v>-1.92</v>
      </c>
      <c r="BN62" s="218">
        <v>0.33</v>
      </c>
      <c r="BO62" s="218">
        <v>0.15</v>
      </c>
      <c r="BP62" s="218">
        <v>5</v>
      </c>
    </row>
    <row r="63" spans="2:68">
      <c r="B63" s="218">
        <v>2.0699999999999998</v>
      </c>
      <c r="C63" s="218">
        <f t="shared" si="0"/>
        <v>-2.0699999999999998</v>
      </c>
      <c r="D63" s="218">
        <v>0.39</v>
      </c>
      <c r="E63" s="218">
        <v>0.15</v>
      </c>
      <c r="F63" s="218">
        <v>5</v>
      </c>
      <c r="Q63" s="218">
        <v>2.12</v>
      </c>
      <c r="R63" s="251">
        <f t="shared" si="1"/>
        <v>-2.12</v>
      </c>
      <c r="S63" s="218">
        <v>0.57999999999999996</v>
      </c>
      <c r="T63" s="218">
        <v>0.15</v>
      </c>
      <c r="U63" s="218">
        <v>5</v>
      </c>
      <c r="AF63" s="218">
        <v>2.04</v>
      </c>
      <c r="AG63" s="251">
        <f t="shared" si="2"/>
        <v>-2.04</v>
      </c>
      <c r="AH63" s="218">
        <v>0.27</v>
      </c>
      <c r="AI63" s="218">
        <v>0.15</v>
      </c>
      <c r="AJ63" s="218">
        <v>5</v>
      </c>
      <c r="AV63" s="218">
        <v>2.0299999999999998</v>
      </c>
      <c r="AW63" s="251">
        <f t="shared" si="3"/>
        <v>-2.0299999999999998</v>
      </c>
      <c r="AX63" s="218">
        <v>0.31</v>
      </c>
      <c r="AY63" s="218">
        <v>0.15</v>
      </c>
      <c r="AZ63" s="218">
        <v>5</v>
      </c>
      <c r="BL63" s="218">
        <v>1.95</v>
      </c>
      <c r="BM63" s="251">
        <f t="shared" si="4"/>
        <v>-1.95</v>
      </c>
      <c r="BN63" s="218">
        <v>0.32</v>
      </c>
      <c r="BO63" s="218">
        <v>0.15</v>
      </c>
      <c r="BP63" s="218">
        <v>5</v>
      </c>
    </row>
    <row r="64" spans="2:68">
      <c r="B64" s="218">
        <v>2.09</v>
      </c>
      <c r="C64" s="218">
        <f t="shared" si="0"/>
        <v>-2.09</v>
      </c>
      <c r="D64" s="218">
        <v>0.35</v>
      </c>
      <c r="E64" s="218">
        <v>0.15</v>
      </c>
      <c r="F64" s="218">
        <v>5</v>
      </c>
      <c r="Q64" s="218">
        <v>2.14</v>
      </c>
      <c r="R64" s="251">
        <f t="shared" si="1"/>
        <v>-2.14</v>
      </c>
      <c r="S64" s="218">
        <v>0.59</v>
      </c>
      <c r="T64" s="218">
        <v>0.15</v>
      </c>
      <c r="U64" s="218">
        <v>5</v>
      </c>
      <c r="AF64" s="218">
        <v>2.06</v>
      </c>
      <c r="AG64" s="251">
        <f t="shared" si="2"/>
        <v>-2.06</v>
      </c>
      <c r="AH64" s="218">
        <v>0.28000000000000003</v>
      </c>
      <c r="AI64" s="218">
        <v>0.15</v>
      </c>
      <c r="AJ64" s="218">
        <v>5</v>
      </c>
      <c r="AV64" s="218">
        <v>2.0499999999999998</v>
      </c>
      <c r="AW64" s="251">
        <f t="shared" si="3"/>
        <v>-2.0499999999999998</v>
      </c>
      <c r="AX64" s="218">
        <v>0.3</v>
      </c>
      <c r="AY64" s="218">
        <v>0.15</v>
      </c>
      <c r="AZ64" s="218">
        <v>5</v>
      </c>
      <c r="BL64" s="218">
        <v>1.97</v>
      </c>
      <c r="BM64" s="251">
        <f t="shared" si="4"/>
        <v>-1.97</v>
      </c>
      <c r="BN64" s="218">
        <v>0.3</v>
      </c>
      <c r="BO64" s="218">
        <v>0.15</v>
      </c>
      <c r="BP64" s="218">
        <v>5</v>
      </c>
    </row>
    <row r="65" spans="2:68">
      <c r="B65" s="218">
        <v>2.12</v>
      </c>
      <c r="C65" s="218">
        <f t="shared" si="0"/>
        <v>-2.12</v>
      </c>
      <c r="D65" s="218">
        <v>0.31</v>
      </c>
      <c r="E65" s="218">
        <v>0.15</v>
      </c>
      <c r="F65" s="218">
        <v>5</v>
      </c>
      <c r="Q65" s="218">
        <v>2.17</v>
      </c>
      <c r="R65" s="251">
        <f t="shared" si="1"/>
        <v>-2.17</v>
      </c>
      <c r="S65" s="218">
        <v>0.6</v>
      </c>
      <c r="T65" s="218">
        <v>0.15</v>
      </c>
      <c r="U65" s="218">
        <v>5</v>
      </c>
      <c r="AF65" s="218">
        <v>2.09</v>
      </c>
      <c r="AG65" s="251">
        <f t="shared" si="2"/>
        <v>-2.09</v>
      </c>
      <c r="AH65" s="218">
        <v>0.28999999999999998</v>
      </c>
      <c r="AI65" s="218">
        <v>0.15</v>
      </c>
      <c r="AJ65" s="218">
        <v>5</v>
      </c>
      <c r="AV65" s="218">
        <v>2.08</v>
      </c>
      <c r="AW65" s="251">
        <f t="shared" si="3"/>
        <v>-2.08</v>
      </c>
      <c r="AX65" s="218">
        <v>0.3</v>
      </c>
      <c r="AY65" s="218">
        <v>0.15</v>
      </c>
      <c r="AZ65" s="218">
        <v>5</v>
      </c>
      <c r="BL65" s="218">
        <v>2</v>
      </c>
      <c r="BM65" s="251">
        <f t="shared" si="4"/>
        <v>-2</v>
      </c>
      <c r="BN65" s="218">
        <v>0.28999999999999998</v>
      </c>
      <c r="BO65" s="218">
        <v>0.15</v>
      </c>
      <c r="BP65" s="218">
        <v>5</v>
      </c>
    </row>
    <row r="66" spans="2:68">
      <c r="B66" s="218">
        <v>2.14</v>
      </c>
      <c r="C66" s="218">
        <f t="shared" si="0"/>
        <v>-2.14</v>
      </c>
      <c r="D66" s="218">
        <v>0.31</v>
      </c>
      <c r="E66" s="218">
        <v>0.15</v>
      </c>
      <c r="F66" s="218">
        <v>5</v>
      </c>
      <c r="Q66" s="218">
        <v>2.19</v>
      </c>
      <c r="R66" s="251">
        <f t="shared" si="1"/>
        <v>-2.19</v>
      </c>
      <c r="S66" s="218">
        <v>0.62</v>
      </c>
      <c r="T66" s="218">
        <v>0.15</v>
      </c>
      <c r="U66" s="218">
        <v>5</v>
      </c>
      <c r="AF66" s="218">
        <v>2.11</v>
      </c>
      <c r="AG66" s="251">
        <f t="shared" si="2"/>
        <v>-2.11</v>
      </c>
      <c r="AH66" s="218">
        <v>0.28999999999999998</v>
      </c>
      <c r="AI66" s="218">
        <v>0.15</v>
      </c>
      <c r="AJ66" s="218">
        <v>5</v>
      </c>
      <c r="AV66" s="218">
        <v>2.1</v>
      </c>
      <c r="AW66" s="251">
        <f t="shared" si="3"/>
        <v>-2.1</v>
      </c>
      <c r="AX66" s="218">
        <v>0.28999999999999998</v>
      </c>
      <c r="AY66" s="218">
        <v>0.15</v>
      </c>
      <c r="AZ66" s="218">
        <v>5</v>
      </c>
      <c r="BL66" s="218">
        <v>2.02</v>
      </c>
      <c r="BM66" s="251">
        <f t="shared" si="4"/>
        <v>-2.02</v>
      </c>
      <c r="BN66" s="218">
        <v>0.28000000000000003</v>
      </c>
      <c r="BO66" s="218">
        <v>0.15</v>
      </c>
      <c r="BP66" s="218">
        <v>5</v>
      </c>
    </row>
    <row r="67" spans="2:68">
      <c r="B67" s="218">
        <v>2.17</v>
      </c>
      <c r="C67" s="218">
        <f t="shared" si="0"/>
        <v>-2.17</v>
      </c>
      <c r="D67" s="218">
        <v>0.32</v>
      </c>
      <c r="E67" s="218">
        <v>0.15</v>
      </c>
      <c r="F67" s="218">
        <v>5</v>
      </c>
      <c r="Q67" s="218">
        <v>2.2200000000000002</v>
      </c>
      <c r="R67" s="251">
        <f t="shared" si="1"/>
        <v>-2.2200000000000002</v>
      </c>
      <c r="S67" s="218">
        <v>0.64</v>
      </c>
      <c r="T67" s="218">
        <v>0.15</v>
      </c>
      <c r="U67" s="218">
        <v>5</v>
      </c>
      <c r="AF67" s="218">
        <v>2.14</v>
      </c>
      <c r="AG67" s="251">
        <f t="shared" si="2"/>
        <v>-2.14</v>
      </c>
      <c r="AH67" s="218">
        <v>0.3</v>
      </c>
      <c r="AI67" s="218">
        <v>0.15</v>
      </c>
      <c r="AJ67" s="218">
        <v>5</v>
      </c>
      <c r="AV67" s="218">
        <v>2.13</v>
      </c>
      <c r="AW67" s="251">
        <f t="shared" si="3"/>
        <v>-2.13</v>
      </c>
      <c r="AX67" s="218">
        <v>0.28999999999999998</v>
      </c>
      <c r="AY67" s="218">
        <v>0.15</v>
      </c>
      <c r="AZ67" s="218">
        <v>5</v>
      </c>
      <c r="BL67" s="218">
        <v>2.0499999999999998</v>
      </c>
      <c r="BM67" s="251">
        <f t="shared" si="4"/>
        <v>-2.0499999999999998</v>
      </c>
      <c r="BN67" s="218">
        <v>0.27</v>
      </c>
      <c r="BO67" s="218">
        <v>0.15</v>
      </c>
      <c r="BP67" s="218">
        <v>5</v>
      </c>
    </row>
    <row r="68" spans="2:68">
      <c r="B68" s="218">
        <v>2.19</v>
      </c>
      <c r="C68" s="218">
        <f t="shared" si="0"/>
        <v>-2.19</v>
      </c>
      <c r="D68" s="218">
        <v>0.33</v>
      </c>
      <c r="E68" s="218">
        <v>0.15</v>
      </c>
      <c r="F68" s="218">
        <v>5</v>
      </c>
      <c r="Q68" s="218">
        <v>2.2400000000000002</v>
      </c>
      <c r="R68" s="251">
        <f t="shared" si="1"/>
        <v>-2.2400000000000002</v>
      </c>
      <c r="S68" s="218">
        <v>0.67</v>
      </c>
      <c r="T68" s="218">
        <v>0.15</v>
      </c>
      <c r="U68" s="218">
        <v>5</v>
      </c>
      <c r="AF68" s="218">
        <v>2.16</v>
      </c>
      <c r="AG68" s="251">
        <f t="shared" si="2"/>
        <v>-2.16</v>
      </c>
      <c r="AH68" s="218">
        <v>0.31</v>
      </c>
      <c r="AI68" s="218">
        <v>0.15</v>
      </c>
      <c r="AJ68" s="218">
        <v>5</v>
      </c>
      <c r="AV68" s="218">
        <v>2.15</v>
      </c>
      <c r="AW68" s="251">
        <f t="shared" si="3"/>
        <v>-2.15</v>
      </c>
      <c r="AX68" s="218">
        <v>0.28999999999999998</v>
      </c>
      <c r="AY68" s="218">
        <v>0.15</v>
      </c>
      <c r="AZ68" s="218">
        <v>5</v>
      </c>
      <c r="BL68" s="218">
        <v>2.0699999999999998</v>
      </c>
      <c r="BM68" s="251">
        <f t="shared" si="4"/>
        <v>-2.0699999999999998</v>
      </c>
      <c r="BN68" s="218">
        <v>0.25</v>
      </c>
      <c r="BO68" s="218">
        <v>0.15</v>
      </c>
      <c r="BP68" s="218">
        <v>5</v>
      </c>
    </row>
    <row r="69" spans="2:68">
      <c r="B69" s="218">
        <v>2.2200000000000002</v>
      </c>
      <c r="C69" s="218">
        <f t="shared" si="0"/>
        <v>-2.2200000000000002</v>
      </c>
      <c r="D69" s="218">
        <v>0.34</v>
      </c>
      <c r="E69" s="218">
        <v>0.15</v>
      </c>
      <c r="F69" s="218">
        <v>5</v>
      </c>
      <c r="Q69" s="218">
        <v>2.27</v>
      </c>
      <c r="R69" s="251">
        <f t="shared" si="1"/>
        <v>-2.27</v>
      </c>
      <c r="S69" s="218">
        <v>0.72</v>
      </c>
      <c r="T69" s="218">
        <v>0.15</v>
      </c>
      <c r="U69" s="218">
        <v>5</v>
      </c>
      <c r="AF69" s="218">
        <v>2.19</v>
      </c>
      <c r="AG69" s="251">
        <f t="shared" si="2"/>
        <v>-2.19</v>
      </c>
      <c r="AH69" s="218">
        <v>0.32</v>
      </c>
      <c r="AI69" s="218">
        <v>0.15</v>
      </c>
      <c r="AJ69" s="218">
        <v>5</v>
      </c>
      <c r="AV69" s="218">
        <v>2.1800000000000002</v>
      </c>
      <c r="AW69" s="251">
        <f t="shared" si="3"/>
        <v>-2.1800000000000002</v>
      </c>
      <c r="AX69" s="218">
        <v>0.28000000000000003</v>
      </c>
      <c r="AY69" s="218">
        <v>0.15</v>
      </c>
      <c r="AZ69" s="218">
        <v>5</v>
      </c>
      <c r="BL69" s="218">
        <v>2.1</v>
      </c>
      <c r="BM69" s="251">
        <f t="shared" si="4"/>
        <v>-2.1</v>
      </c>
      <c r="BN69" s="218">
        <v>0.24</v>
      </c>
      <c r="BO69" s="218">
        <v>0.15</v>
      </c>
      <c r="BP69" s="218">
        <v>5</v>
      </c>
    </row>
    <row r="70" spans="2:68">
      <c r="B70" s="218">
        <v>2.2400000000000002</v>
      </c>
      <c r="C70" s="218">
        <f t="shared" ref="C70:C133" si="5">$F$2-B70</f>
        <v>-2.2400000000000002</v>
      </c>
      <c r="D70" s="218">
        <v>0.34</v>
      </c>
      <c r="E70" s="218">
        <v>0.15</v>
      </c>
      <c r="F70" s="218">
        <v>5</v>
      </c>
      <c r="Q70" s="218">
        <v>2.29</v>
      </c>
      <c r="R70" s="251">
        <f t="shared" ref="R70:R133" si="6">$U$2-Q70</f>
        <v>-2.29</v>
      </c>
      <c r="S70" s="218">
        <v>0.81</v>
      </c>
      <c r="T70" s="218">
        <v>0.15</v>
      </c>
      <c r="U70" s="218">
        <v>5</v>
      </c>
      <c r="AF70" s="218">
        <v>2.21</v>
      </c>
      <c r="AG70" s="251">
        <f t="shared" ref="AG70:AG133" si="7">$AJ$2-AF70</f>
        <v>-2.21</v>
      </c>
      <c r="AH70" s="218">
        <v>0.33</v>
      </c>
      <c r="AI70" s="218">
        <v>0.15</v>
      </c>
      <c r="AJ70" s="218">
        <v>5</v>
      </c>
      <c r="AV70" s="218">
        <v>2.2000000000000002</v>
      </c>
      <c r="AW70" s="251">
        <f t="shared" ref="AW70:AW133" si="8">$AZ$2-AV70</f>
        <v>-2.2000000000000002</v>
      </c>
      <c r="AX70" s="218">
        <v>0.3</v>
      </c>
      <c r="AY70" s="218">
        <v>0.15</v>
      </c>
      <c r="AZ70" s="218">
        <v>5</v>
      </c>
      <c r="BL70" s="218">
        <v>2.12</v>
      </c>
      <c r="BM70" s="251">
        <f t="shared" ref="BM70:BM133" si="9">$AZ$2-BL70</f>
        <v>-2.12</v>
      </c>
      <c r="BN70" s="218">
        <v>0.25</v>
      </c>
      <c r="BO70" s="218">
        <v>0.15</v>
      </c>
      <c r="BP70" s="218">
        <v>5</v>
      </c>
    </row>
    <row r="71" spans="2:68">
      <c r="B71" s="218">
        <v>2.27</v>
      </c>
      <c r="C71" s="218">
        <f t="shared" si="5"/>
        <v>-2.27</v>
      </c>
      <c r="D71" s="218">
        <v>0.35</v>
      </c>
      <c r="E71" s="218">
        <v>0.15</v>
      </c>
      <c r="F71" s="218">
        <v>5</v>
      </c>
      <c r="Q71" s="218">
        <v>2.3199999999999998</v>
      </c>
      <c r="R71" s="251">
        <f t="shared" si="6"/>
        <v>-2.3199999999999998</v>
      </c>
      <c r="S71" s="218">
        <v>0.81</v>
      </c>
      <c r="T71" s="218">
        <v>0.15</v>
      </c>
      <c r="U71" s="218">
        <v>5</v>
      </c>
      <c r="AF71" s="218">
        <v>2.2400000000000002</v>
      </c>
      <c r="AG71" s="251">
        <f t="shared" si="7"/>
        <v>-2.2400000000000002</v>
      </c>
      <c r="AH71" s="218">
        <v>0.33</v>
      </c>
      <c r="AI71" s="218">
        <v>0.15</v>
      </c>
      <c r="AJ71" s="218">
        <v>5</v>
      </c>
      <c r="AV71" s="218">
        <v>2.23</v>
      </c>
      <c r="AW71" s="251">
        <f t="shared" si="8"/>
        <v>-2.23</v>
      </c>
      <c r="AX71" s="218">
        <v>0.32</v>
      </c>
      <c r="AY71" s="218">
        <v>0.15</v>
      </c>
      <c r="AZ71" s="218">
        <v>5</v>
      </c>
      <c r="BL71" s="218">
        <v>2.15</v>
      </c>
      <c r="BM71" s="251">
        <f t="shared" si="9"/>
        <v>-2.15</v>
      </c>
      <c r="BN71" s="218">
        <v>0.26</v>
      </c>
      <c r="BO71" s="218">
        <v>0.15</v>
      </c>
      <c r="BP71" s="218">
        <v>5</v>
      </c>
    </row>
    <row r="72" spans="2:68">
      <c r="B72" s="218">
        <v>2.29</v>
      </c>
      <c r="C72" s="218">
        <f t="shared" si="5"/>
        <v>-2.29</v>
      </c>
      <c r="D72" s="218">
        <v>0.36</v>
      </c>
      <c r="E72" s="218">
        <v>0.15</v>
      </c>
      <c r="F72" s="218">
        <v>5</v>
      </c>
      <c r="Q72" s="218">
        <v>2.35</v>
      </c>
      <c r="R72" s="251">
        <f t="shared" si="6"/>
        <v>-2.35</v>
      </c>
      <c r="S72" s="218">
        <v>0.81</v>
      </c>
      <c r="T72" s="218">
        <v>0.15</v>
      </c>
      <c r="U72" s="218">
        <v>5</v>
      </c>
      <c r="AF72" s="218">
        <v>2.2599999999999998</v>
      </c>
      <c r="AG72" s="251">
        <f t="shared" si="7"/>
        <v>-2.2599999999999998</v>
      </c>
      <c r="AH72" s="218">
        <v>0.34</v>
      </c>
      <c r="AI72" s="218">
        <v>0.15</v>
      </c>
      <c r="AJ72" s="218">
        <v>5</v>
      </c>
      <c r="AV72" s="218">
        <v>2.25</v>
      </c>
      <c r="AW72" s="251">
        <f t="shared" si="8"/>
        <v>-2.25</v>
      </c>
      <c r="AX72" s="218">
        <v>0.34</v>
      </c>
      <c r="AY72" s="218">
        <v>0.15</v>
      </c>
      <c r="AZ72" s="218">
        <v>5</v>
      </c>
      <c r="BL72" s="218">
        <v>2.17</v>
      </c>
      <c r="BM72" s="251">
        <f t="shared" si="9"/>
        <v>-2.17</v>
      </c>
      <c r="BN72" s="218">
        <v>0.26</v>
      </c>
      <c r="BO72" s="218">
        <v>0.15</v>
      </c>
      <c r="BP72" s="218">
        <v>5</v>
      </c>
    </row>
    <row r="73" spans="2:68">
      <c r="B73" s="218">
        <v>2.3199999999999998</v>
      </c>
      <c r="C73" s="218">
        <f t="shared" si="5"/>
        <v>-2.3199999999999998</v>
      </c>
      <c r="D73" s="218">
        <v>0.36</v>
      </c>
      <c r="E73" s="218">
        <v>0.15</v>
      </c>
      <c r="F73" s="218">
        <v>5</v>
      </c>
      <c r="Q73" s="218">
        <v>2.37</v>
      </c>
      <c r="R73" s="251">
        <f t="shared" si="6"/>
        <v>-2.37</v>
      </c>
      <c r="S73" s="218">
        <v>0.81</v>
      </c>
      <c r="T73" s="218">
        <v>0.15</v>
      </c>
      <c r="U73" s="218">
        <v>5</v>
      </c>
      <c r="AF73" s="218">
        <v>2.29</v>
      </c>
      <c r="AG73" s="251">
        <f t="shared" si="7"/>
        <v>-2.29</v>
      </c>
      <c r="AH73" s="218">
        <v>0.35</v>
      </c>
      <c r="AI73" s="218">
        <v>0.15</v>
      </c>
      <c r="AJ73" s="218">
        <v>5</v>
      </c>
      <c r="AV73" s="218">
        <v>2.2799999999999998</v>
      </c>
      <c r="AW73" s="251">
        <f t="shared" si="8"/>
        <v>-2.2799999999999998</v>
      </c>
      <c r="AX73" s="218">
        <v>0.35</v>
      </c>
      <c r="AY73" s="218">
        <v>0.15</v>
      </c>
      <c r="AZ73" s="218">
        <v>5</v>
      </c>
      <c r="BL73" s="218">
        <v>2.2000000000000002</v>
      </c>
      <c r="BM73" s="251">
        <f t="shared" si="9"/>
        <v>-2.2000000000000002</v>
      </c>
      <c r="BN73" s="218">
        <v>0.27</v>
      </c>
      <c r="BO73" s="218">
        <v>0.15</v>
      </c>
      <c r="BP73" s="218">
        <v>5</v>
      </c>
    </row>
    <row r="74" spans="2:68">
      <c r="B74" s="218">
        <v>2.35</v>
      </c>
      <c r="C74" s="218">
        <f t="shared" si="5"/>
        <v>-2.35</v>
      </c>
      <c r="D74" s="218">
        <v>0.37</v>
      </c>
      <c r="E74" s="218">
        <v>0.15</v>
      </c>
      <c r="F74" s="218">
        <v>5</v>
      </c>
      <c r="Q74" s="218">
        <v>2.4</v>
      </c>
      <c r="R74" s="251">
        <f t="shared" si="6"/>
        <v>-2.4</v>
      </c>
      <c r="S74" s="218">
        <v>0.81</v>
      </c>
      <c r="T74" s="218">
        <v>0.15</v>
      </c>
      <c r="U74" s="218">
        <v>5</v>
      </c>
      <c r="AF74" s="218">
        <v>2.31</v>
      </c>
      <c r="AG74" s="251">
        <f t="shared" si="7"/>
        <v>-2.31</v>
      </c>
      <c r="AH74" s="218">
        <v>0.36</v>
      </c>
      <c r="AI74" s="218">
        <v>0.15</v>
      </c>
      <c r="AJ74" s="218">
        <v>5</v>
      </c>
      <c r="AV74" s="218">
        <v>2.2999999999999998</v>
      </c>
      <c r="AW74" s="251">
        <f t="shared" si="8"/>
        <v>-2.2999999999999998</v>
      </c>
      <c r="AX74" s="218">
        <v>0.37</v>
      </c>
      <c r="AY74" s="218">
        <v>0.15</v>
      </c>
      <c r="AZ74" s="218">
        <v>5</v>
      </c>
      <c r="BL74" s="218">
        <v>2.2200000000000002</v>
      </c>
      <c r="BM74" s="251">
        <f t="shared" si="9"/>
        <v>-2.2200000000000002</v>
      </c>
      <c r="BN74" s="218">
        <v>0.27</v>
      </c>
      <c r="BO74" s="218">
        <v>0.15</v>
      </c>
      <c r="BP74" s="218">
        <v>5</v>
      </c>
    </row>
    <row r="75" spans="2:68">
      <c r="B75" s="218">
        <v>2.37</v>
      </c>
      <c r="C75" s="218">
        <f t="shared" si="5"/>
        <v>-2.37</v>
      </c>
      <c r="D75" s="218">
        <v>0.38</v>
      </c>
      <c r="E75" s="218">
        <v>0.15</v>
      </c>
      <c r="F75" s="218">
        <v>5</v>
      </c>
      <c r="Q75" s="218">
        <v>2.42</v>
      </c>
      <c r="R75" s="251">
        <f t="shared" si="6"/>
        <v>-2.42</v>
      </c>
      <c r="S75" s="218">
        <v>0.81</v>
      </c>
      <c r="T75" s="218">
        <v>0.15</v>
      </c>
      <c r="U75" s="218">
        <v>5</v>
      </c>
      <c r="AF75" s="218">
        <v>2.34</v>
      </c>
      <c r="AG75" s="251">
        <f t="shared" si="7"/>
        <v>-2.34</v>
      </c>
      <c r="AH75" s="218">
        <v>0.36</v>
      </c>
      <c r="AI75" s="218">
        <v>0.15</v>
      </c>
      <c r="AJ75" s="218">
        <v>5</v>
      </c>
      <c r="AV75" s="218">
        <v>2.33</v>
      </c>
      <c r="AW75" s="251">
        <f t="shared" si="8"/>
        <v>-2.33</v>
      </c>
      <c r="AX75" s="218">
        <v>0.39</v>
      </c>
      <c r="AY75" s="218">
        <v>0.15</v>
      </c>
      <c r="AZ75" s="218">
        <v>5</v>
      </c>
      <c r="BL75" s="218">
        <v>2.25</v>
      </c>
      <c r="BM75" s="251">
        <f t="shared" si="9"/>
        <v>-2.25</v>
      </c>
      <c r="BN75" s="218">
        <v>0.28000000000000003</v>
      </c>
      <c r="BO75" s="218">
        <v>0.15</v>
      </c>
      <c r="BP75" s="218">
        <v>5</v>
      </c>
    </row>
    <row r="76" spans="2:68">
      <c r="B76" s="218">
        <v>2.4</v>
      </c>
      <c r="C76" s="218">
        <f t="shared" si="5"/>
        <v>-2.4</v>
      </c>
      <c r="D76" s="218">
        <v>0.38</v>
      </c>
      <c r="E76" s="218">
        <v>0.15</v>
      </c>
      <c r="F76" s="218">
        <v>5</v>
      </c>
      <c r="Q76" s="218">
        <v>2.4500000000000002</v>
      </c>
      <c r="R76" s="251">
        <f t="shared" si="6"/>
        <v>-2.4500000000000002</v>
      </c>
      <c r="S76" s="218">
        <v>0.81</v>
      </c>
      <c r="T76" s="218">
        <v>0.15</v>
      </c>
      <c r="U76" s="218">
        <v>5</v>
      </c>
      <c r="AF76" s="218">
        <v>2.37</v>
      </c>
      <c r="AG76" s="251">
        <f t="shared" si="7"/>
        <v>-2.37</v>
      </c>
      <c r="AH76" s="218">
        <v>0.37</v>
      </c>
      <c r="AI76" s="218">
        <v>0.15</v>
      </c>
      <c r="AJ76" s="218">
        <v>5</v>
      </c>
      <c r="AV76" s="218">
        <v>2.36</v>
      </c>
      <c r="AW76" s="251">
        <f t="shared" si="8"/>
        <v>-2.36</v>
      </c>
      <c r="AX76" s="218">
        <v>0.41</v>
      </c>
      <c r="AY76" s="218">
        <v>0.15</v>
      </c>
      <c r="AZ76" s="218">
        <v>5</v>
      </c>
      <c r="BL76" s="218">
        <v>2.27</v>
      </c>
      <c r="BM76" s="251">
        <f t="shared" si="9"/>
        <v>-2.27</v>
      </c>
      <c r="BN76" s="218">
        <v>0.28999999999999998</v>
      </c>
      <c r="BO76" s="218">
        <v>0.15</v>
      </c>
      <c r="BP76" s="218">
        <v>5</v>
      </c>
    </row>
    <row r="77" spans="2:68">
      <c r="B77" s="218">
        <v>2.42</v>
      </c>
      <c r="C77" s="218">
        <f t="shared" si="5"/>
        <v>-2.42</v>
      </c>
      <c r="D77" s="218">
        <v>0.39</v>
      </c>
      <c r="E77" s="218">
        <v>0.15</v>
      </c>
      <c r="F77" s="218">
        <v>5</v>
      </c>
      <c r="Q77" s="218">
        <v>2.4700000000000002</v>
      </c>
      <c r="R77" s="251">
        <f t="shared" si="6"/>
        <v>-2.4700000000000002</v>
      </c>
      <c r="S77" s="218">
        <v>0.81</v>
      </c>
      <c r="T77" s="218">
        <v>0.15</v>
      </c>
      <c r="U77" s="218">
        <v>5</v>
      </c>
      <c r="AF77" s="218">
        <v>2.39</v>
      </c>
      <c r="AG77" s="251">
        <f t="shared" si="7"/>
        <v>-2.39</v>
      </c>
      <c r="AH77" s="218">
        <v>0.38</v>
      </c>
      <c r="AI77" s="218">
        <v>0.15</v>
      </c>
      <c r="AJ77" s="218">
        <v>5</v>
      </c>
      <c r="AV77" s="218">
        <v>2.38</v>
      </c>
      <c r="AW77" s="251">
        <f t="shared" si="8"/>
        <v>-2.38</v>
      </c>
      <c r="AX77" s="218">
        <v>0.43</v>
      </c>
      <c r="AY77" s="218">
        <v>0.15</v>
      </c>
      <c r="AZ77" s="218">
        <v>5</v>
      </c>
      <c r="BL77" s="218">
        <v>2.2999999999999998</v>
      </c>
      <c r="BM77" s="251">
        <f t="shared" si="9"/>
        <v>-2.2999999999999998</v>
      </c>
      <c r="BN77" s="218">
        <v>0.28999999999999998</v>
      </c>
      <c r="BO77" s="218">
        <v>0.15</v>
      </c>
      <c r="BP77" s="218">
        <v>5</v>
      </c>
    </row>
    <row r="78" spans="2:68">
      <c r="B78" s="218">
        <v>2.4500000000000002</v>
      </c>
      <c r="C78" s="218">
        <f t="shared" si="5"/>
        <v>-2.4500000000000002</v>
      </c>
      <c r="D78" s="218">
        <v>0.4</v>
      </c>
      <c r="E78" s="218">
        <v>0.15</v>
      </c>
      <c r="F78" s="218">
        <v>5</v>
      </c>
      <c r="Q78" s="218">
        <v>2.5</v>
      </c>
      <c r="R78" s="251">
        <f t="shared" si="6"/>
        <v>-2.5</v>
      </c>
      <c r="S78" s="218">
        <v>0.81</v>
      </c>
      <c r="T78" s="218">
        <v>0.15</v>
      </c>
      <c r="U78" s="218">
        <v>5</v>
      </c>
      <c r="AF78" s="218">
        <v>2.42</v>
      </c>
      <c r="AG78" s="251">
        <f t="shared" si="7"/>
        <v>-2.42</v>
      </c>
      <c r="AH78" s="218">
        <v>0.39</v>
      </c>
      <c r="AI78" s="218">
        <v>0.15</v>
      </c>
      <c r="AJ78" s="218">
        <v>5</v>
      </c>
      <c r="AV78" s="218">
        <v>2.41</v>
      </c>
      <c r="AW78" s="251">
        <f t="shared" si="8"/>
        <v>-2.41</v>
      </c>
      <c r="AX78" s="218">
        <v>0.45</v>
      </c>
      <c r="AY78" s="218">
        <v>0.15</v>
      </c>
      <c r="AZ78" s="218">
        <v>5</v>
      </c>
      <c r="BL78" s="218">
        <v>2.3199999999999998</v>
      </c>
      <c r="BM78" s="251">
        <f t="shared" si="9"/>
        <v>-2.3199999999999998</v>
      </c>
      <c r="BN78" s="218">
        <v>0.3</v>
      </c>
      <c r="BO78" s="218">
        <v>0.15</v>
      </c>
      <c r="BP78" s="218">
        <v>5</v>
      </c>
    </row>
    <row r="79" spans="2:68">
      <c r="B79" s="218">
        <v>2.4700000000000002</v>
      </c>
      <c r="C79" s="218">
        <f t="shared" si="5"/>
        <v>-2.4700000000000002</v>
      </c>
      <c r="D79" s="218">
        <v>0.41</v>
      </c>
      <c r="E79" s="218">
        <v>0.15</v>
      </c>
      <c r="F79" s="218">
        <v>5</v>
      </c>
      <c r="Q79" s="218">
        <v>2.52</v>
      </c>
      <c r="R79" s="251">
        <f t="shared" si="6"/>
        <v>-2.52</v>
      </c>
      <c r="S79" s="218">
        <v>0.81</v>
      </c>
      <c r="T79" s="218">
        <v>0.15</v>
      </c>
      <c r="U79" s="218">
        <v>5</v>
      </c>
      <c r="AF79" s="218">
        <v>2.44</v>
      </c>
      <c r="AG79" s="251">
        <f t="shared" si="7"/>
        <v>-2.44</v>
      </c>
      <c r="AH79" s="218">
        <v>0.4</v>
      </c>
      <c r="AI79" s="218">
        <v>0.15</v>
      </c>
      <c r="AJ79" s="218">
        <v>5</v>
      </c>
      <c r="AV79" s="218">
        <v>2.4300000000000002</v>
      </c>
      <c r="AW79" s="251">
        <f t="shared" si="8"/>
        <v>-2.4300000000000002</v>
      </c>
      <c r="AX79" s="218">
        <v>0.48</v>
      </c>
      <c r="AY79" s="218">
        <v>0.15</v>
      </c>
      <c r="AZ79" s="218">
        <v>5</v>
      </c>
      <c r="BL79" s="218">
        <v>2.35</v>
      </c>
      <c r="BM79" s="251">
        <f t="shared" si="9"/>
        <v>-2.35</v>
      </c>
      <c r="BN79" s="218">
        <v>0.31</v>
      </c>
      <c r="BO79" s="218">
        <v>0.15</v>
      </c>
      <c r="BP79" s="218">
        <v>5</v>
      </c>
    </row>
    <row r="80" spans="2:68">
      <c r="B80" s="218">
        <v>2.5</v>
      </c>
      <c r="C80" s="218">
        <f t="shared" si="5"/>
        <v>-2.5</v>
      </c>
      <c r="D80" s="218">
        <v>0.41</v>
      </c>
      <c r="E80" s="218">
        <v>0.15</v>
      </c>
      <c r="F80" s="218">
        <v>5</v>
      </c>
      <c r="Q80" s="218">
        <v>2.5499999999999998</v>
      </c>
      <c r="R80" s="251">
        <f t="shared" si="6"/>
        <v>-2.5499999999999998</v>
      </c>
      <c r="S80" s="218">
        <v>0.81</v>
      </c>
      <c r="T80" s="218">
        <v>0.15</v>
      </c>
      <c r="U80" s="218">
        <v>5</v>
      </c>
      <c r="AF80" s="218">
        <v>2.4700000000000002</v>
      </c>
      <c r="AG80" s="251">
        <f t="shared" si="7"/>
        <v>-2.4700000000000002</v>
      </c>
      <c r="AH80" s="218">
        <v>0.41</v>
      </c>
      <c r="AI80" s="218">
        <v>0.15</v>
      </c>
      <c r="AJ80" s="218">
        <v>5</v>
      </c>
      <c r="AV80" s="218">
        <v>2.46</v>
      </c>
      <c r="AW80" s="251">
        <f t="shared" si="8"/>
        <v>-2.46</v>
      </c>
      <c r="AX80" s="218">
        <v>0.5</v>
      </c>
      <c r="AY80" s="218">
        <v>0.15</v>
      </c>
      <c r="AZ80" s="218">
        <v>5</v>
      </c>
      <c r="BL80" s="218">
        <v>2.38</v>
      </c>
      <c r="BM80" s="251">
        <f t="shared" si="9"/>
        <v>-2.38</v>
      </c>
      <c r="BN80" s="218">
        <v>0.31</v>
      </c>
      <c r="BO80" s="218">
        <v>0.15</v>
      </c>
      <c r="BP80" s="218">
        <v>5</v>
      </c>
    </row>
    <row r="81" spans="2:68">
      <c r="B81" s="218">
        <v>2.52</v>
      </c>
      <c r="C81" s="218">
        <f t="shared" si="5"/>
        <v>-2.52</v>
      </c>
      <c r="D81" s="218">
        <v>0.5</v>
      </c>
      <c r="E81" s="218">
        <v>0.15</v>
      </c>
      <c r="F81" s="218">
        <v>5</v>
      </c>
      <c r="Q81" s="218">
        <v>2.57</v>
      </c>
      <c r="R81" s="251">
        <f t="shared" si="6"/>
        <v>-2.57</v>
      </c>
      <c r="S81" s="218">
        <v>0.81</v>
      </c>
      <c r="T81" s="218">
        <v>0.15</v>
      </c>
      <c r="U81" s="218">
        <v>5</v>
      </c>
      <c r="AF81" s="218">
        <v>2.4900000000000002</v>
      </c>
      <c r="AG81" s="251">
        <f t="shared" si="7"/>
        <v>-2.4900000000000002</v>
      </c>
      <c r="AH81" s="218">
        <v>0.41</v>
      </c>
      <c r="AI81" s="218">
        <v>0.15</v>
      </c>
      <c r="AJ81" s="218">
        <v>5</v>
      </c>
      <c r="AV81" s="218">
        <v>2.48</v>
      </c>
      <c r="AW81" s="251">
        <f t="shared" si="8"/>
        <v>-2.48</v>
      </c>
      <c r="AX81" s="218">
        <v>0.54</v>
      </c>
      <c r="AY81" s="218">
        <v>0.15</v>
      </c>
      <c r="AZ81" s="218">
        <v>5</v>
      </c>
      <c r="BL81" s="218">
        <v>2.4</v>
      </c>
      <c r="BM81" s="251">
        <f t="shared" si="9"/>
        <v>-2.4</v>
      </c>
      <c r="BN81" s="218">
        <v>0.32</v>
      </c>
      <c r="BO81" s="218">
        <v>0.15</v>
      </c>
      <c r="BP81" s="218">
        <v>5</v>
      </c>
    </row>
    <row r="82" spans="2:68">
      <c r="B82" s="218">
        <v>2.5499999999999998</v>
      </c>
      <c r="C82" s="218">
        <f t="shared" si="5"/>
        <v>-2.5499999999999998</v>
      </c>
      <c r="D82" s="218">
        <v>0.51</v>
      </c>
      <c r="E82" s="218">
        <v>0.15</v>
      </c>
      <c r="F82" s="218">
        <v>5</v>
      </c>
      <c r="Q82" s="218">
        <v>2.6</v>
      </c>
      <c r="R82" s="251">
        <f t="shared" si="6"/>
        <v>-2.6</v>
      </c>
      <c r="S82" s="218">
        <v>0.81</v>
      </c>
      <c r="T82" s="218">
        <v>0.15</v>
      </c>
      <c r="U82" s="218">
        <v>5</v>
      </c>
      <c r="AF82" s="218">
        <v>2.52</v>
      </c>
      <c r="AG82" s="251">
        <f t="shared" si="7"/>
        <v>-2.52</v>
      </c>
      <c r="AH82" s="218">
        <v>0.47</v>
      </c>
      <c r="AI82" s="218">
        <v>0.15</v>
      </c>
      <c r="AJ82" s="218">
        <v>5</v>
      </c>
      <c r="AV82" s="218">
        <v>2.5099999999999998</v>
      </c>
      <c r="AW82" s="251">
        <f t="shared" si="8"/>
        <v>-2.5099999999999998</v>
      </c>
      <c r="AX82" s="218">
        <v>0.81</v>
      </c>
      <c r="AY82" s="218">
        <v>0.15</v>
      </c>
      <c r="AZ82" s="218">
        <v>5</v>
      </c>
      <c r="BL82" s="218">
        <v>2.4300000000000002</v>
      </c>
      <c r="BM82" s="251">
        <f t="shared" si="9"/>
        <v>-2.4300000000000002</v>
      </c>
      <c r="BN82" s="218">
        <v>0.32</v>
      </c>
      <c r="BO82" s="218">
        <v>0.15</v>
      </c>
      <c r="BP82" s="218">
        <v>5</v>
      </c>
    </row>
    <row r="83" spans="2:68">
      <c r="B83" s="218">
        <v>2.57</v>
      </c>
      <c r="C83" s="218">
        <f t="shared" si="5"/>
        <v>-2.57</v>
      </c>
      <c r="D83" s="218">
        <v>0.53</v>
      </c>
      <c r="E83" s="218">
        <v>0.15</v>
      </c>
      <c r="F83" s="218">
        <v>5</v>
      </c>
      <c r="Q83" s="218">
        <v>2.62</v>
      </c>
      <c r="R83" s="251">
        <f t="shared" si="6"/>
        <v>-2.62</v>
      </c>
      <c r="S83" s="218">
        <v>0.81</v>
      </c>
      <c r="T83" s="218">
        <v>0.15</v>
      </c>
      <c r="U83" s="218">
        <v>5</v>
      </c>
      <c r="AF83" s="218">
        <v>2.54</v>
      </c>
      <c r="AG83" s="251">
        <f t="shared" si="7"/>
        <v>-2.54</v>
      </c>
      <c r="AH83" s="218">
        <v>0.45</v>
      </c>
      <c r="AI83" s="218">
        <v>0.15</v>
      </c>
      <c r="AJ83" s="218">
        <v>5</v>
      </c>
      <c r="AV83" s="218">
        <v>2.5299999999999998</v>
      </c>
      <c r="AW83" s="251">
        <f t="shared" si="8"/>
        <v>-2.5299999999999998</v>
      </c>
      <c r="AX83" s="218">
        <v>0.81</v>
      </c>
      <c r="AY83" s="218">
        <v>0.15</v>
      </c>
      <c r="AZ83" s="218">
        <v>5</v>
      </c>
      <c r="BL83" s="218">
        <v>2.4500000000000002</v>
      </c>
      <c r="BM83" s="251">
        <f t="shared" si="9"/>
        <v>-2.4500000000000002</v>
      </c>
      <c r="BN83" s="218">
        <v>0.33</v>
      </c>
      <c r="BO83" s="218">
        <v>0.15</v>
      </c>
      <c r="BP83" s="218">
        <v>5</v>
      </c>
    </row>
    <row r="84" spans="2:68">
      <c r="B84" s="218">
        <v>2.6</v>
      </c>
      <c r="C84" s="218">
        <f t="shared" si="5"/>
        <v>-2.6</v>
      </c>
      <c r="D84" s="218">
        <v>0.54</v>
      </c>
      <c r="E84" s="218">
        <v>0.15</v>
      </c>
      <c r="F84" s="218">
        <v>5</v>
      </c>
      <c r="Q84" s="218">
        <v>2.65</v>
      </c>
      <c r="R84" s="251">
        <f t="shared" si="6"/>
        <v>-2.65</v>
      </c>
      <c r="S84" s="218">
        <v>0.81</v>
      </c>
      <c r="T84" s="218">
        <v>0.15</v>
      </c>
      <c r="U84" s="218">
        <v>5</v>
      </c>
      <c r="AF84" s="218">
        <v>2.57</v>
      </c>
      <c r="AG84" s="251">
        <f t="shared" si="7"/>
        <v>-2.57</v>
      </c>
      <c r="AH84" s="218">
        <v>0.43</v>
      </c>
      <c r="AI84" s="218">
        <v>0.15</v>
      </c>
      <c r="AJ84" s="218">
        <v>5</v>
      </c>
      <c r="AV84" s="218">
        <v>2.56</v>
      </c>
      <c r="AW84" s="251">
        <f t="shared" si="8"/>
        <v>-2.56</v>
      </c>
      <c r="AX84" s="218">
        <v>0.81</v>
      </c>
      <c r="AY84" s="218">
        <v>0.15</v>
      </c>
      <c r="AZ84" s="218">
        <v>5</v>
      </c>
      <c r="BL84" s="218">
        <v>2.48</v>
      </c>
      <c r="BM84" s="251">
        <f t="shared" si="9"/>
        <v>-2.48</v>
      </c>
      <c r="BN84" s="218">
        <v>0.34</v>
      </c>
      <c r="BO84" s="218">
        <v>0.15</v>
      </c>
      <c r="BP84" s="218">
        <v>5</v>
      </c>
    </row>
    <row r="85" spans="2:68">
      <c r="B85" s="218">
        <v>2.62</v>
      </c>
      <c r="C85" s="218">
        <f t="shared" si="5"/>
        <v>-2.62</v>
      </c>
      <c r="D85" s="218">
        <v>0.56000000000000005</v>
      </c>
      <c r="E85" s="218">
        <v>0.15</v>
      </c>
      <c r="F85" s="218">
        <v>5</v>
      </c>
      <c r="Q85" s="218">
        <v>2.67</v>
      </c>
      <c r="R85" s="251">
        <f t="shared" si="6"/>
        <v>-2.67</v>
      </c>
      <c r="S85" s="218">
        <v>0.81</v>
      </c>
      <c r="T85" s="218">
        <v>0.15</v>
      </c>
      <c r="U85" s="218">
        <v>5</v>
      </c>
      <c r="AF85" s="218">
        <v>2.59</v>
      </c>
      <c r="AG85" s="251">
        <f t="shared" si="7"/>
        <v>-2.59</v>
      </c>
      <c r="AH85" s="218">
        <v>0.42</v>
      </c>
      <c r="AI85" s="218">
        <v>0.15</v>
      </c>
      <c r="AJ85" s="218">
        <v>5</v>
      </c>
      <c r="AV85" s="218">
        <v>2.58</v>
      </c>
      <c r="AW85" s="251">
        <f t="shared" si="8"/>
        <v>-2.58</v>
      </c>
      <c r="AX85" s="218">
        <v>0.81</v>
      </c>
      <c r="AY85" s="218">
        <v>0.15</v>
      </c>
      <c r="AZ85" s="218">
        <v>5</v>
      </c>
      <c r="BL85" s="218">
        <v>2.5</v>
      </c>
      <c r="BM85" s="251">
        <f t="shared" si="9"/>
        <v>-2.5</v>
      </c>
      <c r="BN85" s="218">
        <v>0.39</v>
      </c>
      <c r="BO85" s="218">
        <v>0.15</v>
      </c>
      <c r="BP85" s="218">
        <v>5</v>
      </c>
    </row>
    <row r="86" spans="2:68">
      <c r="B86" s="218">
        <v>2.65</v>
      </c>
      <c r="C86" s="218">
        <f t="shared" si="5"/>
        <v>-2.65</v>
      </c>
      <c r="D86" s="218">
        <v>0.53</v>
      </c>
      <c r="E86" s="218">
        <v>0.15</v>
      </c>
      <c r="F86" s="218">
        <v>5</v>
      </c>
      <c r="Q86" s="218">
        <v>2.7</v>
      </c>
      <c r="R86" s="251">
        <f t="shared" si="6"/>
        <v>-2.7</v>
      </c>
      <c r="S86" s="218">
        <v>0.81</v>
      </c>
      <c r="T86" s="218">
        <v>0.15</v>
      </c>
      <c r="U86" s="218">
        <v>5</v>
      </c>
      <c r="AF86" s="218">
        <v>2.62</v>
      </c>
      <c r="AG86" s="251">
        <f t="shared" si="7"/>
        <v>-2.62</v>
      </c>
      <c r="AH86" s="218">
        <v>0.4</v>
      </c>
      <c r="AI86" s="218">
        <v>0.15</v>
      </c>
      <c r="AJ86" s="218">
        <v>5</v>
      </c>
      <c r="AV86" s="218">
        <v>2.61</v>
      </c>
      <c r="AW86" s="251">
        <f t="shared" si="8"/>
        <v>-2.61</v>
      </c>
      <c r="AX86" s="218">
        <v>0.81</v>
      </c>
      <c r="AY86" s="218">
        <v>0.15</v>
      </c>
      <c r="AZ86" s="218">
        <v>5</v>
      </c>
      <c r="BL86" s="218">
        <v>2.5299999999999998</v>
      </c>
      <c r="BM86" s="251">
        <f t="shared" si="9"/>
        <v>-2.5299999999999998</v>
      </c>
      <c r="BN86" s="218">
        <v>0.4</v>
      </c>
      <c r="BO86" s="218">
        <v>0.15</v>
      </c>
      <c r="BP86" s="218">
        <v>5</v>
      </c>
    </row>
    <row r="87" spans="2:68">
      <c r="B87" s="218">
        <v>2.67</v>
      </c>
      <c r="C87" s="218">
        <f t="shared" si="5"/>
        <v>-2.67</v>
      </c>
      <c r="D87" s="218">
        <v>0.5</v>
      </c>
      <c r="E87" s="218">
        <v>0.15</v>
      </c>
      <c r="F87" s="218">
        <v>5</v>
      </c>
      <c r="Q87" s="218">
        <v>2.72</v>
      </c>
      <c r="R87" s="251">
        <f t="shared" si="6"/>
        <v>-2.72</v>
      </c>
      <c r="S87" s="218">
        <v>0.81</v>
      </c>
      <c r="T87" s="218">
        <v>0.15</v>
      </c>
      <c r="U87" s="218">
        <v>5</v>
      </c>
      <c r="AF87" s="218">
        <v>2.64</v>
      </c>
      <c r="AG87" s="251">
        <f t="shared" si="7"/>
        <v>-2.64</v>
      </c>
      <c r="AH87" s="218">
        <v>0.38</v>
      </c>
      <c r="AI87" s="218">
        <v>0.15</v>
      </c>
      <c r="AJ87" s="218">
        <v>5</v>
      </c>
      <c r="AV87" s="218">
        <v>2.63</v>
      </c>
      <c r="AW87" s="251">
        <f t="shared" si="8"/>
        <v>-2.63</v>
      </c>
      <c r="AX87" s="218">
        <v>0.81</v>
      </c>
      <c r="AY87" s="218">
        <v>0.15</v>
      </c>
      <c r="AZ87" s="218">
        <v>5</v>
      </c>
      <c r="BL87" s="218">
        <v>2.5499999999999998</v>
      </c>
      <c r="BM87" s="251">
        <f t="shared" si="9"/>
        <v>-2.5499999999999998</v>
      </c>
      <c r="BN87" s="218">
        <v>0.41</v>
      </c>
      <c r="BO87" s="218">
        <v>0.15</v>
      </c>
      <c r="BP87" s="218">
        <v>5</v>
      </c>
    </row>
    <row r="88" spans="2:68">
      <c r="B88" s="218">
        <v>2.7</v>
      </c>
      <c r="C88" s="218">
        <f t="shared" si="5"/>
        <v>-2.7</v>
      </c>
      <c r="D88" s="218">
        <v>0.48</v>
      </c>
      <c r="E88" s="218">
        <v>0.15</v>
      </c>
      <c r="F88" s="218">
        <v>5</v>
      </c>
      <c r="Q88" s="218">
        <v>2.75</v>
      </c>
      <c r="R88" s="251">
        <f t="shared" si="6"/>
        <v>-2.75</v>
      </c>
      <c r="S88" s="218">
        <v>0.81</v>
      </c>
      <c r="T88" s="218">
        <v>0.15</v>
      </c>
      <c r="U88" s="218">
        <v>5</v>
      </c>
      <c r="AF88" s="218">
        <v>2.67</v>
      </c>
      <c r="AG88" s="251">
        <f t="shared" si="7"/>
        <v>-2.67</v>
      </c>
      <c r="AH88" s="218">
        <v>0.37</v>
      </c>
      <c r="AI88" s="218">
        <v>0.15</v>
      </c>
      <c r="AJ88" s="218">
        <v>5</v>
      </c>
      <c r="AV88" s="218">
        <v>2.66</v>
      </c>
      <c r="AW88" s="251">
        <f t="shared" si="8"/>
        <v>-2.66</v>
      </c>
      <c r="AX88" s="218">
        <v>0.81</v>
      </c>
      <c r="AY88" s="218">
        <v>0.15</v>
      </c>
      <c r="AZ88" s="218">
        <v>5</v>
      </c>
      <c r="BL88" s="218">
        <v>2.58</v>
      </c>
      <c r="BM88" s="251">
        <f t="shared" si="9"/>
        <v>-2.58</v>
      </c>
      <c r="BN88" s="218">
        <v>0.42</v>
      </c>
      <c r="BO88" s="218">
        <v>0.15</v>
      </c>
      <c r="BP88" s="218">
        <v>5</v>
      </c>
    </row>
    <row r="89" spans="2:68">
      <c r="B89" s="218">
        <v>2.72</v>
      </c>
      <c r="C89" s="218">
        <f t="shared" si="5"/>
        <v>-2.72</v>
      </c>
      <c r="D89" s="218">
        <v>0.46</v>
      </c>
      <c r="E89" s="218">
        <v>0.15</v>
      </c>
      <c r="F89" s="218">
        <v>5</v>
      </c>
      <c r="Q89" s="218">
        <v>2.77</v>
      </c>
      <c r="R89" s="251">
        <f t="shared" si="6"/>
        <v>-2.77</v>
      </c>
      <c r="S89" s="218">
        <v>0.81</v>
      </c>
      <c r="T89" s="218">
        <v>0.15</v>
      </c>
      <c r="U89" s="218">
        <v>5</v>
      </c>
      <c r="AF89" s="218">
        <v>2.69</v>
      </c>
      <c r="AG89" s="251">
        <f t="shared" si="7"/>
        <v>-2.69</v>
      </c>
      <c r="AH89" s="218">
        <v>0.36</v>
      </c>
      <c r="AI89" s="218">
        <v>0.15</v>
      </c>
      <c r="AJ89" s="218">
        <v>5</v>
      </c>
      <c r="AV89" s="218">
        <v>2.68</v>
      </c>
      <c r="AW89" s="251">
        <f t="shared" si="8"/>
        <v>-2.68</v>
      </c>
      <c r="AX89" s="218">
        <v>0.81</v>
      </c>
      <c r="AY89" s="218">
        <v>0.15</v>
      </c>
      <c r="AZ89" s="218">
        <v>5</v>
      </c>
      <c r="BL89" s="218">
        <v>2.6</v>
      </c>
      <c r="BM89" s="251">
        <f t="shared" si="9"/>
        <v>-2.6</v>
      </c>
      <c r="BN89" s="218">
        <v>0.43</v>
      </c>
      <c r="BO89" s="218">
        <v>0.15</v>
      </c>
      <c r="BP89" s="218">
        <v>5</v>
      </c>
    </row>
    <row r="90" spans="2:68">
      <c r="B90" s="218">
        <v>2.75</v>
      </c>
      <c r="C90" s="218">
        <f t="shared" si="5"/>
        <v>-2.75</v>
      </c>
      <c r="D90" s="218">
        <v>0.44</v>
      </c>
      <c r="E90" s="218">
        <v>0.15</v>
      </c>
      <c r="F90" s="218">
        <v>5</v>
      </c>
      <c r="Q90" s="218">
        <v>2.8</v>
      </c>
      <c r="R90" s="251">
        <f t="shared" si="6"/>
        <v>-2.8</v>
      </c>
      <c r="S90" s="218">
        <v>0.81</v>
      </c>
      <c r="T90" s="218">
        <v>0.15</v>
      </c>
      <c r="U90" s="218">
        <v>5</v>
      </c>
      <c r="AF90" s="218">
        <v>2.72</v>
      </c>
      <c r="AG90" s="251">
        <f t="shared" si="7"/>
        <v>-2.72</v>
      </c>
      <c r="AH90" s="218">
        <v>0.34</v>
      </c>
      <c r="AI90" s="218">
        <v>0.15</v>
      </c>
      <c r="AJ90" s="218">
        <v>5</v>
      </c>
      <c r="AV90" s="218">
        <v>2.71</v>
      </c>
      <c r="AW90" s="251">
        <f t="shared" si="8"/>
        <v>-2.71</v>
      </c>
      <c r="AX90" s="218">
        <v>0.81</v>
      </c>
      <c r="AY90" s="218">
        <v>0.15</v>
      </c>
      <c r="AZ90" s="218">
        <v>5</v>
      </c>
      <c r="BL90" s="218">
        <v>2.63</v>
      </c>
      <c r="BM90" s="251">
        <f t="shared" si="9"/>
        <v>-2.63</v>
      </c>
      <c r="BN90" s="218">
        <v>0.42</v>
      </c>
      <c r="BO90" s="218">
        <v>0.15</v>
      </c>
      <c r="BP90" s="218">
        <v>5</v>
      </c>
    </row>
    <row r="91" spans="2:68">
      <c r="B91" s="218">
        <v>2.77</v>
      </c>
      <c r="C91" s="218">
        <f t="shared" si="5"/>
        <v>-2.77</v>
      </c>
      <c r="D91" s="218">
        <v>0.42</v>
      </c>
      <c r="E91" s="218">
        <v>0.15</v>
      </c>
      <c r="F91" s="218">
        <v>5</v>
      </c>
      <c r="Q91" s="218">
        <v>2.82</v>
      </c>
      <c r="R91" s="251">
        <f t="shared" si="6"/>
        <v>-2.82</v>
      </c>
      <c r="S91" s="218">
        <v>0.81</v>
      </c>
      <c r="T91" s="218">
        <v>0.15</v>
      </c>
      <c r="U91" s="218">
        <v>5</v>
      </c>
      <c r="AF91" s="218">
        <v>2.74</v>
      </c>
      <c r="AG91" s="251">
        <f t="shared" si="7"/>
        <v>-2.74</v>
      </c>
      <c r="AH91" s="218">
        <v>0.33</v>
      </c>
      <c r="AI91" s="218">
        <v>0.15</v>
      </c>
      <c r="AJ91" s="218">
        <v>5</v>
      </c>
      <c r="AV91" s="218">
        <v>2.73</v>
      </c>
      <c r="AW91" s="251">
        <f t="shared" si="8"/>
        <v>-2.73</v>
      </c>
      <c r="AX91" s="218">
        <v>0.81</v>
      </c>
      <c r="AY91" s="218">
        <v>0.15</v>
      </c>
      <c r="AZ91" s="218">
        <v>5</v>
      </c>
      <c r="BL91" s="218">
        <v>2.65</v>
      </c>
      <c r="BM91" s="251">
        <f t="shared" si="9"/>
        <v>-2.65</v>
      </c>
      <c r="BN91" s="218">
        <v>0.4</v>
      </c>
      <c r="BO91" s="218">
        <v>0.15</v>
      </c>
      <c r="BP91" s="218">
        <v>5</v>
      </c>
    </row>
    <row r="92" spans="2:68">
      <c r="B92" s="218">
        <v>2.8</v>
      </c>
      <c r="C92" s="218">
        <f t="shared" si="5"/>
        <v>-2.8</v>
      </c>
      <c r="D92" s="218">
        <v>0.4</v>
      </c>
      <c r="E92" s="218">
        <v>0.15</v>
      </c>
      <c r="F92" s="218">
        <v>5</v>
      </c>
      <c r="Q92" s="218">
        <v>2.85</v>
      </c>
      <c r="R92" s="251">
        <f t="shared" si="6"/>
        <v>-2.85</v>
      </c>
      <c r="S92" s="218">
        <v>0.81</v>
      </c>
      <c r="T92" s="218">
        <v>0.14000000000000001</v>
      </c>
      <c r="U92" s="218">
        <v>5</v>
      </c>
      <c r="AF92" s="218">
        <v>2.77</v>
      </c>
      <c r="AG92" s="251">
        <f t="shared" si="7"/>
        <v>-2.77</v>
      </c>
      <c r="AH92" s="218">
        <v>0.32</v>
      </c>
      <c r="AI92" s="218">
        <v>0.15</v>
      </c>
      <c r="AJ92" s="218">
        <v>5</v>
      </c>
      <c r="AV92" s="218">
        <v>2.76</v>
      </c>
      <c r="AW92" s="251">
        <f t="shared" si="8"/>
        <v>-2.76</v>
      </c>
      <c r="AX92" s="218">
        <v>0.81</v>
      </c>
      <c r="AY92" s="218">
        <v>0.15</v>
      </c>
      <c r="AZ92" s="218">
        <v>5</v>
      </c>
      <c r="BL92" s="218">
        <v>2.68</v>
      </c>
      <c r="BM92" s="251">
        <f t="shared" si="9"/>
        <v>-2.68</v>
      </c>
      <c r="BN92" s="218">
        <v>0.39</v>
      </c>
      <c r="BO92" s="218">
        <v>0.15</v>
      </c>
      <c r="BP92" s="218">
        <v>5</v>
      </c>
    </row>
    <row r="93" spans="2:68">
      <c r="B93" s="218">
        <v>2.82</v>
      </c>
      <c r="C93" s="218">
        <f t="shared" si="5"/>
        <v>-2.82</v>
      </c>
      <c r="D93" s="218">
        <v>0.39</v>
      </c>
      <c r="E93" s="218">
        <v>0.15</v>
      </c>
      <c r="F93" s="218">
        <v>5</v>
      </c>
      <c r="Q93" s="218">
        <v>2.87</v>
      </c>
      <c r="R93" s="251">
        <f t="shared" si="6"/>
        <v>-2.87</v>
      </c>
      <c r="S93" s="218">
        <v>0.81</v>
      </c>
      <c r="T93" s="218">
        <v>0.14000000000000001</v>
      </c>
      <c r="U93" s="218">
        <v>5</v>
      </c>
      <c r="AF93" s="218">
        <v>2.79</v>
      </c>
      <c r="AG93" s="251">
        <f t="shared" si="7"/>
        <v>-2.79</v>
      </c>
      <c r="AH93" s="218">
        <v>0.31</v>
      </c>
      <c r="AI93" s="218">
        <v>0.15</v>
      </c>
      <c r="AJ93" s="218">
        <v>5</v>
      </c>
      <c r="AV93" s="218">
        <v>2.78</v>
      </c>
      <c r="AW93" s="251">
        <f t="shared" si="8"/>
        <v>-2.78</v>
      </c>
      <c r="AX93" s="218">
        <v>0.81</v>
      </c>
      <c r="AY93" s="218">
        <v>0.15</v>
      </c>
      <c r="AZ93" s="218">
        <v>5</v>
      </c>
      <c r="BL93" s="218">
        <v>2.7</v>
      </c>
      <c r="BM93" s="251">
        <f t="shared" si="9"/>
        <v>-2.7</v>
      </c>
      <c r="BN93" s="218">
        <v>0.38</v>
      </c>
      <c r="BO93" s="218">
        <v>0.15</v>
      </c>
      <c r="BP93" s="218">
        <v>5</v>
      </c>
    </row>
    <row r="94" spans="2:68">
      <c r="B94" s="218">
        <v>2.85</v>
      </c>
      <c r="C94" s="218">
        <f t="shared" si="5"/>
        <v>-2.85</v>
      </c>
      <c r="D94" s="218">
        <v>0.37</v>
      </c>
      <c r="E94" s="218">
        <v>0.14000000000000001</v>
      </c>
      <c r="F94" s="218">
        <v>5</v>
      </c>
      <c r="Q94" s="218">
        <v>2.9</v>
      </c>
      <c r="R94" s="251">
        <f t="shared" si="6"/>
        <v>-2.9</v>
      </c>
      <c r="S94" s="218">
        <v>0.81</v>
      </c>
      <c r="T94" s="218">
        <v>0.14000000000000001</v>
      </c>
      <c r="U94" s="218">
        <v>5</v>
      </c>
      <c r="AF94" s="218">
        <v>2.82</v>
      </c>
      <c r="AG94" s="251">
        <f t="shared" si="7"/>
        <v>-2.82</v>
      </c>
      <c r="AH94" s="218">
        <v>0.28999999999999998</v>
      </c>
      <c r="AI94" s="218">
        <v>0.15</v>
      </c>
      <c r="AJ94" s="218">
        <v>5</v>
      </c>
      <c r="AV94" s="218">
        <v>2.81</v>
      </c>
      <c r="AW94" s="251">
        <f t="shared" si="8"/>
        <v>-2.81</v>
      </c>
      <c r="AX94" s="218">
        <v>0.81</v>
      </c>
      <c r="AY94" s="218">
        <v>0.15</v>
      </c>
      <c r="AZ94" s="218">
        <v>5</v>
      </c>
      <c r="BL94" s="218">
        <v>2.73</v>
      </c>
      <c r="BM94" s="251">
        <f t="shared" si="9"/>
        <v>-2.73</v>
      </c>
      <c r="BN94" s="218">
        <v>0.37</v>
      </c>
      <c r="BO94" s="218">
        <v>0.15</v>
      </c>
      <c r="BP94" s="218">
        <v>5</v>
      </c>
    </row>
    <row r="95" spans="2:68">
      <c r="B95" s="218">
        <v>2.87</v>
      </c>
      <c r="C95" s="218">
        <f t="shared" si="5"/>
        <v>-2.87</v>
      </c>
      <c r="D95" s="218">
        <v>0.36</v>
      </c>
      <c r="E95" s="218">
        <v>0.14000000000000001</v>
      </c>
      <c r="F95" s="218">
        <v>5</v>
      </c>
      <c r="Q95" s="218">
        <v>2.92</v>
      </c>
      <c r="R95" s="251">
        <f t="shared" si="6"/>
        <v>-2.92</v>
      </c>
      <c r="S95" s="218">
        <v>0.81</v>
      </c>
      <c r="T95" s="218">
        <v>0.14000000000000001</v>
      </c>
      <c r="U95" s="218">
        <v>5</v>
      </c>
      <c r="AF95" s="218">
        <v>2.84</v>
      </c>
      <c r="AG95" s="251">
        <f t="shared" si="7"/>
        <v>-2.84</v>
      </c>
      <c r="AH95" s="218">
        <v>0.28000000000000003</v>
      </c>
      <c r="AI95" s="218">
        <v>0.14000000000000001</v>
      </c>
      <c r="AJ95" s="218">
        <v>5</v>
      </c>
      <c r="AV95" s="218">
        <v>2.83</v>
      </c>
      <c r="AW95" s="251">
        <f t="shared" si="8"/>
        <v>-2.83</v>
      </c>
      <c r="AX95" s="218">
        <v>0.81</v>
      </c>
      <c r="AY95" s="218">
        <v>0.14000000000000001</v>
      </c>
      <c r="AZ95" s="218">
        <v>5</v>
      </c>
      <c r="BL95" s="218">
        <v>2.75</v>
      </c>
      <c r="BM95" s="251">
        <f t="shared" si="9"/>
        <v>-2.75</v>
      </c>
      <c r="BN95" s="218">
        <v>0.36</v>
      </c>
      <c r="BO95" s="218">
        <v>0.15</v>
      </c>
      <c r="BP95" s="218">
        <v>5</v>
      </c>
    </row>
    <row r="96" spans="2:68">
      <c r="B96" s="218">
        <v>2.9</v>
      </c>
      <c r="C96" s="218">
        <f t="shared" si="5"/>
        <v>-2.9</v>
      </c>
      <c r="D96" s="218">
        <v>0.34</v>
      </c>
      <c r="E96" s="218">
        <v>0.14000000000000001</v>
      </c>
      <c r="F96" s="218">
        <v>5</v>
      </c>
      <c r="Q96" s="218">
        <v>2.95</v>
      </c>
      <c r="R96" s="251">
        <f t="shared" si="6"/>
        <v>-2.95</v>
      </c>
      <c r="S96" s="218">
        <v>0.81</v>
      </c>
      <c r="T96" s="218">
        <v>0.14000000000000001</v>
      </c>
      <c r="U96" s="218">
        <v>5</v>
      </c>
      <c r="AF96" s="218">
        <v>2.87</v>
      </c>
      <c r="AG96" s="251">
        <f t="shared" si="7"/>
        <v>-2.87</v>
      </c>
      <c r="AH96" s="218">
        <v>0.27</v>
      </c>
      <c r="AI96" s="218">
        <v>0.14000000000000001</v>
      </c>
      <c r="AJ96" s="218">
        <v>5</v>
      </c>
      <c r="AV96" s="218">
        <v>2.86</v>
      </c>
      <c r="AW96" s="251">
        <f t="shared" si="8"/>
        <v>-2.86</v>
      </c>
      <c r="AX96" s="218">
        <v>0.81</v>
      </c>
      <c r="AY96" s="218">
        <v>0.14000000000000001</v>
      </c>
      <c r="AZ96" s="218">
        <v>5</v>
      </c>
      <c r="BL96" s="218">
        <v>2.78</v>
      </c>
      <c r="BM96" s="251">
        <f t="shared" si="9"/>
        <v>-2.78</v>
      </c>
      <c r="BN96" s="218">
        <v>0.35</v>
      </c>
      <c r="BO96" s="218">
        <v>0.15</v>
      </c>
      <c r="BP96" s="218">
        <v>5</v>
      </c>
    </row>
    <row r="97" spans="2:68">
      <c r="B97" s="218">
        <v>2.92</v>
      </c>
      <c r="C97" s="218">
        <f t="shared" si="5"/>
        <v>-2.92</v>
      </c>
      <c r="D97" s="218">
        <v>0.33</v>
      </c>
      <c r="E97" s="218">
        <v>0.14000000000000001</v>
      </c>
      <c r="F97" s="218">
        <v>5</v>
      </c>
      <c r="Q97" s="218">
        <v>2.97</v>
      </c>
      <c r="R97" s="251">
        <f t="shared" si="6"/>
        <v>-2.97</v>
      </c>
      <c r="S97" s="218">
        <v>0.81</v>
      </c>
      <c r="T97" s="218">
        <v>0.14000000000000001</v>
      </c>
      <c r="U97" s="218">
        <v>5</v>
      </c>
      <c r="AF97" s="218">
        <v>2.89</v>
      </c>
      <c r="AG97" s="251">
        <f t="shared" si="7"/>
        <v>-2.89</v>
      </c>
      <c r="AH97" s="218">
        <v>0.26</v>
      </c>
      <c r="AI97" s="218">
        <v>0.14000000000000001</v>
      </c>
      <c r="AJ97" s="218">
        <v>5</v>
      </c>
      <c r="AV97" s="218">
        <v>2.88</v>
      </c>
      <c r="AW97" s="251">
        <f t="shared" si="8"/>
        <v>-2.88</v>
      </c>
      <c r="AX97" s="218">
        <v>0.81</v>
      </c>
      <c r="AY97" s="218">
        <v>0.14000000000000001</v>
      </c>
      <c r="AZ97" s="218">
        <v>5</v>
      </c>
      <c r="BL97" s="218">
        <v>2.8</v>
      </c>
      <c r="BM97" s="251">
        <f t="shared" si="9"/>
        <v>-2.8</v>
      </c>
      <c r="BN97" s="218">
        <v>0.34</v>
      </c>
      <c r="BO97" s="218">
        <v>0.15</v>
      </c>
      <c r="BP97" s="218">
        <v>5</v>
      </c>
    </row>
    <row r="98" spans="2:68">
      <c r="B98" s="218">
        <v>2.95</v>
      </c>
      <c r="C98" s="218">
        <f t="shared" si="5"/>
        <v>-2.95</v>
      </c>
      <c r="D98" s="218">
        <v>0.32</v>
      </c>
      <c r="E98" s="218">
        <v>0.14000000000000001</v>
      </c>
      <c r="F98" s="218">
        <v>5</v>
      </c>
      <c r="Q98" s="218">
        <v>3</v>
      </c>
      <c r="R98" s="251">
        <f t="shared" si="6"/>
        <v>-3</v>
      </c>
      <c r="S98" s="218">
        <v>0.81</v>
      </c>
      <c r="T98" s="218">
        <v>0.14000000000000001</v>
      </c>
      <c r="U98" s="218">
        <v>5</v>
      </c>
      <c r="AF98" s="218">
        <v>2.92</v>
      </c>
      <c r="AG98" s="251">
        <f t="shared" si="7"/>
        <v>-2.92</v>
      </c>
      <c r="AH98" s="218">
        <v>0.25</v>
      </c>
      <c r="AI98" s="218">
        <v>0.14000000000000001</v>
      </c>
      <c r="AJ98" s="218">
        <v>5</v>
      </c>
      <c r="AV98" s="218">
        <v>2.91</v>
      </c>
      <c r="AW98" s="251">
        <f t="shared" si="8"/>
        <v>-2.91</v>
      </c>
      <c r="AX98" s="218">
        <v>0.81</v>
      </c>
      <c r="AY98" s="218">
        <v>0.14000000000000001</v>
      </c>
      <c r="AZ98" s="218">
        <v>5</v>
      </c>
      <c r="BL98" s="218">
        <v>2.83</v>
      </c>
      <c r="BM98" s="251">
        <f t="shared" si="9"/>
        <v>-2.83</v>
      </c>
      <c r="BN98" s="218">
        <v>0.33</v>
      </c>
      <c r="BO98" s="218">
        <v>0.14000000000000001</v>
      </c>
      <c r="BP98" s="218">
        <v>5</v>
      </c>
    </row>
    <row r="99" spans="2:68">
      <c r="B99" s="218">
        <v>2.97</v>
      </c>
      <c r="C99" s="218">
        <f t="shared" si="5"/>
        <v>-2.97</v>
      </c>
      <c r="D99" s="218">
        <v>0.3</v>
      </c>
      <c r="E99" s="218">
        <v>0.14000000000000001</v>
      </c>
      <c r="F99" s="218">
        <v>5</v>
      </c>
      <c r="Q99" s="218">
        <v>3.02</v>
      </c>
      <c r="R99" s="251">
        <f t="shared" si="6"/>
        <v>-3.02</v>
      </c>
      <c r="S99" s="218">
        <v>0.81</v>
      </c>
      <c r="T99" s="218">
        <v>0.14000000000000001</v>
      </c>
      <c r="U99" s="218">
        <v>5</v>
      </c>
      <c r="AF99" s="218">
        <v>2.94</v>
      </c>
      <c r="AG99" s="251">
        <f t="shared" si="7"/>
        <v>-2.94</v>
      </c>
      <c r="AH99" s="218">
        <v>0.24</v>
      </c>
      <c r="AI99" s="218">
        <v>0.14000000000000001</v>
      </c>
      <c r="AJ99" s="218">
        <v>5</v>
      </c>
      <c r="AV99" s="218">
        <v>2.93</v>
      </c>
      <c r="AW99" s="251">
        <f t="shared" si="8"/>
        <v>-2.93</v>
      </c>
      <c r="AX99" s="218">
        <v>0.69</v>
      </c>
      <c r="AY99" s="218">
        <v>0.14000000000000001</v>
      </c>
      <c r="AZ99" s="218">
        <v>5</v>
      </c>
      <c r="BL99" s="218">
        <v>2.85</v>
      </c>
      <c r="BM99" s="251">
        <f t="shared" si="9"/>
        <v>-2.85</v>
      </c>
      <c r="BN99" s="218">
        <v>0.33</v>
      </c>
      <c r="BO99" s="218">
        <v>0.14000000000000001</v>
      </c>
      <c r="BP99" s="218">
        <v>5</v>
      </c>
    </row>
    <row r="100" spans="2:68">
      <c r="B100" s="218">
        <v>3</v>
      </c>
      <c r="C100" s="218">
        <f t="shared" si="5"/>
        <v>-3</v>
      </c>
      <c r="D100" s="218">
        <v>0.28999999999999998</v>
      </c>
      <c r="E100" s="218">
        <v>0.14000000000000001</v>
      </c>
      <c r="F100" s="218">
        <v>5</v>
      </c>
      <c r="Q100" s="218">
        <v>3.05</v>
      </c>
      <c r="R100" s="251">
        <f t="shared" si="6"/>
        <v>-3.05</v>
      </c>
      <c r="S100" s="218">
        <v>0.81</v>
      </c>
      <c r="T100" s="218">
        <v>0.14000000000000001</v>
      </c>
      <c r="U100" s="218">
        <v>5</v>
      </c>
      <c r="AF100" s="218">
        <v>2.97</v>
      </c>
      <c r="AG100" s="251">
        <f t="shared" si="7"/>
        <v>-2.97</v>
      </c>
      <c r="AH100" s="218">
        <v>0.22</v>
      </c>
      <c r="AI100" s="218">
        <v>0.14000000000000001</v>
      </c>
      <c r="AJ100" s="218">
        <v>5</v>
      </c>
      <c r="AV100" s="218">
        <v>2.96</v>
      </c>
      <c r="AW100" s="251">
        <f t="shared" si="8"/>
        <v>-2.96</v>
      </c>
      <c r="AX100" s="218">
        <v>0.64</v>
      </c>
      <c r="AY100" s="218">
        <v>0.14000000000000001</v>
      </c>
      <c r="AZ100" s="218">
        <v>5</v>
      </c>
      <c r="BL100" s="218">
        <v>2.88</v>
      </c>
      <c r="BM100" s="251">
        <f t="shared" si="9"/>
        <v>-2.88</v>
      </c>
      <c r="BN100" s="218">
        <v>0.32</v>
      </c>
      <c r="BO100" s="218">
        <v>0.14000000000000001</v>
      </c>
      <c r="BP100" s="218">
        <v>5</v>
      </c>
    </row>
    <row r="101" spans="2:68">
      <c r="B101" s="218">
        <v>3.02</v>
      </c>
      <c r="C101" s="218">
        <f t="shared" si="5"/>
        <v>-3.02</v>
      </c>
      <c r="D101" s="218">
        <v>0.28000000000000003</v>
      </c>
      <c r="E101" s="218">
        <v>0.14000000000000001</v>
      </c>
      <c r="F101" s="218">
        <v>5</v>
      </c>
      <c r="Q101" s="218">
        <v>3.07</v>
      </c>
      <c r="R101" s="251">
        <f t="shared" si="6"/>
        <v>-3.07</v>
      </c>
      <c r="S101" s="218">
        <v>0.81</v>
      </c>
      <c r="T101" s="218">
        <v>0.14000000000000001</v>
      </c>
      <c r="U101" s="218">
        <v>5</v>
      </c>
      <c r="AF101" s="218">
        <v>2.99</v>
      </c>
      <c r="AG101" s="251">
        <f t="shared" si="7"/>
        <v>-2.99</v>
      </c>
      <c r="AH101" s="218">
        <v>0.21</v>
      </c>
      <c r="AI101" s="218">
        <v>0.14000000000000001</v>
      </c>
      <c r="AJ101" s="218">
        <v>5</v>
      </c>
      <c r="AV101" s="218">
        <v>2.98</v>
      </c>
      <c r="AW101" s="251">
        <f t="shared" si="8"/>
        <v>-2.98</v>
      </c>
      <c r="AX101" s="218">
        <v>0.61</v>
      </c>
      <c r="AY101" s="218">
        <v>0.14000000000000001</v>
      </c>
      <c r="AZ101" s="218">
        <v>5</v>
      </c>
      <c r="BL101" s="218">
        <v>2.9</v>
      </c>
      <c r="BM101" s="251">
        <f t="shared" si="9"/>
        <v>-2.9</v>
      </c>
      <c r="BN101" s="218">
        <v>0.31</v>
      </c>
      <c r="BO101" s="218">
        <v>0.14000000000000001</v>
      </c>
      <c r="BP101" s="218">
        <v>5</v>
      </c>
    </row>
    <row r="102" spans="2:68">
      <c r="B102" s="218">
        <v>3.05</v>
      </c>
      <c r="C102" s="218">
        <f t="shared" si="5"/>
        <v>-3.05</v>
      </c>
      <c r="D102" s="218">
        <v>0.27</v>
      </c>
      <c r="E102" s="218">
        <v>0.14000000000000001</v>
      </c>
      <c r="F102" s="218">
        <v>5</v>
      </c>
      <c r="Q102" s="218">
        <v>3.1</v>
      </c>
      <c r="R102" s="251">
        <f t="shared" si="6"/>
        <v>-3.1</v>
      </c>
      <c r="S102" s="218">
        <v>0.81</v>
      </c>
      <c r="T102" s="218">
        <v>0.14000000000000001</v>
      </c>
      <c r="U102" s="218">
        <v>5</v>
      </c>
      <c r="AF102" s="218">
        <v>3.02</v>
      </c>
      <c r="AG102" s="251">
        <f t="shared" si="7"/>
        <v>-3.02</v>
      </c>
      <c r="AH102" s="218">
        <v>0.21</v>
      </c>
      <c r="AI102" s="218">
        <v>0.14000000000000001</v>
      </c>
      <c r="AJ102" s="218">
        <v>5</v>
      </c>
      <c r="AV102" s="218">
        <v>3.01</v>
      </c>
      <c r="AW102" s="251">
        <f t="shared" si="8"/>
        <v>-3.01</v>
      </c>
      <c r="AX102" s="218">
        <v>0.57999999999999996</v>
      </c>
      <c r="AY102" s="218">
        <v>0.14000000000000001</v>
      </c>
      <c r="AZ102" s="218">
        <v>5</v>
      </c>
      <c r="BL102" s="218">
        <v>2.93</v>
      </c>
      <c r="BM102" s="251">
        <f t="shared" si="9"/>
        <v>-2.93</v>
      </c>
      <c r="BN102" s="218">
        <v>0.3</v>
      </c>
      <c r="BO102" s="218">
        <v>0.14000000000000001</v>
      </c>
      <c r="BP102" s="218">
        <v>5</v>
      </c>
    </row>
    <row r="103" spans="2:68">
      <c r="B103" s="218">
        <v>3.07</v>
      </c>
      <c r="C103" s="218">
        <f t="shared" si="5"/>
        <v>-3.07</v>
      </c>
      <c r="D103" s="218">
        <v>0.26</v>
      </c>
      <c r="E103" s="218">
        <v>0.14000000000000001</v>
      </c>
      <c r="F103" s="218">
        <v>5</v>
      </c>
      <c r="Q103" s="218">
        <v>3.12</v>
      </c>
      <c r="R103" s="251">
        <f t="shared" si="6"/>
        <v>-3.12</v>
      </c>
      <c r="S103" s="218">
        <v>0.81</v>
      </c>
      <c r="T103" s="218">
        <v>0.14000000000000001</v>
      </c>
      <c r="U103" s="218">
        <v>5</v>
      </c>
      <c r="AF103" s="218">
        <v>3.04</v>
      </c>
      <c r="AG103" s="251">
        <f t="shared" si="7"/>
        <v>-3.04</v>
      </c>
      <c r="AH103" s="218">
        <v>0.21</v>
      </c>
      <c r="AI103" s="218">
        <v>0.14000000000000001</v>
      </c>
      <c r="AJ103" s="218">
        <v>5</v>
      </c>
      <c r="AV103" s="218">
        <v>3.03</v>
      </c>
      <c r="AW103" s="251">
        <f t="shared" si="8"/>
        <v>-3.03</v>
      </c>
      <c r="AX103" s="218">
        <v>0.56000000000000005</v>
      </c>
      <c r="AY103" s="218">
        <v>0.14000000000000001</v>
      </c>
      <c r="AZ103" s="218">
        <v>5</v>
      </c>
      <c r="BL103" s="218">
        <v>2.95</v>
      </c>
      <c r="BM103" s="251">
        <f t="shared" si="9"/>
        <v>-2.95</v>
      </c>
      <c r="BN103" s="218">
        <v>0.28999999999999998</v>
      </c>
      <c r="BO103" s="218">
        <v>0.14000000000000001</v>
      </c>
      <c r="BP103" s="218">
        <v>5</v>
      </c>
    </row>
    <row r="104" spans="2:68">
      <c r="B104" s="218">
        <v>3.1</v>
      </c>
      <c r="C104" s="218">
        <f t="shared" si="5"/>
        <v>-3.1</v>
      </c>
      <c r="D104" s="218">
        <v>0.24</v>
      </c>
      <c r="E104" s="218">
        <v>0.14000000000000001</v>
      </c>
      <c r="F104" s="218">
        <v>5</v>
      </c>
      <c r="Q104" s="218">
        <v>3.15</v>
      </c>
      <c r="R104" s="251">
        <f t="shared" si="6"/>
        <v>-3.15</v>
      </c>
      <c r="S104" s="218">
        <v>0.81</v>
      </c>
      <c r="T104" s="218">
        <v>0.14000000000000001</v>
      </c>
      <c r="U104" s="218">
        <v>5</v>
      </c>
      <c r="AF104" s="218">
        <v>3.07</v>
      </c>
      <c r="AG104" s="251">
        <f t="shared" si="7"/>
        <v>-3.07</v>
      </c>
      <c r="AH104" s="218">
        <v>0.22</v>
      </c>
      <c r="AI104" s="218">
        <v>0.14000000000000001</v>
      </c>
      <c r="AJ104" s="218">
        <v>5</v>
      </c>
      <c r="AV104" s="218">
        <v>3.06</v>
      </c>
      <c r="AW104" s="251">
        <f t="shared" si="8"/>
        <v>-3.06</v>
      </c>
      <c r="AX104" s="218">
        <v>0.55000000000000004</v>
      </c>
      <c r="AY104" s="218">
        <v>0.14000000000000001</v>
      </c>
      <c r="AZ104" s="218">
        <v>5</v>
      </c>
      <c r="BL104" s="218">
        <v>2.98</v>
      </c>
      <c r="BM104" s="251">
        <f t="shared" si="9"/>
        <v>-2.98</v>
      </c>
      <c r="BN104" s="218">
        <v>0.28000000000000003</v>
      </c>
      <c r="BO104" s="218">
        <v>0.14000000000000001</v>
      </c>
      <c r="BP104" s="218">
        <v>5</v>
      </c>
    </row>
    <row r="105" spans="2:68">
      <c r="B105" s="218">
        <v>3.12</v>
      </c>
      <c r="C105" s="218">
        <f t="shared" si="5"/>
        <v>-3.12</v>
      </c>
      <c r="D105" s="218">
        <v>0.23</v>
      </c>
      <c r="E105" s="218">
        <v>0.14000000000000001</v>
      </c>
      <c r="F105" s="218">
        <v>5</v>
      </c>
      <c r="Q105" s="218">
        <v>3.17</v>
      </c>
      <c r="R105" s="251">
        <f t="shared" si="6"/>
        <v>-3.17</v>
      </c>
      <c r="S105" s="218">
        <v>0.81</v>
      </c>
      <c r="T105" s="218">
        <v>0.14000000000000001</v>
      </c>
      <c r="U105" s="218">
        <v>5</v>
      </c>
      <c r="AF105" s="218">
        <v>3.09</v>
      </c>
      <c r="AG105" s="251">
        <f t="shared" si="7"/>
        <v>-3.09</v>
      </c>
      <c r="AH105" s="218">
        <v>0.22</v>
      </c>
      <c r="AI105" s="218">
        <v>0.14000000000000001</v>
      </c>
      <c r="AJ105" s="218">
        <v>5</v>
      </c>
      <c r="AV105" s="218">
        <v>3.08</v>
      </c>
      <c r="AW105" s="251">
        <f t="shared" si="8"/>
        <v>-3.08</v>
      </c>
      <c r="AX105" s="218">
        <v>0.53</v>
      </c>
      <c r="AY105" s="218">
        <v>0.14000000000000001</v>
      </c>
      <c r="AZ105" s="218">
        <v>5</v>
      </c>
      <c r="BL105" s="218">
        <v>3</v>
      </c>
      <c r="BM105" s="251">
        <f t="shared" si="9"/>
        <v>-3</v>
      </c>
      <c r="BN105" s="218">
        <v>0.27</v>
      </c>
      <c r="BO105" s="218">
        <v>0.14000000000000001</v>
      </c>
      <c r="BP105" s="218">
        <v>5</v>
      </c>
    </row>
    <row r="106" spans="2:68">
      <c r="B106" s="218">
        <v>3.15</v>
      </c>
      <c r="C106" s="218">
        <f t="shared" si="5"/>
        <v>-3.15</v>
      </c>
      <c r="D106" s="218">
        <v>0.23</v>
      </c>
      <c r="E106" s="218">
        <v>0.14000000000000001</v>
      </c>
      <c r="F106" s="218">
        <v>5</v>
      </c>
      <c r="Q106" s="218">
        <v>3.2</v>
      </c>
      <c r="R106" s="251">
        <f t="shared" si="6"/>
        <v>-3.2</v>
      </c>
      <c r="S106" s="218">
        <v>0.81</v>
      </c>
      <c r="T106" s="218">
        <v>0.14000000000000001</v>
      </c>
      <c r="U106" s="218">
        <v>5</v>
      </c>
      <c r="AF106" s="218">
        <v>3.12</v>
      </c>
      <c r="AG106" s="251">
        <f t="shared" si="7"/>
        <v>-3.12</v>
      </c>
      <c r="AH106" s="218">
        <v>0.22</v>
      </c>
      <c r="AI106" s="218">
        <v>0.14000000000000001</v>
      </c>
      <c r="AJ106" s="218">
        <v>5</v>
      </c>
      <c r="AV106" s="218">
        <v>3.11</v>
      </c>
      <c r="AW106" s="251">
        <f t="shared" si="8"/>
        <v>-3.11</v>
      </c>
      <c r="AX106" s="218">
        <v>0.52</v>
      </c>
      <c r="AY106" s="218">
        <v>0.14000000000000001</v>
      </c>
      <c r="AZ106" s="218">
        <v>5</v>
      </c>
      <c r="BL106" s="218">
        <v>3.03</v>
      </c>
      <c r="BM106" s="251">
        <f t="shared" si="9"/>
        <v>-3.03</v>
      </c>
      <c r="BN106" s="218">
        <v>0.27</v>
      </c>
      <c r="BO106" s="218">
        <v>0.14000000000000001</v>
      </c>
      <c r="BP106" s="218">
        <v>5</v>
      </c>
    </row>
    <row r="107" spans="2:68">
      <c r="B107" s="218">
        <v>3.17</v>
      </c>
      <c r="C107" s="218">
        <f t="shared" si="5"/>
        <v>-3.17</v>
      </c>
      <c r="D107" s="218">
        <v>0.23</v>
      </c>
      <c r="E107" s="218">
        <v>0.14000000000000001</v>
      </c>
      <c r="F107" s="218">
        <v>5</v>
      </c>
      <c r="Q107" s="218">
        <v>3.22</v>
      </c>
      <c r="R107" s="251">
        <f t="shared" si="6"/>
        <v>-3.22</v>
      </c>
      <c r="S107" s="218">
        <v>0.81</v>
      </c>
      <c r="T107" s="218">
        <v>0.14000000000000001</v>
      </c>
      <c r="U107" s="218">
        <v>5</v>
      </c>
      <c r="AF107" s="218">
        <v>3.14</v>
      </c>
      <c r="AG107" s="251">
        <f t="shared" si="7"/>
        <v>-3.14</v>
      </c>
      <c r="AH107" s="218">
        <v>0.22</v>
      </c>
      <c r="AI107" s="218">
        <v>0.14000000000000001</v>
      </c>
      <c r="AJ107" s="218">
        <v>5</v>
      </c>
      <c r="AV107" s="218">
        <v>3.13</v>
      </c>
      <c r="AW107" s="251">
        <f t="shared" si="8"/>
        <v>-3.13</v>
      </c>
      <c r="AX107" s="218">
        <v>0.5</v>
      </c>
      <c r="AY107" s="218">
        <v>0.14000000000000001</v>
      </c>
      <c r="AZ107" s="218">
        <v>5</v>
      </c>
      <c r="BL107" s="218">
        <v>3.05</v>
      </c>
      <c r="BM107" s="251">
        <f t="shared" si="9"/>
        <v>-3.05</v>
      </c>
      <c r="BN107" s="218">
        <v>0.26</v>
      </c>
      <c r="BO107" s="218">
        <v>0.14000000000000001</v>
      </c>
      <c r="BP107" s="218">
        <v>5</v>
      </c>
    </row>
    <row r="108" spans="2:68">
      <c r="B108" s="218">
        <v>3.2</v>
      </c>
      <c r="C108" s="218">
        <f t="shared" si="5"/>
        <v>-3.2</v>
      </c>
      <c r="D108" s="218">
        <v>0.23</v>
      </c>
      <c r="E108" s="218">
        <v>0.14000000000000001</v>
      </c>
      <c r="F108" s="218">
        <v>5</v>
      </c>
      <c r="Q108" s="218">
        <v>3.25</v>
      </c>
      <c r="R108" s="251">
        <f t="shared" si="6"/>
        <v>-3.25</v>
      </c>
      <c r="S108" s="218">
        <v>0.81</v>
      </c>
      <c r="T108" s="218">
        <v>0.14000000000000001</v>
      </c>
      <c r="U108" s="218">
        <v>5</v>
      </c>
      <c r="AF108" s="218">
        <v>3.17</v>
      </c>
      <c r="AG108" s="251">
        <f t="shared" si="7"/>
        <v>-3.17</v>
      </c>
      <c r="AH108" s="218">
        <v>0.22</v>
      </c>
      <c r="AI108" s="218">
        <v>0.14000000000000001</v>
      </c>
      <c r="AJ108" s="218">
        <v>5</v>
      </c>
      <c r="AV108" s="218">
        <v>3.16</v>
      </c>
      <c r="AW108" s="251">
        <f t="shared" si="8"/>
        <v>-3.16</v>
      </c>
      <c r="AX108" s="218">
        <v>0.49</v>
      </c>
      <c r="AY108" s="218">
        <v>0.14000000000000001</v>
      </c>
      <c r="AZ108" s="218">
        <v>5</v>
      </c>
      <c r="BL108" s="218">
        <v>3.08</v>
      </c>
      <c r="BM108" s="251">
        <f t="shared" si="9"/>
        <v>-3.08</v>
      </c>
      <c r="BN108" s="218">
        <v>0.25</v>
      </c>
      <c r="BO108" s="218">
        <v>0.14000000000000001</v>
      </c>
      <c r="BP108" s="218">
        <v>5</v>
      </c>
    </row>
    <row r="109" spans="2:68">
      <c r="B109" s="218">
        <v>3.22</v>
      </c>
      <c r="C109" s="218">
        <f t="shared" si="5"/>
        <v>-3.22</v>
      </c>
      <c r="D109" s="218">
        <v>0.23</v>
      </c>
      <c r="E109" s="218">
        <v>0.14000000000000001</v>
      </c>
      <c r="F109" s="218">
        <v>5</v>
      </c>
      <c r="Q109" s="218">
        <v>3.27</v>
      </c>
      <c r="R109" s="251">
        <f t="shared" si="6"/>
        <v>-3.27</v>
      </c>
      <c r="S109" s="218">
        <v>0.81</v>
      </c>
      <c r="T109" s="218">
        <v>0.14000000000000001</v>
      </c>
      <c r="U109" s="218">
        <v>5</v>
      </c>
      <c r="AF109" s="218">
        <v>3.19</v>
      </c>
      <c r="AG109" s="251">
        <f t="shared" si="7"/>
        <v>-3.19</v>
      </c>
      <c r="AH109" s="218">
        <v>0.22</v>
      </c>
      <c r="AI109" s="218">
        <v>0.14000000000000001</v>
      </c>
      <c r="AJ109" s="218">
        <v>5</v>
      </c>
      <c r="AV109" s="218">
        <v>3.18</v>
      </c>
      <c r="AW109" s="251">
        <f t="shared" si="8"/>
        <v>-3.18</v>
      </c>
      <c r="AX109" s="218">
        <v>0.48</v>
      </c>
      <c r="AY109" s="218">
        <v>0.14000000000000001</v>
      </c>
      <c r="AZ109" s="218">
        <v>5</v>
      </c>
      <c r="BL109" s="218">
        <v>3.1</v>
      </c>
      <c r="BM109" s="251">
        <f t="shared" si="9"/>
        <v>-3.1</v>
      </c>
      <c r="BN109" s="218">
        <v>0.24</v>
      </c>
      <c r="BO109" s="218">
        <v>0.14000000000000001</v>
      </c>
      <c r="BP109" s="218">
        <v>5</v>
      </c>
    </row>
    <row r="110" spans="2:68">
      <c r="B110" s="218">
        <v>3.25</v>
      </c>
      <c r="C110" s="218">
        <f t="shared" si="5"/>
        <v>-3.25</v>
      </c>
      <c r="D110" s="218">
        <v>0.23</v>
      </c>
      <c r="E110" s="218">
        <v>0.14000000000000001</v>
      </c>
      <c r="F110" s="218">
        <v>5</v>
      </c>
      <c r="Q110" s="218">
        <v>3.3</v>
      </c>
      <c r="R110" s="251">
        <f t="shared" si="6"/>
        <v>-3.3</v>
      </c>
      <c r="S110" s="218">
        <v>0.81</v>
      </c>
      <c r="T110" s="218">
        <v>0.14000000000000001</v>
      </c>
      <c r="U110" s="218">
        <v>5</v>
      </c>
      <c r="AF110" s="218">
        <v>3.22</v>
      </c>
      <c r="AG110" s="251">
        <f t="shared" si="7"/>
        <v>-3.22</v>
      </c>
      <c r="AH110" s="218">
        <v>0.22</v>
      </c>
      <c r="AI110" s="218">
        <v>0.14000000000000001</v>
      </c>
      <c r="AJ110" s="218">
        <v>5</v>
      </c>
      <c r="AV110" s="218">
        <v>3.21</v>
      </c>
      <c r="AW110" s="251">
        <f t="shared" si="8"/>
        <v>-3.21</v>
      </c>
      <c r="AX110" s="218">
        <v>0.47</v>
      </c>
      <c r="AY110" s="218">
        <v>0.14000000000000001</v>
      </c>
      <c r="AZ110" s="218">
        <v>5</v>
      </c>
      <c r="BL110" s="218">
        <v>3.13</v>
      </c>
      <c r="BM110" s="251">
        <f t="shared" si="9"/>
        <v>-3.13</v>
      </c>
      <c r="BN110" s="218">
        <v>0.24</v>
      </c>
      <c r="BO110" s="218">
        <v>0.14000000000000001</v>
      </c>
      <c r="BP110" s="218">
        <v>5</v>
      </c>
    </row>
    <row r="111" spans="2:68">
      <c r="B111" s="218">
        <v>3.27</v>
      </c>
      <c r="C111" s="218">
        <f t="shared" si="5"/>
        <v>-3.27</v>
      </c>
      <c r="D111" s="218">
        <v>0.23</v>
      </c>
      <c r="E111" s="218">
        <v>0.14000000000000001</v>
      </c>
      <c r="F111" s="218">
        <v>5</v>
      </c>
      <c r="Q111" s="218">
        <v>3.32</v>
      </c>
      <c r="R111" s="251">
        <f t="shared" si="6"/>
        <v>-3.32</v>
      </c>
      <c r="S111" s="218">
        <v>0.81</v>
      </c>
      <c r="T111" s="218">
        <v>0.14000000000000001</v>
      </c>
      <c r="U111" s="218">
        <v>5</v>
      </c>
      <c r="AF111" s="218">
        <v>3.24</v>
      </c>
      <c r="AG111" s="251">
        <f t="shared" si="7"/>
        <v>-3.24</v>
      </c>
      <c r="AH111" s="218">
        <v>0.22</v>
      </c>
      <c r="AI111" s="218">
        <v>0.14000000000000001</v>
      </c>
      <c r="AJ111" s="218">
        <v>5</v>
      </c>
      <c r="AV111" s="218">
        <v>3.23</v>
      </c>
      <c r="AW111" s="251">
        <f t="shared" si="8"/>
        <v>-3.23</v>
      </c>
      <c r="AX111" s="218">
        <v>0.46</v>
      </c>
      <c r="AY111" s="218">
        <v>0.14000000000000001</v>
      </c>
      <c r="AZ111" s="218">
        <v>5</v>
      </c>
      <c r="BL111" s="218">
        <v>3.15</v>
      </c>
      <c r="BM111" s="251">
        <f t="shared" si="9"/>
        <v>-3.15</v>
      </c>
      <c r="BN111" s="218">
        <v>0.24</v>
      </c>
      <c r="BO111" s="218">
        <v>0.14000000000000001</v>
      </c>
      <c r="BP111" s="218">
        <v>5</v>
      </c>
    </row>
    <row r="112" spans="2:68">
      <c r="B112" s="218">
        <v>3.3</v>
      </c>
      <c r="C112" s="218">
        <f t="shared" si="5"/>
        <v>-3.3</v>
      </c>
      <c r="D112" s="218">
        <v>0.22</v>
      </c>
      <c r="E112" s="218">
        <v>0.14000000000000001</v>
      </c>
      <c r="F112" s="218">
        <v>5</v>
      </c>
      <c r="Q112" s="218">
        <v>3.35</v>
      </c>
      <c r="R112" s="251">
        <f t="shared" si="6"/>
        <v>-3.35</v>
      </c>
      <c r="S112" s="218">
        <v>0.81</v>
      </c>
      <c r="T112" s="218">
        <v>0.14000000000000001</v>
      </c>
      <c r="U112" s="218">
        <v>5</v>
      </c>
      <c r="AF112" s="218">
        <v>3.27</v>
      </c>
      <c r="AG112" s="251">
        <f t="shared" si="7"/>
        <v>-3.27</v>
      </c>
      <c r="AH112" s="218">
        <v>0.22</v>
      </c>
      <c r="AI112" s="218">
        <v>0.14000000000000001</v>
      </c>
      <c r="AJ112" s="218">
        <v>5</v>
      </c>
      <c r="AV112" s="218">
        <v>3.26</v>
      </c>
      <c r="AW112" s="251">
        <f t="shared" si="8"/>
        <v>-3.26</v>
      </c>
      <c r="AX112" s="218">
        <v>0.45</v>
      </c>
      <c r="AY112" s="218">
        <v>0.14000000000000001</v>
      </c>
      <c r="AZ112" s="218">
        <v>5</v>
      </c>
      <c r="BL112" s="218">
        <v>3.18</v>
      </c>
      <c r="BM112" s="251">
        <f t="shared" si="9"/>
        <v>-3.18</v>
      </c>
      <c r="BN112" s="218">
        <v>0.24</v>
      </c>
      <c r="BO112" s="218">
        <v>0.14000000000000001</v>
      </c>
      <c r="BP112" s="218">
        <v>5</v>
      </c>
    </row>
    <row r="113" spans="2:68">
      <c r="B113" s="218">
        <v>3.32</v>
      </c>
      <c r="C113" s="218">
        <f t="shared" si="5"/>
        <v>-3.32</v>
      </c>
      <c r="D113" s="218">
        <v>0.22</v>
      </c>
      <c r="E113" s="218">
        <v>0.14000000000000001</v>
      </c>
      <c r="F113" s="218">
        <v>5</v>
      </c>
      <c r="Q113" s="218">
        <v>3.37</v>
      </c>
      <c r="R113" s="251">
        <f t="shared" si="6"/>
        <v>-3.37</v>
      </c>
      <c r="S113" s="218">
        <v>0.81</v>
      </c>
      <c r="T113" s="218">
        <v>0.14000000000000001</v>
      </c>
      <c r="U113" s="218">
        <v>5</v>
      </c>
      <c r="AF113" s="218">
        <v>3.29</v>
      </c>
      <c r="AG113" s="251">
        <f t="shared" si="7"/>
        <v>-3.29</v>
      </c>
      <c r="AH113" s="218">
        <v>0.22</v>
      </c>
      <c r="AI113" s="218">
        <v>0.14000000000000001</v>
      </c>
      <c r="AJ113" s="218">
        <v>5</v>
      </c>
      <c r="AV113" s="218">
        <v>3.28</v>
      </c>
      <c r="AW113" s="251">
        <f t="shared" si="8"/>
        <v>-3.28</v>
      </c>
      <c r="AX113" s="218">
        <v>0.44</v>
      </c>
      <c r="AY113" s="218">
        <v>0.14000000000000001</v>
      </c>
      <c r="AZ113" s="218">
        <v>5</v>
      </c>
      <c r="BL113" s="218">
        <v>3.2</v>
      </c>
      <c r="BM113" s="251">
        <f t="shared" si="9"/>
        <v>-3.2</v>
      </c>
      <c r="BN113" s="218">
        <v>0.24</v>
      </c>
      <c r="BO113" s="218">
        <v>0.14000000000000001</v>
      </c>
      <c r="BP113" s="218">
        <v>5</v>
      </c>
    </row>
    <row r="114" spans="2:68">
      <c r="B114" s="218">
        <v>3.35</v>
      </c>
      <c r="C114" s="218">
        <f t="shared" si="5"/>
        <v>-3.35</v>
      </c>
      <c r="D114" s="218">
        <v>0.22</v>
      </c>
      <c r="E114" s="218">
        <v>0.14000000000000001</v>
      </c>
      <c r="F114" s="218">
        <v>5</v>
      </c>
      <c r="Q114" s="218">
        <v>3.4</v>
      </c>
      <c r="R114" s="251">
        <f t="shared" si="6"/>
        <v>-3.4</v>
      </c>
      <c r="S114" s="218">
        <v>0.81</v>
      </c>
      <c r="T114" s="218">
        <v>0.14000000000000001</v>
      </c>
      <c r="U114" s="218">
        <v>5</v>
      </c>
      <c r="AF114" s="218">
        <v>3.32</v>
      </c>
      <c r="AG114" s="251">
        <f t="shared" si="7"/>
        <v>-3.32</v>
      </c>
      <c r="AH114" s="218">
        <v>0.22</v>
      </c>
      <c r="AI114" s="218">
        <v>0.14000000000000001</v>
      </c>
      <c r="AJ114" s="218">
        <v>5</v>
      </c>
      <c r="AV114" s="218">
        <v>3.31</v>
      </c>
      <c r="AW114" s="251">
        <f t="shared" si="8"/>
        <v>-3.31</v>
      </c>
      <c r="AX114" s="218">
        <v>0.44</v>
      </c>
      <c r="AY114" s="218">
        <v>0.14000000000000001</v>
      </c>
      <c r="AZ114" s="218">
        <v>5</v>
      </c>
      <c r="BL114" s="218">
        <v>3.23</v>
      </c>
      <c r="BM114" s="251">
        <f t="shared" si="9"/>
        <v>-3.23</v>
      </c>
      <c r="BN114" s="218">
        <v>0.24</v>
      </c>
      <c r="BO114" s="218">
        <v>0.14000000000000001</v>
      </c>
      <c r="BP114" s="218">
        <v>5</v>
      </c>
    </row>
    <row r="115" spans="2:68">
      <c r="B115" s="218">
        <v>3.37</v>
      </c>
      <c r="C115" s="218">
        <f t="shared" si="5"/>
        <v>-3.37</v>
      </c>
      <c r="D115" s="218">
        <v>0.22</v>
      </c>
      <c r="E115" s="218">
        <v>0.14000000000000001</v>
      </c>
      <c r="F115" s="218">
        <v>5</v>
      </c>
      <c r="Q115" s="218">
        <v>3.42</v>
      </c>
      <c r="R115" s="251">
        <f t="shared" si="6"/>
        <v>-3.42</v>
      </c>
      <c r="S115" s="218">
        <v>0.81</v>
      </c>
      <c r="T115" s="218">
        <v>0.14000000000000001</v>
      </c>
      <c r="U115" s="218">
        <v>5</v>
      </c>
      <c r="AF115" s="218">
        <v>3.34</v>
      </c>
      <c r="AG115" s="251">
        <f t="shared" si="7"/>
        <v>-3.34</v>
      </c>
      <c r="AH115" s="218">
        <v>0.22</v>
      </c>
      <c r="AI115" s="218">
        <v>0.14000000000000001</v>
      </c>
      <c r="AJ115" s="218">
        <v>5</v>
      </c>
      <c r="AV115" s="218">
        <v>3.33</v>
      </c>
      <c r="AW115" s="251">
        <f t="shared" si="8"/>
        <v>-3.33</v>
      </c>
      <c r="AX115" s="218">
        <v>0.43</v>
      </c>
      <c r="AY115" s="218">
        <v>0.14000000000000001</v>
      </c>
      <c r="AZ115" s="218">
        <v>5</v>
      </c>
      <c r="BL115" s="218">
        <v>3.25</v>
      </c>
      <c r="BM115" s="251">
        <f t="shared" si="9"/>
        <v>-3.25</v>
      </c>
      <c r="BN115" s="218">
        <v>0.24</v>
      </c>
      <c r="BO115" s="218">
        <v>0.14000000000000001</v>
      </c>
      <c r="BP115" s="218">
        <v>5</v>
      </c>
    </row>
    <row r="116" spans="2:68">
      <c r="B116" s="218">
        <v>3.4</v>
      </c>
      <c r="C116" s="218">
        <f t="shared" si="5"/>
        <v>-3.4</v>
      </c>
      <c r="D116" s="218">
        <v>0.22</v>
      </c>
      <c r="E116" s="218">
        <v>0.14000000000000001</v>
      </c>
      <c r="F116" s="218">
        <v>5</v>
      </c>
      <c r="Q116" s="218">
        <v>3.45</v>
      </c>
      <c r="R116" s="251">
        <f t="shared" si="6"/>
        <v>-3.45</v>
      </c>
      <c r="S116" s="218">
        <v>0.81</v>
      </c>
      <c r="T116" s="218">
        <v>0.14000000000000001</v>
      </c>
      <c r="U116" s="218">
        <v>5</v>
      </c>
      <c r="AF116" s="218">
        <v>3.37</v>
      </c>
      <c r="AG116" s="251">
        <f t="shared" si="7"/>
        <v>-3.37</v>
      </c>
      <c r="AH116" s="218">
        <v>0.23</v>
      </c>
      <c r="AI116" s="218">
        <v>0.14000000000000001</v>
      </c>
      <c r="AJ116" s="218">
        <v>5</v>
      </c>
      <c r="AV116" s="218">
        <v>3.36</v>
      </c>
      <c r="AW116" s="251">
        <f t="shared" si="8"/>
        <v>-3.36</v>
      </c>
      <c r="AX116" s="218">
        <v>0.42</v>
      </c>
      <c r="AY116" s="218">
        <v>0.14000000000000001</v>
      </c>
      <c r="AZ116" s="218">
        <v>5</v>
      </c>
      <c r="BL116" s="218">
        <v>3.28</v>
      </c>
      <c r="BM116" s="251">
        <f t="shared" si="9"/>
        <v>-3.28</v>
      </c>
      <c r="BN116" s="218">
        <v>0.24</v>
      </c>
      <c r="BO116" s="218">
        <v>0.14000000000000001</v>
      </c>
      <c r="BP116" s="218">
        <v>5</v>
      </c>
    </row>
    <row r="117" spans="2:68">
      <c r="B117" s="218">
        <v>3.42</v>
      </c>
      <c r="C117" s="218">
        <f t="shared" si="5"/>
        <v>-3.42</v>
      </c>
      <c r="D117" s="218">
        <v>0.22</v>
      </c>
      <c r="E117" s="218">
        <v>0.14000000000000001</v>
      </c>
      <c r="F117" s="218">
        <v>5</v>
      </c>
      <c r="Q117" s="218">
        <v>3.47</v>
      </c>
      <c r="R117" s="251">
        <f t="shared" si="6"/>
        <v>-3.47</v>
      </c>
      <c r="S117" s="218">
        <v>0.81</v>
      </c>
      <c r="T117" s="218">
        <v>0.14000000000000001</v>
      </c>
      <c r="U117" s="218">
        <v>5</v>
      </c>
      <c r="AF117" s="218">
        <v>3.39</v>
      </c>
      <c r="AG117" s="251">
        <f t="shared" si="7"/>
        <v>-3.39</v>
      </c>
      <c r="AH117" s="218">
        <v>0.23</v>
      </c>
      <c r="AI117" s="218">
        <v>0.14000000000000001</v>
      </c>
      <c r="AJ117" s="218">
        <v>5</v>
      </c>
      <c r="AV117" s="218">
        <v>3.38</v>
      </c>
      <c r="AW117" s="251">
        <f t="shared" si="8"/>
        <v>-3.38</v>
      </c>
      <c r="AX117" s="218">
        <v>0.42</v>
      </c>
      <c r="AY117" s="218">
        <v>0.14000000000000001</v>
      </c>
      <c r="AZ117" s="218">
        <v>5</v>
      </c>
      <c r="BL117" s="218">
        <v>3.3</v>
      </c>
      <c r="BM117" s="251">
        <f t="shared" si="9"/>
        <v>-3.3</v>
      </c>
      <c r="BN117" s="218">
        <v>0.24</v>
      </c>
      <c r="BO117" s="218">
        <v>0.14000000000000001</v>
      </c>
      <c r="BP117" s="218">
        <v>5</v>
      </c>
    </row>
    <row r="118" spans="2:68">
      <c r="B118" s="218">
        <v>3.45</v>
      </c>
      <c r="C118" s="218">
        <f t="shared" si="5"/>
        <v>-3.45</v>
      </c>
      <c r="D118" s="218">
        <v>0.22</v>
      </c>
      <c r="E118" s="218">
        <v>0.14000000000000001</v>
      </c>
      <c r="F118" s="218">
        <v>5</v>
      </c>
      <c r="Q118" s="218">
        <v>3.5</v>
      </c>
      <c r="R118" s="251">
        <f t="shared" si="6"/>
        <v>-3.5</v>
      </c>
      <c r="S118" s="218">
        <v>0.81</v>
      </c>
      <c r="T118" s="218">
        <v>0.14000000000000001</v>
      </c>
      <c r="U118" s="218">
        <v>5</v>
      </c>
      <c r="AF118" s="218">
        <v>3.42</v>
      </c>
      <c r="AG118" s="251">
        <f t="shared" si="7"/>
        <v>-3.42</v>
      </c>
      <c r="AH118" s="218">
        <v>0.23</v>
      </c>
      <c r="AI118" s="218">
        <v>0.14000000000000001</v>
      </c>
      <c r="AJ118" s="218">
        <v>5</v>
      </c>
      <c r="AV118" s="218">
        <v>3.41</v>
      </c>
      <c r="AW118" s="251">
        <f t="shared" si="8"/>
        <v>-3.41</v>
      </c>
      <c r="AX118" s="218">
        <v>0.41</v>
      </c>
      <c r="AY118" s="218">
        <v>0.14000000000000001</v>
      </c>
      <c r="AZ118" s="218">
        <v>5</v>
      </c>
      <c r="BL118" s="218">
        <v>3.33</v>
      </c>
      <c r="BM118" s="251">
        <f t="shared" si="9"/>
        <v>-3.33</v>
      </c>
      <c r="BN118" s="218">
        <v>0.24</v>
      </c>
      <c r="BO118" s="218">
        <v>0.14000000000000001</v>
      </c>
      <c r="BP118" s="218">
        <v>5</v>
      </c>
    </row>
    <row r="119" spans="2:68">
      <c r="B119" s="218">
        <v>3.47</v>
      </c>
      <c r="C119" s="218">
        <f t="shared" si="5"/>
        <v>-3.47</v>
      </c>
      <c r="D119" s="218">
        <v>0.22</v>
      </c>
      <c r="E119" s="218">
        <v>0.14000000000000001</v>
      </c>
      <c r="F119" s="218">
        <v>5</v>
      </c>
      <c r="Q119" s="218">
        <v>3.52</v>
      </c>
      <c r="R119" s="251">
        <f t="shared" si="6"/>
        <v>-3.52</v>
      </c>
      <c r="S119" s="218">
        <v>0.81</v>
      </c>
      <c r="T119" s="218">
        <v>0.14000000000000001</v>
      </c>
      <c r="U119" s="218">
        <v>5</v>
      </c>
      <c r="AF119" s="218">
        <v>3.44</v>
      </c>
      <c r="AG119" s="251">
        <f t="shared" si="7"/>
        <v>-3.44</v>
      </c>
      <c r="AH119" s="218">
        <v>0.23</v>
      </c>
      <c r="AI119" s="218">
        <v>0.14000000000000001</v>
      </c>
      <c r="AJ119" s="218">
        <v>5</v>
      </c>
      <c r="AV119" s="218">
        <v>3.43</v>
      </c>
      <c r="AW119" s="251">
        <f t="shared" si="8"/>
        <v>-3.43</v>
      </c>
      <c r="AX119" s="218">
        <v>0.4</v>
      </c>
      <c r="AY119" s="218">
        <v>0.14000000000000001</v>
      </c>
      <c r="AZ119" s="218">
        <v>5</v>
      </c>
      <c r="BL119" s="218">
        <v>3.35</v>
      </c>
      <c r="BM119" s="251">
        <f t="shared" si="9"/>
        <v>-3.35</v>
      </c>
      <c r="BN119" s="218">
        <v>0.24</v>
      </c>
      <c r="BO119" s="218">
        <v>0.14000000000000001</v>
      </c>
      <c r="BP119" s="218">
        <v>5</v>
      </c>
    </row>
    <row r="120" spans="2:68">
      <c r="B120" s="218">
        <v>3.5</v>
      </c>
      <c r="C120" s="218">
        <f t="shared" si="5"/>
        <v>-3.5</v>
      </c>
      <c r="D120" s="218">
        <v>0.22</v>
      </c>
      <c r="E120" s="218">
        <v>0.14000000000000001</v>
      </c>
      <c r="F120" s="218">
        <v>5</v>
      </c>
      <c r="Q120" s="218">
        <v>3.55</v>
      </c>
      <c r="R120" s="251">
        <f t="shared" si="6"/>
        <v>-3.55</v>
      </c>
      <c r="S120" s="218">
        <v>0.81</v>
      </c>
      <c r="T120" s="218">
        <v>0.14000000000000001</v>
      </c>
      <c r="U120" s="218">
        <v>5</v>
      </c>
      <c r="AF120" s="218">
        <v>3.47</v>
      </c>
      <c r="AG120" s="251">
        <f t="shared" si="7"/>
        <v>-3.47</v>
      </c>
      <c r="AH120" s="218">
        <v>0.23</v>
      </c>
      <c r="AI120" s="218">
        <v>0.14000000000000001</v>
      </c>
      <c r="AJ120" s="218">
        <v>5</v>
      </c>
      <c r="AV120" s="218">
        <v>3.46</v>
      </c>
      <c r="AW120" s="251">
        <f t="shared" si="8"/>
        <v>-3.46</v>
      </c>
      <c r="AX120" s="218">
        <v>0.4</v>
      </c>
      <c r="AY120" s="218">
        <v>0.14000000000000001</v>
      </c>
      <c r="AZ120" s="218">
        <v>5</v>
      </c>
      <c r="BL120" s="218">
        <v>3.38</v>
      </c>
      <c r="BM120" s="251">
        <f t="shared" si="9"/>
        <v>-3.38</v>
      </c>
      <c r="BN120" s="218">
        <v>0.24</v>
      </c>
      <c r="BO120" s="218">
        <v>0.14000000000000001</v>
      </c>
      <c r="BP120" s="218">
        <v>5</v>
      </c>
    </row>
    <row r="121" spans="2:68">
      <c r="B121" s="218">
        <v>3.52</v>
      </c>
      <c r="C121" s="218">
        <f t="shared" si="5"/>
        <v>-3.52</v>
      </c>
      <c r="D121" s="218">
        <v>0.22</v>
      </c>
      <c r="E121" s="218">
        <v>0.14000000000000001</v>
      </c>
      <c r="F121" s="218">
        <v>5</v>
      </c>
      <c r="Q121" s="218">
        <v>3.57</v>
      </c>
      <c r="R121" s="251">
        <f t="shared" si="6"/>
        <v>-3.57</v>
      </c>
      <c r="S121" s="218">
        <v>0.81</v>
      </c>
      <c r="T121" s="218">
        <v>0.14000000000000001</v>
      </c>
      <c r="U121" s="218">
        <v>5</v>
      </c>
      <c r="AF121" s="218">
        <v>3.49</v>
      </c>
      <c r="AG121" s="251">
        <f t="shared" si="7"/>
        <v>-3.49</v>
      </c>
      <c r="AH121" s="218">
        <v>0.23</v>
      </c>
      <c r="AI121" s="218">
        <v>0.14000000000000001</v>
      </c>
      <c r="AJ121" s="218">
        <v>5</v>
      </c>
      <c r="AV121" s="218">
        <v>3.48</v>
      </c>
      <c r="AW121" s="251">
        <f t="shared" si="8"/>
        <v>-3.48</v>
      </c>
      <c r="AX121" s="218">
        <v>0.39</v>
      </c>
      <c r="AY121" s="218">
        <v>0.14000000000000001</v>
      </c>
      <c r="AZ121" s="218">
        <v>5</v>
      </c>
      <c r="BL121" s="218">
        <v>3.4</v>
      </c>
      <c r="BM121" s="251">
        <f t="shared" si="9"/>
        <v>-3.4</v>
      </c>
      <c r="BN121" s="218">
        <v>0.24</v>
      </c>
      <c r="BO121" s="218">
        <v>0.14000000000000001</v>
      </c>
      <c r="BP121" s="218">
        <v>5</v>
      </c>
    </row>
    <row r="122" spans="2:68">
      <c r="B122" s="218">
        <v>3.55</v>
      </c>
      <c r="C122" s="218">
        <f t="shared" si="5"/>
        <v>-3.55</v>
      </c>
      <c r="D122" s="218">
        <v>0.22</v>
      </c>
      <c r="E122" s="218">
        <v>0.14000000000000001</v>
      </c>
      <c r="F122" s="218">
        <v>5</v>
      </c>
      <c r="Q122" s="218">
        <v>3.6</v>
      </c>
      <c r="R122" s="251">
        <f t="shared" si="6"/>
        <v>-3.6</v>
      </c>
      <c r="S122" s="218">
        <v>0.81</v>
      </c>
      <c r="T122" s="218">
        <v>0.14000000000000001</v>
      </c>
      <c r="U122" s="218">
        <v>5</v>
      </c>
      <c r="AF122" s="218">
        <v>3.52</v>
      </c>
      <c r="AG122" s="251">
        <f t="shared" si="7"/>
        <v>-3.52</v>
      </c>
      <c r="AH122" s="218">
        <v>0.23</v>
      </c>
      <c r="AI122" s="218">
        <v>0.14000000000000001</v>
      </c>
      <c r="AJ122" s="218">
        <v>5</v>
      </c>
      <c r="AV122" s="218">
        <v>3.51</v>
      </c>
      <c r="AW122" s="251">
        <f t="shared" si="8"/>
        <v>-3.51</v>
      </c>
      <c r="AX122" s="218">
        <v>0.38</v>
      </c>
      <c r="AY122" s="218">
        <v>0.14000000000000001</v>
      </c>
      <c r="AZ122" s="218">
        <v>5</v>
      </c>
      <c r="BL122" s="218">
        <v>3.43</v>
      </c>
      <c r="BM122" s="251">
        <f t="shared" si="9"/>
        <v>-3.43</v>
      </c>
      <c r="BN122" s="218">
        <v>0.24</v>
      </c>
      <c r="BO122" s="218">
        <v>0.14000000000000001</v>
      </c>
      <c r="BP122" s="218">
        <v>5</v>
      </c>
    </row>
    <row r="123" spans="2:68">
      <c r="B123" s="218">
        <v>3.57</v>
      </c>
      <c r="C123" s="218">
        <f t="shared" si="5"/>
        <v>-3.57</v>
      </c>
      <c r="D123" s="218">
        <v>0.22</v>
      </c>
      <c r="E123" s="218">
        <v>0.14000000000000001</v>
      </c>
      <c r="F123" s="218">
        <v>5</v>
      </c>
      <c r="Q123" s="218">
        <v>3.62</v>
      </c>
      <c r="R123" s="251">
        <f t="shared" si="6"/>
        <v>-3.62</v>
      </c>
      <c r="S123" s="218">
        <v>0.81</v>
      </c>
      <c r="T123" s="218">
        <v>0.14000000000000001</v>
      </c>
      <c r="U123" s="218">
        <v>5</v>
      </c>
      <c r="AF123" s="218">
        <v>3.54</v>
      </c>
      <c r="AG123" s="251">
        <f t="shared" si="7"/>
        <v>-3.54</v>
      </c>
      <c r="AH123" s="218">
        <v>0.23</v>
      </c>
      <c r="AI123" s="218">
        <v>0.14000000000000001</v>
      </c>
      <c r="AJ123" s="218">
        <v>5</v>
      </c>
      <c r="AV123" s="218">
        <v>3.53</v>
      </c>
      <c r="AW123" s="251">
        <f t="shared" si="8"/>
        <v>-3.53</v>
      </c>
      <c r="AX123" s="218">
        <v>0.38</v>
      </c>
      <c r="AY123" s="218">
        <v>0.14000000000000001</v>
      </c>
      <c r="AZ123" s="218">
        <v>5</v>
      </c>
      <c r="BL123" s="218">
        <v>3.45</v>
      </c>
      <c r="BM123" s="251">
        <f t="shared" si="9"/>
        <v>-3.45</v>
      </c>
      <c r="BN123" s="218">
        <v>0.24</v>
      </c>
      <c r="BO123" s="218">
        <v>0.14000000000000001</v>
      </c>
      <c r="BP123" s="218">
        <v>5</v>
      </c>
    </row>
    <row r="124" spans="2:68">
      <c r="B124" s="218">
        <v>3.6</v>
      </c>
      <c r="C124" s="218">
        <f t="shared" si="5"/>
        <v>-3.6</v>
      </c>
      <c r="D124" s="218">
        <v>0.22</v>
      </c>
      <c r="E124" s="218">
        <v>0.14000000000000001</v>
      </c>
      <c r="F124" s="218">
        <v>5</v>
      </c>
      <c r="Q124" s="218">
        <v>3.65</v>
      </c>
      <c r="R124" s="251">
        <f t="shared" si="6"/>
        <v>-3.65</v>
      </c>
      <c r="S124" s="218">
        <v>0.81</v>
      </c>
      <c r="T124" s="218">
        <v>0.14000000000000001</v>
      </c>
      <c r="U124" s="218">
        <v>5</v>
      </c>
      <c r="AF124" s="218">
        <v>3.57</v>
      </c>
      <c r="AG124" s="251">
        <f t="shared" si="7"/>
        <v>-3.57</v>
      </c>
      <c r="AH124" s="218">
        <v>0.23</v>
      </c>
      <c r="AI124" s="218">
        <v>0.14000000000000001</v>
      </c>
      <c r="AJ124" s="218">
        <v>5</v>
      </c>
      <c r="AV124" s="218">
        <v>3.56</v>
      </c>
      <c r="AW124" s="251">
        <f t="shared" si="8"/>
        <v>-3.56</v>
      </c>
      <c r="AX124" s="218">
        <v>0.37</v>
      </c>
      <c r="AY124" s="218">
        <v>0.14000000000000001</v>
      </c>
      <c r="AZ124" s="218">
        <v>5</v>
      </c>
      <c r="BL124" s="218">
        <v>3.48</v>
      </c>
      <c r="BM124" s="251">
        <f t="shared" si="9"/>
        <v>-3.48</v>
      </c>
      <c r="BN124" s="218">
        <v>0.24</v>
      </c>
      <c r="BO124" s="218">
        <v>0.14000000000000001</v>
      </c>
      <c r="BP124" s="218">
        <v>5</v>
      </c>
    </row>
    <row r="125" spans="2:68">
      <c r="B125" s="218">
        <v>3.62</v>
      </c>
      <c r="C125" s="218">
        <f t="shared" si="5"/>
        <v>-3.62</v>
      </c>
      <c r="D125" s="218">
        <v>0.22</v>
      </c>
      <c r="E125" s="218">
        <v>0.14000000000000001</v>
      </c>
      <c r="F125" s="218">
        <v>5</v>
      </c>
      <c r="Q125" s="218">
        <v>3.67</v>
      </c>
      <c r="R125" s="251">
        <f t="shared" si="6"/>
        <v>-3.67</v>
      </c>
      <c r="S125" s="218">
        <v>0.81</v>
      </c>
      <c r="T125" s="218">
        <v>0.14000000000000001</v>
      </c>
      <c r="U125" s="218">
        <v>5</v>
      </c>
      <c r="AF125" s="218">
        <v>3.59</v>
      </c>
      <c r="AG125" s="251">
        <f t="shared" si="7"/>
        <v>-3.59</v>
      </c>
      <c r="AH125" s="218">
        <v>0.23</v>
      </c>
      <c r="AI125" s="218">
        <v>0.14000000000000001</v>
      </c>
      <c r="AJ125" s="218">
        <v>5</v>
      </c>
      <c r="AV125" s="218">
        <v>3.58</v>
      </c>
      <c r="AW125" s="251">
        <f t="shared" si="8"/>
        <v>-3.58</v>
      </c>
      <c r="AX125" s="218">
        <v>0.37</v>
      </c>
      <c r="AY125" s="218">
        <v>0.14000000000000001</v>
      </c>
      <c r="AZ125" s="218">
        <v>5</v>
      </c>
      <c r="BL125" s="218">
        <v>3.5</v>
      </c>
      <c r="BM125" s="251">
        <f t="shared" si="9"/>
        <v>-3.5</v>
      </c>
      <c r="BN125" s="218">
        <v>0.24</v>
      </c>
      <c r="BO125" s="218">
        <v>0.14000000000000001</v>
      </c>
      <c r="BP125" s="218">
        <v>5</v>
      </c>
    </row>
    <row r="126" spans="2:68">
      <c r="B126" s="218">
        <v>3.65</v>
      </c>
      <c r="C126" s="218">
        <f t="shared" si="5"/>
        <v>-3.65</v>
      </c>
      <c r="D126" s="218">
        <v>0.22</v>
      </c>
      <c r="E126" s="218">
        <v>0.14000000000000001</v>
      </c>
      <c r="F126" s="218">
        <v>5</v>
      </c>
      <c r="Q126" s="218">
        <v>3.7</v>
      </c>
      <c r="R126" s="251">
        <f t="shared" si="6"/>
        <v>-3.7</v>
      </c>
      <c r="S126" s="218">
        <v>0.81</v>
      </c>
      <c r="T126" s="218">
        <v>0.14000000000000001</v>
      </c>
      <c r="U126" s="218">
        <v>5</v>
      </c>
      <c r="AF126" s="218">
        <v>3.62</v>
      </c>
      <c r="AG126" s="251">
        <f t="shared" si="7"/>
        <v>-3.62</v>
      </c>
      <c r="AH126" s="218">
        <v>0.23</v>
      </c>
      <c r="AI126" s="218">
        <v>0.14000000000000001</v>
      </c>
      <c r="AJ126" s="218">
        <v>5</v>
      </c>
      <c r="AV126" s="218">
        <v>3.61</v>
      </c>
      <c r="AW126" s="251">
        <f t="shared" si="8"/>
        <v>-3.61</v>
      </c>
      <c r="AX126" s="218">
        <v>0.36</v>
      </c>
      <c r="AY126" s="218">
        <v>0.14000000000000001</v>
      </c>
      <c r="AZ126" s="218">
        <v>5</v>
      </c>
      <c r="BL126" s="218">
        <v>3.53</v>
      </c>
      <c r="BM126" s="251">
        <f t="shared" si="9"/>
        <v>-3.53</v>
      </c>
      <c r="BN126" s="218">
        <v>0.24</v>
      </c>
      <c r="BO126" s="218">
        <v>0.14000000000000001</v>
      </c>
      <c r="BP126" s="218">
        <v>5</v>
      </c>
    </row>
    <row r="127" spans="2:68">
      <c r="B127" s="218">
        <v>3.67</v>
      </c>
      <c r="C127" s="218">
        <f t="shared" si="5"/>
        <v>-3.67</v>
      </c>
      <c r="D127" s="218">
        <v>0.22</v>
      </c>
      <c r="E127" s="218">
        <v>0.14000000000000001</v>
      </c>
      <c r="F127" s="218">
        <v>5</v>
      </c>
      <c r="Q127" s="218">
        <v>3.72</v>
      </c>
      <c r="R127" s="251">
        <f t="shared" si="6"/>
        <v>-3.72</v>
      </c>
      <c r="S127" s="218">
        <v>0.81</v>
      </c>
      <c r="T127" s="218">
        <v>0.14000000000000001</v>
      </c>
      <c r="U127" s="218">
        <v>5</v>
      </c>
      <c r="AF127" s="218">
        <v>3.64</v>
      </c>
      <c r="AG127" s="251">
        <f t="shared" si="7"/>
        <v>-3.64</v>
      </c>
      <c r="AH127" s="218">
        <v>0.24</v>
      </c>
      <c r="AI127" s="218">
        <v>0.14000000000000001</v>
      </c>
      <c r="AJ127" s="218">
        <v>5</v>
      </c>
      <c r="AV127" s="218">
        <v>3.63</v>
      </c>
      <c r="AW127" s="251">
        <f t="shared" si="8"/>
        <v>-3.63</v>
      </c>
      <c r="AX127" s="218">
        <v>0.36</v>
      </c>
      <c r="AY127" s="218">
        <v>0.14000000000000001</v>
      </c>
      <c r="AZ127" s="218">
        <v>5</v>
      </c>
      <c r="BL127" s="218">
        <v>3.55</v>
      </c>
      <c r="BM127" s="251">
        <f t="shared" si="9"/>
        <v>-3.55</v>
      </c>
      <c r="BN127" s="218">
        <v>0.24</v>
      </c>
      <c r="BO127" s="218">
        <v>0.14000000000000001</v>
      </c>
      <c r="BP127" s="218">
        <v>5</v>
      </c>
    </row>
    <row r="128" spans="2:68">
      <c r="B128" s="218">
        <v>3.7</v>
      </c>
      <c r="C128" s="218">
        <f t="shared" si="5"/>
        <v>-3.7</v>
      </c>
      <c r="D128" s="218">
        <v>0.22</v>
      </c>
      <c r="E128" s="218">
        <v>0.14000000000000001</v>
      </c>
      <c r="F128" s="218">
        <v>5</v>
      </c>
      <c r="Q128" s="218">
        <v>3.75</v>
      </c>
      <c r="R128" s="251">
        <f t="shared" si="6"/>
        <v>-3.75</v>
      </c>
      <c r="S128" s="218">
        <v>0.81</v>
      </c>
      <c r="T128" s="218">
        <v>0.14000000000000001</v>
      </c>
      <c r="U128" s="218">
        <v>5</v>
      </c>
      <c r="AF128" s="218">
        <v>3.67</v>
      </c>
      <c r="AG128" s="251">
        <f t="shared" si="7"/>
        <v>-3.67</v>
      </c>
      <c r="AH128" s="218">
        <v>0.24</v>
      </c>
      <c r="AI128" s="218">
        <v>0.14000000000000001</v>
      </c>
      <c r="AJ128" s="218">
        <v>5</v>
      </c>
      <c r="AV128" s="218">
        <v>3.66</v>
      </c>
      <c r="AW128" s="251">
        <f t="shared" si="8"/>
        <v>-3.66</v>
      </c>
      <c r="AX128" s="218">
        <v>0.35</v>
      </c>
      <c r="AY128" s="218">
        <v>0.14000000000000001</v>
      </c>
      <c r="AZ128" s="218">
        <v>5</v>
      </c>
      <c r="BL128" s="218">
        <v>3.58</v>
      </c>
      <c r="BM128" s="251">
        <f t="shared" si="9"/>
        <v>-3.58</v>
      </c>
      <c r="BN128" s="218">
        <v>0.24</v>
      </c>
      <c r="BO128" s="218">
        <v>0.14000000000000001</v>
      </c>
      <c r="BP128" s="218">
        <v>5</v>
      </c>
    </row>
    <row r="129" spans="2:68">
      <c r="B129" s="218">
        <v>3.72</v>
      </c>
      <c r="C129" s="218">
        <f t="shared" si="5"/>
        <v>-3.72</v>
      </c>
      <c r="D129" s="218">
        <v>0.22</v>
      </c>
      <c r="E129" s="218">
        <v>0.14000000000000001</v>
      </c>
      <c r="F129" s="218">
        <v>5</v>
      </c>
      <c r="Q129" s="218">
        <v>3.77</v>
      </c>
      <c r="R129" s="251">
        <f t="shared" si="6"/>
        <v>-3.77</v>
      </c>
      <c r="S129" s="218">
        <v>0.81</v>
      </c>
      <c r="T129" s="218">
        <v>0.14000000000000001</v>
      </c>
      <c r="U129" s="218">
        <v>5</v>
      </c>
      <c r="AF129" s="218">
        <v>3.69</v>
      </c>
      <c r="AG129" s="251">
        <f t="shared" si="7"/>
        <v>-3.69</v>
      </c>
      <c r="AH129" s="218">
        <v>0.24</v>
      </c>
      <c r="AI129" s="218">
        <v>0.14000000000000001</v>
      </c>
      <c r="AJ129" s="218">
        <v>5</v>
      </c>
      <c r="AV129" s="218">
        <v>3.68</v>
      </c>
      <c r="AW129" s="251">
        <f t="shared" si="8"/>
        <v>-3.68</v>
      </c>
      <c r="AX129" s="218">
        <v>0.35</v>
      </c>
      <c r="AY129" s="218">
        <v>0.14000000000000001</v>
      </c>
      <c r="AZ129" s="218">
        <v>5</v>
      </c>
      <c r="BL129" s="218">
        <v>3.6</v>
      </c>
      <c r="BM129" s="251">
        <f t="shared" si="9"/>
        <v>-3.6</v>
      </c>
      <c r="BN129" s="218">
        <v>0.24</v>
      </c>
      <c r="BO129" s="218">
        <v>0.14000000000000001</v>
      </c>
      <c r="BP129" s="218">
        <v>5</v>
      </c>
    </row>
    <row r="130" spans="2:68">
      <c r="B130" s="218">
        <v>3.75</v>
      </c>
      <c r="C130" s="218">
        <f t="shared" si="5"/>
        <v>-3.75</v>
      </c>
      <c r="D130" s="218">
        <v>0.22</v>
      </c>
      <c r="E130" s="218">
        <v>0.14000000000000001</v>
      </c>
      <c r="F130" s="218">
        <v>5</v>
      </c>
      <c r="Q130" s="218">
        <v>3.8</v>
      </c>
      <c r="R130" s="251">
        <f t="shared" si="6"/>
        <v>-3.8</v>
      </c>
      <c r="S130" s="218">
        <v>0.81</v>
      </c>
      <c r="T130" s="218">
        <v>0.14000000000000001</v>
      </c>
      <c r="U130" s="218">
        <v>5</v>
      </c>
      <c r="AF130" s="218">
        <v>3.72</v>
      </c>
      <c r="AG130" s="251">
        <f t="shared" si="7"/>
        <v>-3.72</v>
      </c>
      <c r="AH130" s="218">
        <v>0.24</v>
      </c>
      <c r="AI130" s="218">
        <v>0.14000000000000001</v>
      </c>
      <c r="AJ130" s="218">
        <v>5</v>
      </c>
      <c r="AV130" s="218">
        <v>3.71</v>
      </c>
      <c r="AW130" s="251">
        <f t="shared" si="8"/>
        <v>-3.71</v>
      </c>
      <c r="AX130" s="218">
        <v>0.34</v>
      </c>
      <c r="AY130" s="218">
        <v>0.14000000000000001</v>
      </c>
      <c r="AZ130" s="218">
        <v>5</v>
      </c>
      <c r="BL130" s="218">
        <v>3.63</v>
      </c>
      <c r="BM130" s="251">
        <f t="shared" si="9"/>
        <v>-3.63</v>
      </c>
      <c r="BN130" s="218">
        <v>0.23</v>
      </c>
      <c r="BO130" s="218">
        <v>0.14000000000000001</v>
      </c>
      <c r="BP130" s="218">
        <v>5</v>
      </c>
    </row>
    <row r="131" spans="2:68">
      <c r="B131" s="218">
        <v>3.77</v>
      </c>
      <c r="C131" s="218">
        <f t="shared" si="5"/>
        <v>-3.77</v>
      </c>
      <c r="D131" s="218">
        <v>0.21</v>
      </c>
      <c r="E131" s="218">
        <v>0.14000000000000001</v>
      </c>
      <c r="F131" s="218">
        <v>5</v>
      </c>
      <c r="Q131" s="218">
        <v>3.82</v>
      </c>
      <c r="R131" s="251">
        <f t="shared" si="6"/>
        <v>-3.82</v>
      </c>
      <c r="S131" s="218">
        <v>0.68</v>
      </c>
      <c r="T131" s="218">
        <v>0.14000000000000001</v>
      </c>
      <c r="U131" s="218">
        <v>5</v>
      </c>
      <c r="AF131" s="218">
        <v>3.74</v>
      </c>
      <c r="AG131" s="251">
        <f t="shared" si="7"/>
        <v>-3.74</v>
      </c>
      <c r="AH131" s="218">
        <v>0.24</v>
      </c>
      <c r="AI131" s="218">
        <v>0.14000000000000001</v>
      </c>
      <c r="AJ131" s="218">
        <v>5</v>
      </c>
      <c r="AV131" s="218">
        <v>3.73</v>
      </c>
      <c r="AW131" s="251">
        <f t="shared" si="8"/>
        <v>-3.73</v>
      </c>
      <c r="AX131" s="218">
        <v>0.34</v>
      </c>
      <c r="AY131" s="218">
        <v>0.14000000000000001</v>
      </c>
      <c r="AZ131" s="218">
        <v>5</v>
      </c>
      <c r="BL131" s="218">
        <v>3.65</v>
      </c>
      <c r="BM131" s="251">
        <f t="shared" si="9"/>
        <v>-3.65</v>
      </c>
      <c r="BN131" s="218">
        <v>0.23</v>
      </c>
      <c r="BO131" s="218">
        <v>0.14000000000000001</v>
      </c>
      <c r="BP131" s="218">
        <v>5</v>
      </c>
    </row>
    <row r="132" spans="2:68">
      <c r="B132" s="218">
        <v>3.8</v>
      </c>
      <c r="C132" s="218">
        <f t="shared" si="5"/>
        <v>-3.8</v>
      </c>
      <c r="D132" s="218">
        <v>0.21</v>
      </c>
      <c r="E132" s="218">
        <v>0.14000000000000001</v>
      </c>
      <c r="F132" s="218">
        <v>5</v>
      </c>
      <c r="Q132" s="218">
        <v>3.85</v>
      </c>
      <c r="R132" s="251">
        <f t="shared" si="6"/>
        <v>-3.85</v>
      </c>
      <c r="S132" s="218">
        <v>0.63</v>
      </c>
      <c r="T132" s="218">
        <v>0.14000000000000001</v>
      </c>
      <c r="U132" s="218">
        <v>5</v>
      </c>
      <c r="AF132" s="218">
        <v>3.77</v>
      </c>
      <c r="AG132" s="251">
        <f t="shared" si="7"/>
        <v>-3.77</v>
      </c>
      <c r="AH132" s="218">
        <v>0.24</v>
      </c>
      <c r="AI132" s="218">
        <v>0.14000000000000001</v>
      </c>
      <c r="AJ132" s="218">
        <v>5</v>
      </c>
      <c r="AV132" s="218">
        <v>3.76</v>
      </c>
      <c r="AW132" s="251">
        <f t="shared" si="8"/>
        <v>-3.76</v>
      </c>
      <c r="AX132" s="218">
        <v>0.33</v>
      </c>
      <c r="AY132" s="218">
        <v>0.14000000000000001</v>
      </c>
      <c r="AZ132" s="218">
        <v>5</v>
      </c>
      <c r="BL132" s="218">
        <v>3.68</v>
      </c>
      <c r="BM132" s="251">
        <f t="shared" si="9"/>
        <v>-3.68</v>
      </c>
      <c r="BN132" s="218">
        <v>0.23</v>
      </c>
      <c r="BO132" s="218">
        <v>0.14000000000000001</v>
      </c>
      <c r="BP132" s="218">
        <v>5</v>
      </c>
    </row>
    <row r="133" spans="2:68">
      <c r="B133" s="218">
        <v>3.82</v>
      </c>
      <c r="C133" s="218">
        <f t="shared" si="5"/>
        <v>-3.82</v>
      </c>
      <c r="D133" s="218">
        <v>0.21</v>
      </c>
      <c r="E133" s="218">
        <v>0.14000000000000001</v>
      </c>
      <c r="F133" s="218">
        <v>5</v>
      </c>
      <c r="Q133" s="218">
        <v>3.87</v>
      </c>
      <c r="R133" s="251">
        <f t="shared" si="6"/>
        <v>-3.87</v>
      </c>
      <c r="S133" s="218">
        <v>0.6</v>
      </c>
      <c r="T133" s="218">
        <v>0.14000000000000001</v>
      </c>
      <c r="U133" s="218">
        <v>5</v>
      </c>
      <c r="AF133" s="218">
        <v>3.79</v>
      </c>
      <c r="AG133" s="251">
        <f t="shared" si="7"/>
        <v>-3.79</v>
      </c>
      <c r="AH133" s="218">
        <v>0.24</v>
      </c>
      <c r="AI133" s="218">
        <v>0.14000000000000001</v>
      </c>
      <c r="AJ133" s="218">
        <v>5</v>
      </c>
      <c r="AV133" s="218">
        <v>3.78</v>
      </c>
      <c r="AW133" s="251">
        <f t="shared" si="8"/>
        <v>-3.78</v>
      </c>
      <c r="AX133" s="218">
        <v>0.33</v>
      </c>
      <c r="AY133" s="218">
        <v>0.14000000000000001</v>
      </c>
      <c r="AZ133" s="218">
        <v>5</v>
      </c>
      <c r="BL133" s="218">
        <v>3.7</v>
      </c>
      <c r="BM133" s="251">
        <f t="shared" si="9"/>
        <v>-3.7</v>
      </c>
      <c r="BN133" s="218">
        <v>0.23</v>
      </c>
      <c r="BO133" s="218">
        <v>0.14000000000000001</v>
      </c>
      <c r="BP133" s="218">
        <v>5</v>
      </c>
    </row>
    <row r="134" spans="2:68">
      <c r="B134" s="218">
        <v>3.85</v>
      </c>
      <c r="C134" s="218">
        <f t="shared" ref="C134:C197" si="10">$F$2-B134</f>
        <v>-3.85</v>
      </c>
      <c r="D134" s="218">
        <v>0.21</v>
      </c>
      <c r="E134" s="218">
        <v>0.14000000000000001</v>
      </c>
      <c r="F134" s="218">
        <v>5</v>
      </c>
      <c r="Q134" s="218">
        <v>3.9</v>
      </c>
      <c r="R134" s="251">
        <f t="shared" ref="R134:R197" si="11">$U$2-Q134</f>
        <v>-3.9</v>
      </c>
      <c r="S134" s="218">
        <v>0.56999999999999995</v>
      </c>
      <c r="T134" s="218">
        <v>0.14000000000000001</v>
      </c>
      <c r="U134" s="218">
        <v>5</v>
      </c>
      <c r="AF134" s="218">
        <v>3.82</v>
      </c>
      <c r="AG134" s="251">
        <f t="shared" ref="AG134:AG197" si="12">$AJ$2-AF134</f>
        <v>-3.82</v>
      </c>
      <c r="AH134" s="218">
        <v>0.24</v>
      </c>
      <c r="AI134" s="218">
        <v>0.14000000000000001</v>
      </c>
      <c r="AJ134" s="218">
        <v>5</v>
      </c>
      <c r="AV134" s="218">
        <v>3.81</v>
      </c>
      <c r="AW134" s="251">
        <f t="shared" ref="AW134:AW197" si="13">$AZ$2-AV134</f>
        <v>-3.81</v>
      </c>
      <c r="AX134" s="218">
        <v>0.32</v>
      </c>
      <c r="AY134" s="218">
        <v>0.14000000000000001</v>
      </c>
      <c r="AZ134" s="218">
        <v>5</v>
      </c>
      <c r="BL134" s="218">
        <v>3.73</v>
      </c>
      <c r="BM134" s="251">
        <f t="shared" ref="BM134:BM197" si="14">$AZ$2-BL134</f>
        <v>-3.73</v>
      </c>
      <c r="BN134" s="218">
        <v>0.23</v>
      </c>
      <c r="BO134" s="218">
        <v>0.14000000000000001</v>
      </c>
      <c r="BP134" s="218">
        <v>5</v>
      </c>
    </row>
    <row r="135" spans="2:68">
      <c r="B135" s="218">
        <v>3.87</v>
      </c>
      <c r="C135" s="218">
        <f t="shared" si="10"/>
        <v>-3.87</v>
      </c>
      <c r="D135" s="218">
        <v>0.21</v>
      </c>
      <c r="E135" s="218">
        <v>0.14000000000000001</v>
      </c>
      <c r="F135" s="218">
        <v>5</v>
      </c>
      <c r="Q135" s="218">
        <v>3.92</v>
      </c>
      <c r="R135" s="251">
        <f t="shared" si="11"/>
        <v>-3.92</v>
      </c>
      <c r="S135" s="218">
        <v>0.55000000000000004</v>
      </c>
      <c r="T135" s="218">
        <v>0.14000000000000001</v>
      </c>
      <c r="U135" s="218">
        <v>5</v>
      </c>
      <c r="AF135" s="218">
        <v>3.84</v>
      </c>
      <c r="AG135" s="251">
        <f t="shared" si="12"/>
        <v>-3.84</v>
      </c>
      <c r="AH135" s="218">
        <v>0.24</v>
      </c>
      <c r="AI135" s="218">
        <v>0.14000000000000001</v>
      </c>
      <c r="AJ135" s="218">
        <v>5</v>
      </c>
      <c r="AV135" s="218">
        <v>3.83</v>
      </c>
      <c r="AW135" s="251">
        <f t="shared" si="13"/>
        <v>-3.83</v>
      </c>
      <c r="AX135" s="218">
        <v>0.32</v>
      </c>
      <c r="AY135" s="218">
        <v>0.14000000000000001</v>
      </c>
      <c r="AZ135" s="218">
        <v>5</v>
      </c>
      <c r="BL135" s="218">
        <v>3.75</v>
      </c>
      <c r="BM135" s="251">
        <f t="shared" si="14"/>
        <v>-3.75</v>
      </c>
      <c r="BN135" s="218">
        <v>0.23</v>
      </c>
      <c r="BO135" s="218">
        <v>0.14000000000000001</v>
      </c>
      <c r="BP135" s="218">
        <v>5</v>
      </c>
    </row>
    <row r="136" spans="2:68">
      <c r="B136" s="218">
        <v>3.9</v>
      </c>
      <c r="C136" s="218">
        <f t="shared" si="10"/>
        <v>-3.9</v>
      </c>
      <c r="D136" s="218">
        <v>0.21</v>
      </c>
      <c r="E136" s="218">
        <v>0.14000000000000001</v>
      </c>
      <c r="F136" s="218">
        <v>5</v>
      </c>
      <c r="Q136" s="218">
        <v>3.95</v>
      </c>
      <c r="R136" s="251">
        <f t="shared" si="11"/>
        <v>-3.95</v>
      </c>
      <c r="S136" s="218">
        <v>0.53</v>
      </c>
      <c r="T136" s="218">
        <v>0.14000000000000001</v>
      </c>
      <c r="U136" s="218">
        <v>5</v>
      </c>
      <c r="AF136" s="218">
        <v>3.87</v>
      </c>
      <c r="AG136" s="251">
        <f t="shared" si="12"/>
        <v>-3.87</v>
      </c>
      <c r="AH136" s="218">
        <v>0.24</v>
      </c>
      <c r="AI136" s="218">
        <v>0.14000000000000001</v>
      </c>
      <c r="AJ136" s="218">
        <v>5</v>
      </c>
      <c r="AV136" s="218">
        <v>3.86</v>
      </c>
      <c r="AW136" s="251">
        <f t="shared" si="13"/>
        <v>-3.86</v>
      </c>
      <c r="AX136" s="218">
        <v>0.31</v>
      </c>
      <c r="AY136" s="218">
        <v>0.14000000000000001</v>
      </c>
      <c r="AZ136" s="218">
        <v>5</v>
      </c>
      <c r="BL136" s="218">
        <v>3.78</v>
      </c>
      <c r="BM136" s="251">
        <f t="shared" si="14"/>
        <v>-3.78</v>
      </c>
      <c r="BN136" s="218">
        <v>0.23</v>
      </c>
      <c r="BO136" s="218">
        <v>0.14000000000000001</v>
      </c>
      <c r="BP136" s="218">
        <v>5</v>
      </c>
    </row>
    <row r="137" spans="2:68">
      <c r="B137" s="218">
        <v>3.92</v>
      </c>
      <c r="C137" s="218">
        <f t="shared" si="10"/>
        <v>-3.92</v>
      </c>
      <c r="D137" s="218">
        <v>0.21</v>
      </c>
      <c r="E137" s="218">
        <v>0.14000000000000001</v>
      </c>
      <c r="F137" s="218">
        <v>5</v>
      </c>
      <c r="Q137" s="218">
        <v>3.97</v>
      </c>
      <c r="R137" s="251">
        <f t="shared" si="11"/>
        <v>-3.97</v>
      </c>
      <c r="S137" s="218">
        <v>0.52</v>
      </c>
      <c r="T137" s="218">
        <v>0.14000000000000001</v>
      </c>
      <c r="U137" s="218">
        <v>5</v>
      </c>
      <c r="AF137" s="218">
        <v>3.89</v>
      </c>
      <c r="AG137" s="251">
        <f t="shared" si="12"/>
        <v>-3.89</v>
      </c>
      <c r="AH137" s="218">
        <v>0.24</v>
      </c>
      <c r="AI137" s="218">
        <v>0.14000000000000001</v>
      </c>
      <c r="AJ137" s="218">
        <v>5</v>
      </c>
      <c r="AV137" s="218">
        <v>3.88</v>
      </c>
      <c r="AW137" s="251">
        <f t="shared" si="13"/>
        <v>-3.88</v>
      </c>
      <c r="AX137" s="218">
        <v>0.31</v>
      </c>
      <c r="AY137" s="218">
        <v>0.14000000000000001</v>
      </c>
      <c r="AZ137" s="218">
        <v>5</v>
      </c>
      <c r="BL137" s="218">
        <v>3.8</v>
      </c>
      <c r="BM137" s="251">
        <f t="shared" si="14"/>
        <v>-3.8</v>
      </c>
      <c r="BN137" s="218">
        <v>0.23</v>
      </c>
      <c r="BO137" s="218">
        <v>0.14000000000000001</v>
      </c>
      <c r="BP137" s="218">
        <v>5</v>
      </c>
    </row>
    <row r="138" spans="2:68">
      <c r="B138" s="218">
        <v>3.95</v>
      </c>
      <c r="C138" s="218">
        <f t="shared" si="10"/>
        <v>-3.95</v>
      </c>
      <c r="D138" s="218">
        <v>0.21</v>
      </c>
      <c r="E138" s="218">
        <v>0.14000000000000001</v>
      </c>
      <c r="F138" s="218">
        <v>5</v>
      </c>
      <c r="Q138" s="218">
        <v>4</v>
      </c>
      <c r="R138" s="251">
        <f t="shared" si="11"/>
        <v>-4</v>
      </c>
      <c r="S138" s="218">
        <v>0.5</v>
      </c>
      <c r="T138" s="218">
        <v>0.14000000000000001</v>
      </c>
      <c r="U138" s="218">
        <v>5</v>
      </c>
      <c r="AF138" s="218">
        <v>3.92</v>
      </c>
      <c r="AG138" s="251">
        <f t="shared" si="12"/>
        <v>-3.92</v>
      </c>
      <c r="AH138" s="218">
        <v>0.25</v>
      </c>
      <c r="AI138" s="218">
        <v>0.14000000000000001</v>
      </c>
      <c r="AJ138" s="218">
        <v>5</v>
      </c>
      <c r="AV138" s="218">
        <v>3.91</v>
      </c>
      <c r="AW138" s="251">
        <f t="shared" si="13"/>
        <v>-3.91</v>
      </c>
      <c r="AX138" s="218">
        <v>0.3</v>
      </c>
      <c r="AY138" s="218">
        <v>0.14000000000000001</v>
      </c>
      <c r="AZ138" s="218">
        <v>5</v>
      </c>
      <c r="BL138" s="218">
        <v>3.83</v>
      </c>
      <c r="BM138" s="251">
        <f t="shared" si="14"/>
        <v>-3.83</v>
      </c>
      <c r="BN138" s="218">
        <v>0.23</v>
      </c>
      <c r="BO138" s="218">
        <v>0.14000000000000001</v>
      </c>
      <c r="BP138" s="218">
        <v>5</v>
      </c>
    </row>
    <row r="139" spans="2:68">
      <c r="B139" s="218">
        <v>3.97</v>
      </c>
      <c r="C139" s="218">
        <f t="shared" si="10"/>
        <v>-3.97</v>
      </c>
      <c r="D139" s="218">
        <v>0.21</v>
      </c>
      <c r="E139" s="218">
        <v>0.14000000000000001</v>
      </c>
      <c r="F139" s="218">
        <v>5</v>
      </c>
      <c r="Q139" s="218">
        <v>4.0199999999999996</v>
      </c>
      <c r="R139" s="251">
        <f t="shared" si="11"/>
        <v>-4.0199999999999996</v>
      </c>
      <c r="S139" s="218">
        <v>0.49</v>
      </c>
      <c r="T139" s="218">
        <v>0.14000000000000001</v>
      </c>
      <c r="U139" s="218">
        <v>5</v>
      </c>
      <c r="AF139" s="218">
        <v>3.94</v>
      </c>
      <c r="AG139" s="251">
        <f t="shared" si="12"/>
        <v>-3.94</v>
      </c>
      <c r="AH139" s="218">
        <v>0.25</v>
      </c>
      <c r="AI139" s="218">
        <v>0.14000000000000001</v>
      </c>
      <c r="AJ139" s="218">
        <v>5</v>
      </c>
      <c r="AV139" s="218">
        <v>3.93</v>
      </c>
      <c r="AW139" s="251">
        <f t="shared" si="13"/>
        <v>-3.93</v>
      </c>
      <c r="AX139" s="218">
        <v>0.3</v>
      </c>
      <c r="AY139" s="218">
        <v>0.14000000000000001</v>
      </c>
      <c r="AZ139" s="218">
        <v>5</v>
      </c>
      <c r="BL139" s="218">
        <v>3.85</v>
      </c>
      <c r="BM139" s="251">
        <f t="shared" si="14"/>
        <v>-3.85</v>
      </c>
      <c r="BN139" s="218">
        <v>0.23</v>
      </c>
      <c r="BO139" s="218">
        <v>0.14000000000000001</v>
      </c>
      <c r="BP139" s="218">
        <v>5</v>
      </c>
    </row>
    <row r="140" spans="2:68">
      <c r="B140" s="218">
        <v>4</v>
      </c>
      <c r="C140" s="218">
        <f t="shared" si="10"/>
        <v>-4</v>
      </c>
      <c r="D140" s="218">
        <v>0.21</v>
      </c>
      <c r="E140" s="218">
        <v>0.14000000000000001</v>
      </c>
      <c r="F140" s="218">
        <v>5</v>
      </c>
      <c r="Q140" s="218">
        <v>4.05</v>
      </c>
      <c r="R140" s="251">
        <f t="shared" si="11"/>
        <v>-4.05</v>
      </c>
      <c r="S140" s="218">
        <v>0.48</v>
      </c>
      <c r="T140" s="218">
        <v>0.14000000000000001</v>
      </c>
      <c r="U140" s="218">
        <v>5</v>
      </c>
      <c r="AF140" s="218">
        <v>3.97</v>
      </c>
      <c r="AG140" s="251">
        <f t="shared" si="12"/>
        <v>-3.97</v>
      </c>
      <c r="AH140" s="218">
        <v>0.25</v>
      </c>
      <c r="AI140" s="218">
        <v>0.14000000000000001</v>
      </c>
      <c r="AJ140" s="218">
        <v>5</v>
      </c>
      <c r="AV140" s="218">
        <v>3.96</v>
      </c>
      <c r="AW140" s="251">
        <f t="shared" si="13"/>
        <v>-3.96</v>
      </c>
      <c r="AX140" s="218">
        <v>0.3</v>
      </c>
      <c r="AY140" s="218">
        <v>0.14000000000000001</v>
      </c>
      <c r="AZ140" s="218">
        <v>5</v>
      </c>
      <c r="BL140" s="218">
        <v>3.88</v>
      </c>
      <c r="BM140" s="251">
        <f t="shared" si="14"/>
        <v>-3.88</v>
      </c>
      <c r="BN140" s="218">
        <v>0.23</v>
      </c>
      <c r="BO140" s="218">
        <v>0.14000000000000001</v>
      </c>
      <c r="BP140" s="218">
        <v>5</v>
      </c>
    </row>
    <row r="141" spans="2:68">
      <c r="B141" s="218">
        <v>4.0199999999999996</v>
      </c>
      <c r="C141" s="218">
        <f t="shared" si="10"/>
        <v>-4.0199999999999996</v>
      </c>
      <c r="D141" s="218">
        <v>0.21</v>
      </c>
      <c r="E141" s="218">
        <v>0.14000000000000001</v>
      </c>
      <c r="F141" s="218">
        <v>5</v>
      </c>
      <c r="Q141" s="218">
        <v>4.07</v>
      </c>
      <c r="R141" s="251">
        <f t="shared" si="11"/>
        <v>-4.07</v>
      </c>
      <c r="S141" s="218">
        <v>0.46</v>
      </c>
      <c r="T141" s="218">
        <v>0.14000000000000001</v>
      </c>
      <c r="U141" s="218">
        <v>5</v>
      </c>
      <c r="AF141" s="218">
        <v>3.99</v>
      </c>
      <c r="AG141" s="251">
        <f t="shared" si="12"/>
        <v>-3.99</v>
      </c>
      <c r="AH141" s="218">
        <v>0.25</v>
      </c>
      <c r="AI141" s="218">
        <v>0.14000000000000001</v>
      </c>
      <c r="AJ141" s="218">
        <v>5</v>
      </c>
      <c r="AV141" s="218">
        <v>3.98</v>
      </c>
      <c r="AW141" s="251">
        <f t="shared" si="13"/>
        <v>-3.98</v>
      </c>
      <c r="AX141" s="218">
        <v>0.28999999999999998</v>
      </c>
      <c r="AY141" s="218">
        <v>0.14000000000000001</v>
      </c>
      <c r="AZ141" s="218">
        <v>5</v>
      </c>
      <c r="BL141" s="218">
        <v>3.9</v>
      </c>
      <c r="BM141" s="251">
        <f t="shared" si="14"/>
        <v>-3.9</v>
      </c>
      <c r="BN141" s="218">
        <v>0.23</v>
      </c>
      <c r="BO141" s="218">
        <v>0.14000000000000001</v>
      </c>
      <c r="BP141" s="218">
        <v>5</v>
      </c>
    </row>
    <row r="142" spans="2:68">
      <c r="B142" s="218">
        <v>4.05</v>
      </c>
      <c r="C142" s="218">
        <f t="shared" si="10"/>
        <v>-4.05</v>
      </c>
      <c r="D142" s="218">
        <v>0.21</v>
      </c>
      <c r="E142" s="218">
        <v>0.14000000000000001</v>
      </c>
      <c r="F142" s="218">
        <v>5</v>
      </c>
      <c r="Q142" s="218">
        <v>4.0999999999999996</v>
      </c>
      <c r="R142" s="251">
        <f t="shared" si="11"/>
        <v>-4.0999999999999996</v>
      </c>
      <c r="S142" s="218">
        <v>0.45</v>
      </c>
      <c r="T142" s="218">
        <v>0.14000000000000001</v>
      </c>
      <c r="U142" s="218">
        <v>5</v>
      </c>
      <c r="AF142" s="218">
        <v>4.0199999999999996</v>
      </c>
      <c r="AG142" s="251">
        <f t="shared" si="12"/>
        <v>-4.0199999999999996</v>
      </c>
      <c r="AH142" s="218">
        <v>0.25</v>
      </c>
      <c r="AI142" s="218">
        <v>0.14000000000000001</v>
      </c>
      <c r="AJ142" s="218">
        <v>5</v>
      </c>
      <c r="AV142" s="218">
        <v>4.01</v>
      </c>
      <c r="AW142" s="251">
        <f t="shared" si="13"/>
        <v>-4.01</v>
      </c>
      <c r="AX142" s="218">
        <v>0.28999999999999998</v>
      </c>
      <c r="AY142" s="218">
        <v>0.14000000000000001</v>
      </c>
      <c r="AZ142" s="218">
        <v>5</v>
      </c>
      <c r="BL142" s="218">
        <v>3.93</v>
      </c>
      <c r="BM142" s="251">
        <f t="shared" si="14"/>
        <v>-3.93</v>
      </c>
      <c r="BN142" s="218">
        <v>0.23</v>
      </c>
      <c r="BO142" s="218">
        <v>0.14000000000000001</v>
      </c>
      <c r="BP142" s="218">
        <v>5</v>
      </c>
    </row>
    <row r="143" spans="2:68">
      <c r="B143" s="218">
        <v>4.07</v>
      </c>
      <c r="C143" s="218">
        <f t="shared" si="10"/>
        <v>-4.07</v>
      </c>
      <c r="D143" s="218">
        <v>0.21</v>
      </c>
      <c r="E143" s="218">
        <v>0.14000000000000001</v>
      </c>
      <c r="F143" s="218">
        <v>5</v>
      </c>
      <c r="Q143" s="218">
        <v>4.12</v>
      </c>
      <c r="R143" s="251">
        <f t="shared" si="11"/>
        <v>-4.12</v>
      </c>
      <c r="S143" s="218">
        <v>0.44</v>
      </c>
      <c r="T143" s="218">
        <v>0.14000000000000001</v>
      </c>
      <c r="U143" s="218">
        <v>5</v>
      </c>
      <c r="AF143" s="218">
        <v>4.04</v>
      </c>
      <c r="AG143" s="251">
        <f t="shared" si="12"/>
        <v>-4.04</v>
      </c>
      <c r="AH143" s="218">
        <v>0.25</v>
      </c>
      <c r="AI143" s="218">
        <v>0.14000000000000001</v>
      </c>
      <c r="AJ143" s="218">
        <v>5</v>
      </c>
      <c r="AV143" s="218">
        <v>4.03</v>
      </c>
      <c r="AW143" s="251">
        <f t="shared" si="13"/>
        <v>-4.03</v>
      </c>
      <c r="AX143" s="218">
        <v>0.28000000000000003</v>
      </c>
      <c r="AY143" s="218">
        <v>0.14000000000000001</v>
      </c>
      <c r="AZ143" s="218">
        <v>5</v>
      </c>
      <c r="BL143" s="218">
        <v>3.95</v>
      </c>
      <c r="BM143" s="251">
        <f t="shared" si="14"/>
        <v>-3.95</v>
      </c>
      <c r="BN143" s="218">
        <v>0.23</v>
      </c>
      <c r="BO143" s="218">
        <v>0.14000000000000001</v>
      </c>
      <c r="BP143" s="218">
        <v>5</v>
      </c>
    </row>
    <row r="144" spans="2:68">
      <c r="B144" s="218">
        <v>4.0999999999999996</v>
      </c>
      <c r="C144" s="218">
        <f t="shared" si="10"/>
        <v>-4.0999999999999996</v>
      </c>
      <c r="D144" s="218">
        <v>0.21</v>
      </c>
      <c r="E144" s="218">
        <v>0.14000000000000001</v>
      </c>
      <c r="F144" s="218">
        <v>5</v>
      </c>
      <c r="Q144" s="218">
        <v>4.1500000000000004</v>
      </c>
      <c r="R144" s="251">
        <f t="shared" si="11"/>
        <v>-4.1500000000000004</v>
      </c>
      <c r="S144" s="218">
        <v>0.43</v>
      </c>
      <c r="T144" s="218">
        <v>0.14000000000000001</v>
      </c>
      <c r="U144" s="218">
        <v>5</v>
      </c>
      <c r="AF144" s="218">
        <v>4.07</v>
      </c>
      <c r="AG144" s="251">
        <f t="shared" si="12"/>
        <v>-4.07</v>
      </c>
      <c r="AH144" s="218">
        <v>0.25</v>
      </c>
      <c r="AI144" s="218">
        <v>0.14000000000000001</v>
      </c>
      <c r="AJ144" s="218">
        <v>5</v>
      </c>
      <c r="AV144" s="218">
        <v>4.0599999999999996</v>
      </c>
      <c r="AW144" s="251">
        <f t="shared" si="13"/>
        <v>-4.0599999999999996</v>
      </c>
      <c r="AX144" s="218">
        <v>0.28000000000000003</v>
      </c>
      <c r="AY144" s="218">
        <v>0.14000000000000001</v>
      </c>
      <c r="AZ144" s="218">
        <v>5</v>
      </c>
      <c r="BL144" s="218">
        <v>3.98</v>
      </c>
      <c r="BM144" s="251">
        <f t="shared" si="14"/>
        <v>-3.98</v>
      </c>
      <c r="BN144" s="218">
        <v>0.23</v>
      </c>
      <c r="BO144" s="218">
        <v>0.14000000000000001</v>
      </c>
      <c r="BP144" s="218">
        <v>5</v>
      </c>
    </row>
    <row r="145" spans="2:68">
      <c r="B145" s="218">
        <v>4.12</v>
      </c>
      <c r="C145" s="218">
        <f t="shared" si="10"/>
        <v>-4.12</v>
      </c>
      <c r="D145" s="218">
        <v>0.21</v>
      </c>
      <c r="E145" s="218">
        <v>0.14000000000000001</v>
      </c>
      <c r="F145" s="218">
        <v>5</v>
      </c>
      <c r="Q145" s="218">
        <v>4.17</v>
      </c>
      <c r="R145" s="251">
        <f t="shared" si="11"/>
        <v>-4.17</v>
      </c>
      <c r="S145" s="218">
        <v>0.42</v>
      </c>
      <c r="T145" s="218">
        <v>0.14000000000000001</v>
      </c>
      <c r="U145" s="218">
        <v>5</v>
      </c>
      <c r="AF145" s="218">
        <v>4.09</v>
      </c>
      <c r="AG145" s="251">
        <f t="shared" si="12"/>
        <v>-4.09</v>
      </c>
      <c r="AH145" s="218">
        <v>0.25</v>
      </c>
      <c r="AI145" s="218">
        <v>0.14000000000000001</v>
      </c>
      <c r="AJ145" s="218">
        <v>5</v>
      </c>
      <c r="AV145" s="218">
        <v>4.08</v>
      </c>
      <c r="AW145" s="251">
        <f t="shared" si="13"/>
        <v>-4.08</v>
      </c>
      <c r="AX145" s="218">
        <v>0.27</v>
      </c>
      <c r="AY145" s="218">
        <v>0.14000000000000001</v>
      </c>
      <c r="AZ145" s="218">
        <v>5</v>
      </c>
      <c r="BL145" s="218">
        <v>4</v>
      </c>
      <c r="BM145" s="251">
        <f t="shared" si="14"/>
        <v>-4</v>
      </c>
      <c r="BN145" s="218">
        <v>0.23</v>
      </c>
      <c r="BO145" s="218">
        <v>0.14000000000000001</v>
      </c>
      <c r="BP145" s="218">
        <v>5</v>
      </c>
    </row>
    <row r="146" spans="2:68">
      <c r="B146" s="218">
        <v>4.1500000000000004</v>
      </c>
      <c r="C146" s="218">
        <f t="shared" si="10"/>
        <v>-4.1500000000000004</v>
      </c>
      <c r="D146" s="218">
        <v>0.21</v>
      </c>
      <c r="E146" s="218">
        <v>0.14000000000000001</v>
      </c>
      <c r="F146" s="218">
        <v>5</v>
      </c>
      <c r="Q146" s="218">
        <v>4.2</v>
      </c>
      <c r="R146" s="251">
        <f t="shared" si="11"/>
        <v>-4.2</v>
      </c>
      <c r="S146" s="218">
        <v>0.42</v>
      </c>
      <c r="T146" s="218">
        <v>0.14000000000000001</v>
      </c>
      <c r="U146" s="218">
        <v>5</v>
      </c>
      <c r="AF146" s="218">
        <v>4.12</v>
      </c>
      <c r="AG146" s="251">
        <f t="shared" si="12"/>
        <v>-4.12</v>
      </c>
      <c r="AH146" s="218">
        <v>0.25</v>
      </c>
      <c r="AI146" s="218">
        <v>0.14000000000000001</v>
      </c>
      <c r="AJ146" s="218">
        <v>5</v>
      </c>
      <c r="AV146" s="218">
        <v>4.1100000000000003</v>
      </c>
      <c r="AW146" s="251">
        <f t="shared" si="13"/>
        <v>-4.1100000000000003</v>
      </c>
      <c r="AX146" s="218">
        <v>0.27</v>
      </c>
      <c r="AY146" s="218">
        <v>0.14000000000000001</v>
      </c>
      <c r="AZ146" s="218">
        <v>5</v>
      </c>
      <c r="BL146" s="218">
        <v>4.03</v>
      </c>
      <c r="BM146" s="251">
        <f t="shared" si="14"/>
        <v>-4.03</v>
      </c>
      <c r="BN146" s="218">
        <v>0.23</v>
      </c>
      <c r="BO146" s="218">
        <v>0.14000000000000001</v>
      </c>
      <c r="BP146" s="218">
        <v>5</v>
      </c>
    </row>
    <row r="147" spans="2:68">
      <c r="B147" s="218">
        <v>4.17</v>
      </c>
      <c r="C147" s="218">
        <f t="shared" si="10"/>
        <v>-4.17</v>
      </c>
      <c r="D147" s="218">
        <v>0.21</v>
      </c>
      <c r="E147" s="218">
        <v>0.14000000000000001</v>
      </c>
      <c r="F147" s="218">
        <v>5</v>
      </c>
      <c r="Q147" s="218">
        <v>4.22</v>
      </c>
      <c r="R147" s="251">
        <f t="shared" si="11"/>
        <v>-4.22</v>
      </c>
      <c r="S147" s="218">
        <v>0.41</v>
      </c>
      <c r="T147" s="218">
        <v>0.14000000000000001</v>
      </c>
      <c r="U147" s="218">
        <v>5</v>
      </c>
      <c r="AF147" s="218">
        <v>4.1399999999999997</v>
      </c>
      <c r="AG147" s="251">
        <f t="shared" si="12"/>
        <v>-4.1399999999999997</v>
      </c>
      <c r="AH147" s="218">
        <v>0.26</v>
      </c>
      <c r="AI147" s="218">
        <v>0.14000000000000001</v>
      </c>
      <c r="AJ147" s="218">
        <v>5</v>
      </c>
      <c r="AV147" s="218">
        <v>4.13</v>
      </c>
      <c r="AW147" s="251">
        <f t="shared" si="13"/>
        <v>-4.13</v>
      </c>
      <c r="AX147" s="218">
        <v>0.27</v>
      </c>
      <c r="AY147" s="218">
        <v>0.14000000000000001</v>
      </c>
      <c r="AZ147" s="218">
        <v>5</v>
      </c>
      <c r="BL147" s="218">
        <v>4.05</v>
      </c>
      <c r="BM147" s="251">
        <f t="shared" si="14"/>
        <v>-4.05</v>
      </c>
      <c r="BN147" s="218">
        <v>0.23</v>
      </c>
      <c r="BO147" s="218">
        <v>0.14000000000000001</v>
      </c>
      <c r="BP147" s="218">
        <v>5</v>
      </c>
    </row>
    <row r="148" spans="2:68">
      <c r="B148" s="218">
        <v>4.2</v>
      </c>
      <c r="C148" s="218">
        <f t="shared" si="10"/>
        <v>-4.2</v>
      </c>
      <c r="D148" s="218">
        <v>0.2</v>
      </c>
      <c r="E148" s="218">
        <v>0.14000000000000001</v>
      </c>
      <c r="F148" s="218">
        <v>5</v>
      </c>
      <c r="Q148" s="218">
        <v>4.25</v>
      </c>
      <c r="R148" s="251">
        <f t="shared" si="11"/>
        <v>-4.25</v>
      </c>
      <c r="S148" s="218">
        <v>0.41</v>
      </c>
      <c r="T148" s="218">
        <v>0.14000000000000001</v>
      </c>
      <c r="U148" s="218">
        <v>5</v>
      </c>
      <c r="AF148" s="218">
        <v>4.17</v>
      </c>
      <c r="AG148" s="251">
        <f t="shared" si="12"/>
        <v>-4.17</v>
      </c>
      <c r="AH148" s="218">
        <v>0.26</v>
      </c>
      <c r="AI148" s="218">
        <v>0.14000000000000001</v>
      </c>
      <c r="AJ148" s="218">
        <v>5</v>
      </c>
      <c r="AV148" s="218">
        <v>4.16</v>
      </c>
      <c r="AW148" s="251">
        <f t="shared" si="13"/>
        <v>-4.16</v>
      </c>
      <c r="AX148" s="218">
        <v>0.27</v>
      </c>
      <c r="AY148" s="218">
        <v>0.14000000000000001</v>
      </c>
      <c r="AZ148" s="218">
        <v>5</v>
      </c>
      <c r="BL148" s="218">
        <v>4.08</v>
      </c>
      <c r="BM148" s="251">
        <f t="shared" si="14"/>
        <v>-4.08</v>
      </c>
      <c r="BN148" s="218">
        <v>0.24</v>
      </c>
      <c r="BO148" s="218">
        <v>0.14000000000000001</v>
      </c>
      <c r="BP148" s="218">
        <v>5</v>
      </c>
    </row>
    <row r="149" spans="2:68">
      <c r="B149" s="218">
        <v>4.22</v>
      </c>
      <c r="C149" s="218">
        <f t="shared" si="10"/>
        <v>-4.22</v>
      </c>
      <c r="D149" s="218">
        <v>0.2</v>
      </c>
      <c r="E149" s="218">
        <v>0.14000000000000001</v>
      </c>
      <c r="F149" s="218">
        <v>5</v>
      </c>
      <c r="Q149" s="218">
        <v>4.2699999999999996</v>
      </c>
      <c r="R149" s="251">
        <f t="shared" si="11"/>
        <v>-4.2699999999999996</v>
      </c>
      <c r="S149" s="218">
        <v>0.41</v>
      </c>
      <c r="T149" s="218">
        <v>0.14000000000000001</v>
      </c>
      <c r="U149" s="218">
        <v>5</v>
      </c>
      <c r="AF149" s="218">
        <v>4.1900000000000004</v>
      </c>
      <c r="AG149" s="251">
        <f t="shared" si="12"/>
        <v>-4.1900000000000004</v>
      </c>
      <c r="AH149" s="218">
        <v>0.26</v>
      </c>
      <c r="AI149" s="218">
        <v>0.14000000000000001</v>
      </c>
      <c r="AJ149" s="218">
        <v>5</v>
      </c>
      <c r="AV149" s="218">
        <v>4.18</v>
      </c>
      <c r="AW149" s="251">
        <f t="shared" si="13"/>
        <v>-4.18</v>
      </c>
      <c r="AX149" s="218">
        <v>0.26</v>
      </c>
      <c r="AY149" s="218">
        <v>0.14000000000000001</v>
      </c>
      <c r="AZ149" s="218">
        <v>5</v>
      </c>
      <c r="BL149" s="218">
        <v>4.0999999999999996</v>
      </c>
      <c r="BM149" s="251">
        <f t="shared" si="14"/>
        <v>-4.0999999999999996</v>
      </c>
      <c r="BN149" s="218">
        <v>0.24</v>
      </c>
      <c r="BO149" s="218">
        <v>0.14000000000000001</v>
      </c>
      <c r="BP149" s="218">
        <v>5</v>
      </c>
    </row>
    <row r="150" spans="2:68">
      <c r="B150" s="218">
        <v>4.25</v>
      </c>
      <c r="C150" s="218">
        <f t="shared" si="10"/>
        <v>-4.25</v>
      </c>
      <c r="D150" s="218">
        <v>0.2</v>
      </c>
      <c r="E150" s="218">
        <v>0.14000000000000001</v>
      </c>
      <c r="F150" s="218">
        <v>5</v>
      </c>
      <c r="Q150" s="218">
        <v>4.3</v>
      </c>
      <c r="R150" s="251">
        <f t="shared" si="11"/>
        <v>-4.3</v>
      </c>
      <c r="S150" s="218">
        <v>0.4</v>
      </c>
      <c r="T150" s="218">
        <v>0.14000000000000001</v>
      </c>
      <c r="U150" s="218">
        <v>5</v>
      </c>
      <c r="AF150" s="218">
        <v>4.22</v>
      </c>
      <c r="AG150" s="251">
        <f t="shared" si="12"/>
        <v>-4.22</v>
      </c>
      <c r="AH150" s="218">
        <v>0.26</v>
      </c>
      <c r="AI150" s="218">
        <v>0.14000000000000001</v>
      </c>
      <c r="AJ150" s="218">
        <v>5</v>
      </c>
      <c r="AV150" s="218">
        <v>4.21</v>
      </c>
      <c r="AW150" s="251">
        <f t="shared" si="13"/>
        <v>-4.21</v>
      </c>
      <c r="AX150" s="218">
        <v>0.26</v>
      </c>
      <c r="AY150" s="218">
        <v>0.14000000000000001</v>
      </c>
      <c r="AZ150" s="218">
        <v>5</v>
      </c>
      <c r="BL150" s="218">
        <v>4.13</v>
      </c>
      <c r="BM150" s="251">
        <f t="shared" si="14"/>
        <v>-4.13</v>
      </c>
      <c r="BN150" s="218">
        <v>0.24</v>
      </c>
      <c r="BO150" s="218">
        <v>0.14000000000000001</v>
      </c>
      <c r="BP150" s="218">
        <v>5</v>
      </c>
    </row>
    <row r="151" spans="2:68">
      <c r="B151" s="218">
        <v>4.2699999999999996</v>
      </c>
      <c r="C151" s="218">
        <f t="shared" si="10"/>
        <v>-4.2699999999999996</v>
      </c>
      <c r="D151" s="218">
        <v>0.2</v>
      </c>
      <c r="E151" s="218">
        <v>0.14000000000000001</v>
      </c>
      <c r="F151" s="218">
        <v>5</v>
      </c>
      <c r="Q151" s="218">
        <v>4.32</v>
      </c>
      <c r="R151" s="251">
        <f t="shared" si="11"/>
        <v>-4.32</v>
      </c>
      <c r="S151" s="218">
        <v>0.4</v>
      </c>
      <c r="T151" s="218">
        <v>0.14000000000000001</v>
      </c>
      <c r="U151" s="218">
        <v>5</v>
      </c>
      <c r="AF151" s="218">
        <v>4.24</v>
      </c>
      <c r="AG151" s="251">
        <f t="shared" si="12"/>
        <v>-4.24</v>
      </c>
      <c r="AH151" s="218">
        <v>0.26</v>
      </c>
      <c r="AI151" s="218">
        <v>0.14000000000000001</v>
      </c>
      <c r="AJ151" s="218">
        <v>5</v>
      </c>
      <c r="AV151" s="218">
        <v>4.2300000000000004</v>
      </c>
      <c r="AW151" s="251">
        <f t="shared" si="13"/>
        <v>-4.2300000000000004</v>
      </c>
      <c r="AX151" s="218">
        <v>0.26</v>
      </c>
      <c r="AY151" s="218">
        <v>0.14000000000000001</v>
      </c>
      <c r="AZ151" s="218">
        <v>5</v>
      </c>
      <c r="BL151" s="218">
        <v>4.1500000000000004</v>
      </c>
      <c r="BM151" s="251">
        <f t="shared" si="14"/>
        <v>-4.1500000000000004</v>
      </c>
      <c r="BN151" s="218">
        <v>0.24</v>
      </c>
      <c r="BO151" s="218">
        <v>0.14000000000000001</v>
      </c>
      <c r="BP151" s="218">
        <v>5</v>
      </c>
    </row>
    <row r="152" spans="2:68">
      <c r="B152" s="218">
        <v>4.3</v>
      </c>
      <c r="C152" s="218">
        <f t="shared" si="10"/>
        <v>-4.3</v>
      </c>
      <c r="D152" s="218">
        <v>0.19</v>
      </c>
      <c r="E152" s="218">
        <v>0.14000000000000001</v>
      </c>
      <c r="F152" s="218">
        <v>5</v>
      </c>
      <c r="Q152" s="218">
        <v>4.3499999999999996</v>
      </c>
      <c r="R152" s="251">
        <f t="shared" si="11"/>
        <v>-4.3499999999999996</v>
      </c>
      <c r="S152" s="218">
        <v>0.4</v>
      </c>
      <c r="T152" s="218">
        <v>0.14000000000000001</v>
      </c>
      <c r="U152" s="218">
        <v>5</v>
      </c>
      <c r="AF152" s="218">
        <v>4.2699999999999996</v>
      </c>
      <c r="AG152" s="251">
        <f t="shared" si="12"/>
        <v>-4.2699999999999996</v>
      </c>
      <c r="AH152" s="218">
        <v>0.26</v>
      </c>
      <c r="AI152" s="218">
        <v>0.14000000000000001</v>
      </c>
      <c r="AJ152" s="218">
        <v>5</v>
      </c>
      <c r="AV152" s="218">
        <v>4.26</v>
      </c>
      <c r="AW152" s="251">
        <f t="shared" si="13"/>
        <v>-4.26</v>
      </c>
      <c r="AX152" s="218">
        <v>0.26</v>
      </c>
      <c r="AY152" s="218">
        <v>0.14000000000000001</v>
      </c>
      <c r="AZ152" s="218">
        <v>5</v>
      </c>
      <c r="BL152" s="218">
        <v>4.18</v>
      </c>
      <c r="BM152" s="251">
        <f t="shared" si="14"/>
        <v>-4.18</v>
      </c>
      <c r="BN152" s="218">
        <v>0.24</v>
      </c>
      <c r="BO152" s="218">
        <v>0.14000000000000001</v>
      </c>
      <c r="BP152" s="218">
        <v>5</v>
      </c>
    </row>
    <row r="153" spans="2:68">
      <c r="B153" s="218">
        <v>4.32</v>
      </c>
      <c r="C153" s="218">
        <f t="shared" si="10"/>
        <v>-4.32</v>
      </c>
      <c r="D153" s="218">
        <v>0.19</v>
      </c>
      <c r="E153" s="218">
        <v>0.14000000000000001</v>
      </c>
      <c r="F153" s="218">
        <v>5</v>
      </c>
      <c r="Q153" s="218">
        <v>4.37</v>
      </c>
      <c r="R153" s="251">
        <f t="shared" si="11"/>
        <v>-4.37</v>
      </c>
      <c r="S153" s="218">
        <v>0.4</v>
      </c>
      <c r="T153" s="218">
        <v>0.14000000000000001</v>
      </c>
      <c r="U153" s="218">
        <v>5</v>
      </c>
      <c r="AF153" s="218">
        <v>4.29</v>
      </c>
      <c r="AG153" s="251">
        <f t="shared" si="12"/>
        <v>-4.29</v>
      </c>
      <c r="AH153" s="218">
        <v>0.26</v>
      </c>
      <c r="AI153" s="218">
        <v>0.14000000000000001</v>
      </c>
      <c r="AJ153" s="218">
        <v>5</v>
      </c>
      <c r="AV153" s="218">
        <v>4.28</v>
      </c>
      <c r="AW153" s="251">
        <f t="shared" si="13"/>
        <v>-4.28</v>
      </c>
      <c r="AX153" s="218">
        <v>0.26</v>
      </c>
      <c r="AY153" s="218">
        <v>0.14000000000000001</v>
      </c>
      <c r="AZ153" s="218">
        <v>5</v>
      </c>
      <c r="BL153" s="218">
        <v>4.2</v>
      </c>
      <c r="BM153" s="251">
        <f t="shared" si="14"/>
        <v>-4.2</v>
      </c>
      <c r="BN153" s="218">
        <v>0.24</v>
      </c>
      <c r="BO153" s="218">
        <v>0.14000000000000001</v>
      </c>
      <c r="BP153" s="218">
        <v>5</v>
      </c>
    </row>
    <row r="154" spans="2:68">
      <c r="B154" s="218">
        <v>4.3499999999999996</v>
      </c>
      <c r="C154" s="218">
        <f t="shared" si="10"/>
        <v>-4.3499999999999996</v>
      </c>
      <c r="D154" s="218">
        <v>0.19</v>
      </c>
      <c r="E154" s="218">
        <v>0.14000000000000001</v>
      </c>
      <c r="F154" s="218">
        <v>5</v>
      </c>
      <c r="Q154" s="218">
        <v>4.4000000000000004</v>
      </c>
      <c r="R154" s="251">
        <f t="shared" si="11"/>
        <v>-4.4000000000000004</v>
      </c>
      <c r="S154" s="218">
        <v>0.39</v>
      </c>
      <c r="T154" s="218">
        <v>0.14000000000000001</v>
      </c>
      <c r="U154" s="218">
        <v>5</v>
      </c>
      <c r="AF154" s="218">
        <v>4.32</v>
      </c>
      <c r="AG154" s="251">
        <f t="shared" si="12"/>
        <v>-4.32</v>
      </c>
      <c r="AH154" s="218">
        <v>0.26</v>
      </c>
      <c r="AI154" s="218">
        <v>0.14000000000000001</v>
      </c>
      <c r="AJ154" s="218">
        <v>5</v>
      </c>
      <c r="AV154" s="218">
        <v>4.3099999999999996</v>
      </c>
      <c r="AW154" s="251">
        <f t="shared" si="13"/>
        <v>-4.3099999999999996</v>
      </c>
      <c r="AX154" s="218">
        <v>0.25</v>
      </c>
      <c r="AY154" s="218">
        <v>0.14000000000000001</v>
      </c>
      <c r="AZ154" s="218">
        <v>5</v>
      </c>
      <c r="BL154" s="218">
        <v>4.2300000000000004</v>
      </c>
      <c r="BM154" s="251">
        <f t="shared" si="14"/>
        <v>-4.2300000000000004</v>
      </c>
      <c r="BN154" s="218">
        <v>0.24</v>
      </c>
      <c r="BO154" s="218">
        <v>0.14000000000000001</v>
      </c>
      <c r="BP154" s="218">
        <v>5</v>
      </c>
    </row>
    <row r="155" spans="2:68">
      <c r="B155" s="218">
        <v>4.37</v>
      </c>
      <c r="C155" s="218">
        <f t="shared" si="10"/>
        <v>-4.37</v>
      </c>
      <c r="D155" s="218">
        <v>0.19</v>
      </c>
      <c r="E155" s="218">
        <v>0.14000000000000001</v>
      </c>
      <c r="F155" s="218">
        <v>5</v>
      </c>
      <c r="Q155" s="218">
        <v>4.42</v>
      </c>
      <c r="R155" s="251">
        <f t="shared" si="11"/>
        <v>-4.42</v>
      </c>
      <c r="S155" s="218">
        <v>0.39</v>
      </c>
      <c r="T155" s="218">
        <v>0.14000000000000001</v>
      </c>
      <c r="U155" s="218">
        <v>5</v>
      </c>
      <c r="AF155" s="218">
        <v>4.34</v>
      </c>
      <c r="AG155" s="251">
        <f t="shared" si="12"/>
        <v>-4.34</v>
      </c>
      <c r="AH155" s="218">
        <v>0.27</v>
      </c>
      <c r="AI155" s="218">
        <v>0.14000000000000001</v>
      </c>
      <c r="AJ155" s="218">
        <v>5</v>
      </c>
      <c r="AV155" s="218">
        <v>4.33</v>
      </c>
      <c r="AW155" s="251">
        <f t="shared" si="13"/>
        <v>-4.33</v>
      </c>
      <c r="AX155" s="218">
        <v>0.25</v>
      </c>
      <c r="AY155" s="218">
        <v>0.14000000000000001</v>
      </c>
      <c r="AZ155" s="218">
        <v>5</v>
      </c>
      <c r="BL155" s="218">
        <v>4.25</v>
      </c>
      <c r="BM155" s="251">
        <f t="shared" si="14"/>
        <v>-4.25</v>
      </c>
      <c r="BN155" s="218">
        <v>0.25</v>
      </c>
      <c r="BO155" s="218">
        <v>0.14000000000000001</v>
      </c>
      <c r="BP155" s="218">
        <v>5</v>
      </c>
    </row>
    <row r="156" spans="2:68">
      <c r="B156" s="218">
        <v>4.4000000000000004</v>
      </c>
      <c r="C156" s="218">
        <f t="shared" si="10"/>
        <v>-4.4000000000000004</v>
      </c>
      <c r="D156" s="218">
        <v>0.19</v>
      </c>
      <c r="E156" s="218">
        <v>0.14000000000000001</v>
      </c>
      <c r="F156" s="218">
        <v>5</v>
      </c>
      <c r="Q156" s="218">
        <v>4.45</v>
      </c>
      <c r="R156" s="251">
        <f t="shared" si="11"/>
        <v>-4.45</v>
      </c>
      <c r="S156" s="218">
        <v>0.39</v>
      </c>
      <c r="T156" s="218">
        <v>0.14000000000000001</v>
      </c>
      <c r="U156" s="218">
        <v>5</v>
      </c>
      <c r="AF156" s="218">
        <v>4.37</v>
      </c>
      <c r="AG156" s="251">
        <f t="shared" si="12"/>
        <v>-4.37</v>
      </c>
      <c r="AH156" s="218">
        <v>0.27</v>
      </c>
      <c r="AI156" s="218">
        <v>0.14000000000000001</v>
      </c>
      <c r="AJ156" s="218">
        <v>5</v>
      </c>
      <c r="AV156" s="218">
        <v>4.3600000000000003</v>
      </c>
      <c r="AW156" s="251">
        <f t="shared" si="13"/>
        <v>-4.3600000000000003</v>
      </c>
      <c r="AX156" s="218">
        <v>0.25</v>
      </c>
      <c r="AY156" s="218">
        <v>0.14000000000000001</v>
      </c>
      <c r="AZ156" s="218">
        <v>5</v>
      </c>
      <c r="BL156" s="218">
        <v>4.28</v>
      </c>
      <c r="BM156" s="251">
        <f t="shared" si="14"/>
        <v>-4.28</v>
      </c>
      <c r="BN156" s="218">
        <v>0.25</v>
      </c>
      <c r="BO156" s="218">
        <v>0.14000000000000001</v>
      </c>
      <c r="BP156" s="218">
        <v>5</v>
      </c>
    </row>
    <row r="157" spans="2:68">
      <c r="B157" s="218">
        <v>4.42</v>
      </c>
      <c r="C157" s="218">
        <f t="shared" si="10"/>
        <v>-4.42</v>
      </c>
      <c r="D157" s="218">
        <v>0.18</v>
      </c>
      <c r="E157" s="218">
        <v>0.14000000000000001</v>
      </c>
      <c r="F157" s="218">
        <v>5</v>
      </c>
      <c r="Q157" s="218">
        <v>4.47</v>
      </c>
      <c r="R157" s="251">
        <f t="shared" si="11"/>
        <v>-4.47</v>
      </c>
      <c r="S157" s="218">
        <v>0.38</v>
      </c>
      <c r="T157" s="218">
        <v>0.14000000000000001</v>
      </c>
      <c r="U157" s="218">
        <v>5</v>
      </c>
      <c r="AF157" s="218">
        <v>4.3899999999999997</v>
      </c>
      <c r="AG157" s="251">
        <f t="shared" si="12"/>
        <v>-4.3899999999999997</v>
      </c>
      <c r="AH157" s="218">
        <v>0.27</v>
      </c>
      <c r="AI157" s="218">
        <v>0.14000000000000001</v>
      </c>
      <c r="AJ157" s="218">
        <v>5</v>
      </c>
      <c r="AV157" s="218">
        <v>4.38</v>
      </c>
      <c r="AW157" s="251">
        <f t="shared" si="13"/>
        <v>-4.38</v>
      </c>
      <c r="AX157" s="218">
        <v>0.25</v>
      </c>
      <c r="AY157" s="218">
        <v>0.14000000000000001</v>
      </c>
      <c r="AZ157" s="218">
        <v>5</v>
      </c>
      <c r="BL157" s="218">
        <v>4.3</v>
      </c>
      <c r="BM157" s="251">
        <f t="shared" si="14"/>
        <v>-4.3</v>
      </c>
      <c r="BN157" s="218">
        <v>0.25</v>
      </c>
      <c r="BO157" s="218">
        <v>0.14000000000000001</v>
      </c>
      <c r="BP157" s="218">
        <v>5</v>
      </c>
    </row>
    <row r="158" spans="2:68">
      <c r="B158" s="218">
        <v>4.45</v>
      </c>
      <c r="C158" s="218">
        <f t="shared" si="10"/>
        <v>-4.45</v>
      </c>
      <c r="D158" s="218">
        <v>0.18</v>
      </c>
      <c r="E158" s="218">
        <v>0.14000000000000001</v>
      </c>
      <c r="F158" s="218">
        <v>5</v>
      </c>
      <c r="Q158" s="218">
        <v>4.5</v>
      </c>
      <c r="R158" s="251">
        <f t="shared" si="11"/>
        <v>-4.5</v>
      </c>
      <c r="S158" s="218">
        <v>0.38</v>
      </c>
      <c r="T158" s="218">
        <v>0.14000000000000001</v>
      </c>
      <c r="U158" s="218">
        <v>5</v>
      </c>
      <c r="AF158" s="218">
        <v>4.42</v>
      </c>
      <c r="AG158" s="251">
        <f t="shared" si="12"/>
        <v>-4.42</v>
      </c>
      <c r="AH158" s="218">
        <v>0.27</v>
      </c>
      <c r="AI158" s="218">
        <v>0.14000000000000001</v>
      </c>
      <c r="AJ158" s="218">
        <v>5</v>
      </c>
      <c r="AV158" s="218">
        <v>4.41</v>
      </c>
      <c r="AW158" s="251">
        <f t="shared" si="13"/>
        <v>-4.41</v>
      </c>
      <c r="AX158" s="218">
        <v>0.25</v>
      </c>
      <c r="AY158" s="218">
        <v>0.14000000000000001</v>
      </c>
      <c r="AZ158" s="218">
        <v>5</v>
      </c>
      <c r="BL158" s="218">
        <v>4.33</v>
      </c>
      <c r="BM158" s="251">
        <f t="shared" si="14"/>
        <v>-4.33</v>
      </c>
      <c r="BN158" s="218">
        <v>0.25</v>
      </c>
      <c r="BO158" s="218">
        <v>0.14000000000000001</v>
      </c>
      <c r="BP158" s="218">
        <v>5</v>
      </c>
    </row>
    <row r="159" spans="2:68">
      <c r="B159" s="218">
        <v>4.47</v>
      </c>
      <c r="C159" s="218">
        <f t="shared" si="10"/>
        <v>-4.47</v>
      </c>
      <c r="D159" s="218">
        <v>0.18</v>
      </c>
      <c r="E159" s="218">
        <v>0.14000000000000001</v>
      </c>
      <c r="F159" s="218">
        <v>5</v>
      </c>
      <c r="Q159" s="218">
        <v>4.5199999999999996</v>
      </c>
      <c r="R159" s="251">
        <f t="shared" si="11"/>
        <v>-4.5199999999999996</v>
      </c>
      <c r="S159" s="218">
        <v>0.42</v>
      </c>
      <c r="T159" s="218">
        <v>0.14000000000000001</v>
      </c>
      <c r="U159" s="218">
        <v>5</v>
      </c>
      <c r="AF159" s="218">
        <v>4.4400000000000004</v>
      </c>
      <c r="AG159" s="251">
        <f t="shared" si="12"/>
        <v>-4.4400000000000004</v>
      </c>
      <c r="AH159" s="218">
        <v>0.27</v>
      </c>
      <c r="AI159" s="218">
        <v>0.14000000000000001</v>
      </c>
      <c r="AJ159" s="218">
        <v>5</v>
      </c>
      <c r="AV159" s="218">
        <v>4.43</v>
      </c>
      <c r="AW159" s="251">
        <f t="shared" si="13"/>
        <v>-4.43</v>
      </c>
      <c r="AX159" s="218">
        <v>0.24</v>
      </c>
      <c r="AY159" s="218">
        <v>0.14000000000000001</v>
      </c>
      <c r="AZ159" s="218">
        <v>5</v>
      </c>
      <c r="BL159" s="218">
        <v>4.3499999999999996</v>
      </c>
      <c r="BM159" s="251">
        <f t="shared" si="14"/>
        <v>-4.3499999999999996</v>
      </c>
      <c r="BN159" s="218">
        <v>0.25</v>
      </c>
      <c r="BO159" s="218">
        <v>0.14000000000000001</v>
      </c>
      <c r="BP159" s="218">
        <v>5</v>
      </c>
    </row>
    <row r="160" spans="2:68">
      <c r="B160" s="218">
        <v>4.5</v>
      </c>
      <c r="C160" s="218">
        <f t="shared" si="10"/>
        <v>-4.5</v>
      </c>
      <c r="D160" s="218">
        <v>0.18</v>
      </c>
      <c r="E160" s="218">
        <v>0.14000000000000001</v>
      </c>
      <c r="F160" s="218">
        <v>5</v>
      </c>
      <c r="Q160" s="218">
        <v>4.55</v>
      </c>
      <c r="R160" s="251">
        <f t="shared" si="11"/>
        <v>-4.55</v>
      </c>
      <c r="S160" s="218">
        <v>0.42</v>
      </c>
      <c r="T160" s="218">
        <v>0.14000000000000001</v>
      </c>
      <c r="U160" s="218">
        <v>5</v>
      </c>
      <c r="AF160" s="218">
        <v>4.47</v>
      </c>
      <c r="AG160" s="251">
        <f t="shared" si="12"/>
        <v>-4.47</v>
      </c>
      <c r="AH160" s="218">
        <v>0.27</v>
      </c>
      <c r="AI160" s="218">
        <v>0.14000000000000001</v>
      </c>
      <c r="AJ160" s="218">
        <v>5</v>
      </c>
      <c r="AV160" s="218">
        <v>4.46</v>
      </c>
      <c r="AW160" s="251">
        <f t="shared" si="13"/>
        <v>-4.46</v>
      </c>
      <c r="AX160" s="218">
        <v>0.24</v>
      </c>
      <c r="AY160" s="218">
        <v>0.14000000000000001</v>
      </c>
      <c r="AZ160" s="218">
        <v>5</v>
      </c>
      <c r="BL160" s="218">
        <v>4.38</v>
      </c>
      <c r="BM160" s="251">
        <f t="shared" si="14"/>
        <v>-4.38</v>
      </c>
      <c r="BN160" s="218">
        <v>0.25</v>
      </c>
      <c r="BO160" s="218">
        <v>0.14000000000000001</v>
      </c>
      <c r="BP160" s="218">
        <v>5</v>
      </c>
    </row>
    <row r="161" spans="2:68">
      <c r="B161" s="218">
        <v>4.5199999999999996</v>
      </c>
      <c r="C161" s="218">
        <f t="shared" si="10"/>
        <v>-4.5199999999999996</v>
      </c>
      <c r="D161" s="218">
        <v>0.19</v>
      </c>
      <c r="E161" s="218">
        <v>0.14000000000000001</v>
      </c>
      <c r="F161" s="218">
        <v>5</v>
      </c>
      <c r="Q161" s="218">
        <v>4.57</v>
      </c>
      <c r="R161" s="251">
        <f t="shared" si="11"/>
        <v>-4.57</v>
      </c>
      <c r="S161" s="218">
        <v>0.41</v>
      </c>
      <c r="T161" s="218">
        <v>0.14000000000000001</v>
      </c>
      <c r="U161" s="218">
        <v>5</v>
      </c>
      <c r="AF161" s="218">
        <v>4.49</v>
      </c>
      <c r="AG161" s="251">
        <f t="shared" si="12"/>
        <v>-4.49</v>
      </c>
      <c r="AH161" s="218">
        <v>0.27</v>
      </c>
      <c r="AI161" s="218">
        <v>0.14000000000000001</v>
      </c>
      <c r="AJ161" s="218">
        <v>5</v>
      </c>
      <c r="AV161" s="218">
        <v>4.4800000000000004</v>
      </c>
      <c r="AW161" s="251">
        <f t="shared" si="13"/>
        <v>-4.4800000000000004</v>
      </c>
      <c r="AX161" s="218">
        <v>0.24</v>
      </c>
      <c r="AY161" s="218">
        <v>0.14000000000000001</v>
      </c>
      <c r="AZ161" s="218">
        <v>5</v>
      </c>
      <c r="BL161" s="218">
        <v>4.4000000000000004</v>
      </c>
      <c r="BM161" s="251">
        <f t="shared" si="14"/>
        <v>-4.4000000000000004</v>
      </c>
      <c r="BN161" s="218">
        <v>0.25</v>
      </c>
      <c r="BO161" s="218">
        <v>0.14000000000000001</v>
      </c>
      <c r="BP161" s="218">
        <v>5</v>
      </c>
    </row>
    <row r="162" spans="2:68">
      <c r="B162" s="218">
        <v>4.55</v>
      </c>
      <c r="C162" s="218">
        <f t="shared" si="10"/>
        <v>-4.55</v>
      </c>
      <c r="D162" s="218">
        <v>0.19</v>
      </c>
      <c r="E162" s="218">
        <v>0.14000000000000001</v>
      </c>
      <c r="F162" s="218">
        <v>5</v>
      </c>
      <c r="Q162" s="218">
        <v>4.5999999999999996</v>
      </c>
      <c r="R162" s="251">
        <f t="shared" si="11"/>
        <v>-4.5999999999999996</v>
      </c>
      <c r="S162" s="218">
        <v>0.41</v>
      </c>
      <c r="T162" s="218">
        <v>0.14000000000000001</v>
      </c>
      <c r="U162" s="218">
        <v>5</v>
      </c>
      <c r="AF162" s="218">
        <v>4.5199999999999996</v>
      </c>
      <c r="AG162" s="251">
        <f t="shared" si="12"/>
        <v>-4.5199999999999996</v>
      </c>
      <c r="AH162" s="218">
        <v>0.31</v>
      </c>
      <c r="AI162" s="218">
        <v>0.14000000000000001</v>
      </c>
      <c r="AJ162" s="218">
        <v>5</v>
      </c>
      <c r="AV162" s="218">
        <v>4.51</v>
      </c>
      <c r="AW162" s="251">
        <f t="shared" si="13"/>
        <v>-4.51</v>
      </c>
      <c r="AX162" s="218">
        <v>0.27</v>
      </c>
      <c r="AY162" s="218">
        <v>0.14000000000000001</v>
      </c>
      <c r="AZ162" s="218">
        <v>5</v>
      </c>
      <c r="BL162" s="218">
        <v>4.43</v>
      </c>
      <c r="BM162" s="251">
        <f t="shared" si="14"/>
        <v>-4.43</v>
      </c>
      <c r="BN162" s="218">
        <v>0.26</v>
      </c>
      <c r="BO162" s="218">
        <v>0.14000000000000001</v>
      </c>
      <c r="BP162" s="218">
        <v>5</v>
      </c>
    </row>
    <row r="163" spans="2:68">
      <c r="B163" s="218">
        <v>4.57</v>
      </c>
      <c r="C163" s="218">
        <f t="shared" si="10"/>
        <v>-4.57</v>
      </c>
      <c r="D163" s="218">
        <v>0.19</v>
      </c>
      <c r="E163" s="218">
        <v>0.14000000000000001</v>
      </c>
      <c r="F163" s="218">
        <v>5</v>
      </c>
      <c r="Q163" s="218">
        <v>4.62</v>
      </c>
      <c r="R163" s="251">
        <f t="shared" si="11"/>
        <v>-4.62</v>
      </c>
      <c r="S163" s="218">
        <v>0.41</v>
      </c>
      <c r="T163" s="218">
        <v>0.14000000000000001</v>
      </c>
      <c r="U163" s="218">
        <v>5</v>
      </c>
      <c r="AF163" s="218">
        <v>4.54</v>
      </c>
      <c r="AG163" s="251">
        <f t="shared" si="12"/>
        <v>-4.54</v>
      </c>
      <c r="AH163" s="218">
        <v>0.31</v>
      </c>
      <c r="AI163" s="218">
        <v>0.14000000000000001</v>
      </c>
      <c r="AJ163" s="218">
        <v>5</v>
      </c>
      <c r="AV163" s="218">
        <v>4.53</v>
      </c>
      <c r="AW163" s="251">
        <f t="shared" si="13"/>
        <v>-4.53</v>
      </c>
      <c r="AX163" s="218">
        <v>0.26</v>
      </c>
      <c r="AY163" s="218">
        <v>0.14000000000000001</v>
      </c>
      <c r="AZ163" s="218">
        <v>5</v>
      </c>
      <c r="BL163" s="218">
        <v>4.45</v>
      </c>
      <c r="BM163" s="251">
        <f t="shared" si="14"/>
        <v>-4.45</v>
      </c>
      <c r="BN163" s="218">
        <v>0.26</v>
      </c>
      <c r="BO163" s="218">
        <v>0.14000000000000001</v>
      </c>
      <c r="BP163" s="218">
        <v>5</v>
      </c>
    </row>
    <row r="164" spans="2:68">
      <c r="B164" s="218">
        <v>4.5999999999999996</v>
      </c>
      <c r="C164" s="218">
        <f t="shared" si="10"/>
        <v>-4.5999999999999996</v>
      </c>
      <c r="D164" s="218">
        <v>0.19</v>
      </c>
      <c r="E164" s="218">
        <v>0.14000000000000001</v>
      </c>
      <c r="F164" s="218">
        <v>5</v>
      </c>
      <c r="Q164" s="218">
        <v>4.6500000000000004</v>
      </c>
      <c r="R164" s="251">
        <f t="shared" si="11"/>
        <v>-4.6500000000000004</v>
      </c>
      <c r="S164" s="218">
        <v>0.41</v>
      </c>
      <c r="T164" s="218">
        <v>0.14000000000000001</v>
      </c>
      <c r="U164" s="218">
        <v>5</v>
      </c>
      <c r="AF164" s="218">
        <v>4.57</v>
      </c>
      <c r="AG164" s="251">
        <f t="shared" si="12"/>
        <v>-4.57</v>
      </c>
      <c r="AH164" s="218">
        <v>0.31</v>
      </c>
      <c r="AI164" s="218">
        <v>0.14000000000000001</v>
      </c>
      <c r="AJ164" s="218">
        <v>5</v>
      </c>
      <c r="AV164" s="218">
        <v>4.5599999999999996</v>
      </c>
      <c r="AW164" s="251">
        <f t="shared" si="13"/>
        <v>-4.5599999999999996</v>
      </c>
      <c r="AX164" s="218">
        <v>0.26</v>
      </c>
      <c r="AY164" s="218">
        <v>0.14000000000000001</v>
      </c>
      <c r="AZ164" s="218">
        <v>5</v>
      </c>
      <c r="BL164" s="218">
        <v>4.4800000000000004</v>
      </c>
      <c r="BM164" s="251">
        <f t="shared" si="14"/>
        <v>-4.4800000000000004</v>
      </c>
      <c r="BN164" s="218">
        <v>0.26</v>
      </c>
      <c r="BO164" s="218">
        <v>0.14000000000000001</v>
      </c>
      <c r="BP164" s="218">
        <v>5</v>
      </c>
    </row>
    <row r="165" spans="2:68">
      <c r="B165" s="218">
        <v>4.62</v>
      </c>
      <c r="C165" s="218">
        <f t="shared" si="10"/>
        <v>-4.62</v>
      </c>
      <c r="D165" s="218">
        <v>0.19</v>
      </c>
      <c r="E165" s="218">
        <v>0.14000000000000001</v>
      </c>
      <c r="F165" s="218">
        <v>5</v>
      </c>
      <c r="Q165" s="218">
        <v>4.67</v>
      </c>
      <c r="R165" s="251">
        <f t="shared" si="11"/>
        <v>-4.67</v>
      </c>
      <c r="S165" s="218">
        <v>0.4</v>
      </c>
      <c r="T165" s="218">
        <v>0.14000000000000001</v>
      </c>
      <c r="U165" s="218">
        <v>5</v>
      </c>
      <c r="AF165" s="218">
        <v>4.59</v>
      </c>
      <c r="AG165" s="251">
        <f t="shared" si="12"/>
        <v>-4.59</v>
      </c>
      <c r="AH165" s="218">
        <v>0.31</v>
      </c>
      <c r="AI165" s="218">
        <v>0.14000000000000001</v>
      </c>
      <c r="AJ165" s="218">
        <v>5</v>
      </c>
      <c r="AV165" s="218">
        <v>4.58</v>
      </c>
      <c r="AW165" s="251">
        <f t="shared" si="13"/>
        <v>-4.58</v>
      </c>
      <c r="AX165" s="218">
        <v>0.26</v>
      </c>
      <c r="AY165" s="218">
        <v>0.14000000000000001</v>
      </c>
      <c r="AZ165" s="218">
        <v>5</v>
      </c>
      <c r="BL165" s="218">
        <v>4.5</v>
      </c>
      <c r="BM165" s="251">
        <f t="shared" si="14"/>
        <v>-4.5</v>
      </c>
      <c r="BN165" s="218">
        <v>0.28999999999999998</v>
      </c>
      <c r="BO165" s="218">
        <v>0.14000000000000001</v>
      </c>
      <c r="BP165" s="218">
        <v>5</v>
      </c>
    </row>
    <row r="166" spans="2:68">
      <c r="B166" s="218">
        <v>4.6500000000000004</v>
      </c>
      <c r="C166" s="218">
        <f t="shared" si="10"/>
        <v>-4.6500000000000004</v>
      </c>
      <c r="D166" s="218">
        <v>0.18</v>
      </c>
      <c r="E166" s="218">
        <v>0.14000000000000001</v>
      </c>
      <c r="F166" s="218">
        <v>5</v>
      </c>
      <c r="Q166" s="218">
        <v>4.7</v>
      </c>
      <c r="R166" s="251">
        <f t="shared" si="11"/>
        <v>-4.7</v>
      </c>
      <c r="S166" s="218">
        <v>0.4</v>
      </c>
      <c r="T166" s="218">
        <v>0.14000000000000001</v>
      </c>
      <c r="U166" s="218">
        <v>5</v>
      </c>
      <c r="AF166" s="218">
        <v>4.62</v>
      </c>
      <c r="AG166" s="251">
        <f t="shared" si="12"/>
        <v>-4.62</v>
      </c>
      <c r="AH166" s="218">
        <v>0.31</v>
      </c>
      <c r="AI166" s="218">
        <v>0.14000000000000001</v>
      </c>
      <c r="AJ166" s="218">
        <v>5</v>
      </c>
      <c r="AV166" s="218">
        <v>4.6100000000000003</v>
      </c>
      <c r="AW166" s="251">
        <f t="shared" si="13"/>
        <v>-4.6100000000000003</v>
      </c>
      <c r="AX166" s="218">
        <v>0.26</v>
      </c>
      <c r="AY166" s="218">
        <v>0.14000000000000001</v>
      </c>
      <c r="AZ166" s="218">
        <v>5</v>
      </c>
      <c r="BL166" s="218">
        <v>4.53</v>
      </c>
      <c r="BM166" s="251">
        <f t="shared" si="14"/>
        <v>-4.53</v>
      </c>
      <c r="BN166" s="218">
        <v>0.28999999999999998</v>
      </c>
      <c r="BO166" s="218">
        <v>0.14000000000000001</v>
      </c>
      <c r="BP166" s="218">
        <v>5</v>
      </c>
    </row>
    <row r="167" spans="2:68">
      <c r="B167" s="218">
        <v>4.67</v>
      </c>
      <c r="C167" s="218">
        <f t="shared" si="10"/>
        <v>-4.67</v>
      </c>
      <c r="D167" s="218">
        <v>0.18</v>
      </c>
      <c r="E167" s="218">
        <v>0.14000000000000001</v>
      </c>
      <c r="F167" s="218">
        <v>5</v>
      </c>
      <c r="Q167" s="218">
        <v>4.72</v>
      </c>
      <c r="R167" s="251">
        <f t="shared" si="11"/>
        <v>-4.72</v>
      </c>
      <c r="S167" s="218">
        <v>0.4</v>
      </c>
      <c r="T167" s="218">
        <v>0.14000000000000001</v>
      </c>
      <c r="U167" s="218">
        <v>5</v>
      </c>
      <c r="AF167" s="218">
        <v>4.6399999999999997</v>
      </c>
      <c r="AG167" s="251">
        <f t="shared" si="12"/>
        <v>-4.6399999999999997</v>
      </c>
      <c r="AH167" s="218">
        <v>0.31</v>
      </c>
      <c r="AI167" s="218">
        <v>0.14000000000000001</v>
      </c>
      <c r="AJ167" s="218">
        <v>5</v>
      </c>
      <c r="AV167" s="218">
        <v>4.63</v>
      </c>
      <c r="AW167" s="251">
        <f t="shared" si="13"/>
        <v>-4.63</v>
      </c>
      <c r="AX167" s="218">
        <v>0.26</v>
      </c>
      <c r="AY167" s="218">
        <v>0.14000000000000001</v>
      </c>
      <c r="AZ167" s="218">
        <v>5</v>
      </c>
      <c r="BL167" s="218">
        <v>4.55</v>
      </c>
      <c r="BM167" s="251">
        <f t="shared" si="14"/>
        <v>-4.55</v>
      </c>
      <c r="BN167" s="218">
        <v>0.28999999999999998</v>
      </c>
      <c r="BO167" s="218">
        <v>0.14000000000000001</v>
      </c>
      <c r="BP167" s="218">
        <v>5</v>
      </c>
    </row>
    <row r="168" spans="2:68">
      <c r="B168" s="218">
        <v>4.7</v>
      </c>
      <c r="C168" s="218">
        <f t="shared" si="10"/>
        <v>-4.7</v>
      </c>
      <c r="D168" s="218">
        <v>0.18</v>
      </c>
      <c r="E168" s="218">
        <v>0.14000000000000001</v>
      </c>
      <c r="F168" s="218">
        <v>5</v>
      </c>
      <c r="Q168" s="218">
        <v>4.75</v>
      </c>
      <c r="R168" s="251">
        <f t="shared" si="11"/>
        <v>-4.75</v>
      </c>
      <c r="S168" s="218">
        <v>0.39</v>
      </c>
      <c r="T168" s="218">
        <v>0.14000000000000001</v>
      </c>
      <c r="U168" s="218">
        <v>5</v>
      </c>
      <c r="AF168" s="218">
        <v>4.67</v>
      </c>
      <c r="AG168" s="251">
        <f t="shared" si="12"/>
        <v>-4.67</v>
      </c>
      <c r="AH168" s="218">
        <v>0.31</v>
      </c>
      <c r="AI168" s="218">
        <v>0.14000000000000001</v>
      </c>
      <c r="AJ168" s="218">
        <v>5</v>
      </c>
      <c r="AV168" s="218">
        <v>4.66</v>
      </c>
      <c r="AW168" s="251">
        <f t="shared" si="13"/>
        <v>-4.66</v>
      </c>
      <c r="AX168" s="218">
        <v>0.25</v>
      </c>
      <c r="AY168" s="218">
        <v>0.14000000000000001</v>
      </c>
      <c r="AZ168" s="218">
        <v>5</v>
      </c>
      <c r="BL168" s="218">
        <v>4.58</v>
      </c>
      <c r="BM168" s="251">
        <f t="shared" si="14"/>
        <v>-4.58</v>
      </c>
      <c r="BN168" s="218">
        <v>0.28999999999999998</v>
      </c>
      <c r="BO168" s="218">
        <v>0.14000000000000001</v>
      </c>
      <c r="BP168" s="218">
        <v>5</v>
      </c>
    </row>
    <row r="169" spans="2:68">
      <c r="B169" s="218">
        <v>4.72</v>
      </c>
      <c r="C169" s="218">
        <f t="shared" si="10"/>
        <v>-4.72</v>
      </c>
      <c r="D169" s="218">
        <v>0.18</v>
      </c>
      <c r="E169" s="218">
        <v>0.14000000000000001</v>
      </c>
      <c r="F169" s="218">
        <v>5</v>
      </c>
      <c r="Q169" s="218">
        <v>4.7699999999999996</v>
      </c>
      <c r="R169" s="251">
        <f t="shared" si="11"/>
        <v>-4.7699999999999996</v>
      </c>
      <c r="S169" s="218">
        <v>0.39</v>
      </c>
      <c r="T169" s="218">
        <v>0.14000000000000001</v>
      </c>
      <c r="U169" s="218">
        <v>5</v>
      </c>
      <c r="AF169" s="218">
        <v>4.6900000000000004</v>
      </c>
      <c r="AG169" s="251">
        <f t="shared" si="12"/>
        <v>-4.6900000000000004</v>
      </c>
      <c r="AH169" s="218">
        <v>0.31</v>
      </c>
      <c r="AI169" s="218">
        <v>0.14000000000000001</v>
      </c>
      <c r="AJ169" s="218">
        <v>5</v>
      </c>
      <c r="AV169" s="218">
        <v>4.68</v>
      </c>
      <c r="AW169" s="251">
        <f t="shared" si="13"/>
        <v>-4.68</v>
      </c>
      <c r="AX169" s="218">
        <v>0.25</v>
      </c>
      <c r="AY169" s="218">
        <v>0.14000000000000001</v>
      </c>
      <c r="AZ169" s="218">
        <v>5</v>
      </c>
      <c r="BL169" s="218">
        <v>4.5999999999999996</v>
      </c>
      <c r="BM169" s="251">
        <f t="shared" si="14"/>
        <v>-4.5999999999999996</v>
      </c>
      <c r="BN169" s="218">
        <v>0.3</v>
      </c>
      <c r="BO169" s="218">
        <v>0.14000000000000001</v>
      </c>
      <c r="BP169" s="218">
        <v>5</v>
      </c>
    </row>
    <row r="170" spans="2:68">
      <c r="B170" s="218">
        <v>4.75</v>
      </c>
      <c r="C170" s="218">
        <f t="shared" si="10"/>
        <v>-4.75</v>
      </c>
      <c r="D170" s="218">
        <v>0.17</v>
      </c>
      <c r="E170" s="218">
        <v>0.14000000000000001</v>
      </c>
      <c r="F170" s="218">
        <v>5</v>
      </c>
      <c r="Q170" s="218">
        <v>4.8</v>
      </c>
      <c r="R170" s="251">
        <f t="shared" si="11"/>
        <v>-4.8</v>
      </c>
      <c r="S170" s="218">
        <v>0.39</v>
      </c>
      <c r="T170" s="218">
        <v>0.14000000000000001</v>
      </c>
      <c r="U170" s="218">
        <v>5</v>
      </c>
      <c r="AF170" s="218">
        <v>4.72</v>
      </c>
      <c r="AG170" s="251">
        <f t="shared" si="12"/>
        <v>-4.72</v>
      </c>
      <c r="AH170" s="218">
        <v>0.32</v>
      </c>
      <c r="AI170" s="218">
        <v>0.14000000000000001</v>
      </c>
      <c r="AJ170" s="218">
        <v>5</v>
      </c>
      <c r="AV170" s="218">
        <v>4.71</v>
      </c>
      <c r="AW170" s="251">
        <f t="shared" si="13"/>
        <v>-4.71</v>
      </c>
      <c r="AX170" s="218">
        <v>0.25</v>
      </c>
      <c r="AY170" s="218">
        <v>0.14000000000000001</v>
      </c>
      <c r="AZ170" s="218">
        <v>5</v>
      </c>
      <c r="BL170" s="218">
        <v>4.63</v>
      </c>
      <c r="BM170" s="251">
        <f t="shared" si="14"/>
        <v>-4.63</v>
      </c>
      <c r="BN170" s="218">
        <v>0.3</v>
      </c>
      <c r="BO170" s="218">
        <v>0.14000000000000001</v>
      </c>
      <c r="BP170" s="218">
        <v>5</v>
      </c>
    </row>
    <row r="171" spans="2:68">
      <c r="B171" s="218">
        <v>4.7699999999999996</v>
      </c>
      <c r="C171" s="218">
        <f t="shared" si="10"/>
        <v>-4.7699999999999996</v>
      </c>
      <c r="D171" s="218">
        <v>0.17</v>
      </c>
      <c r="E171" s="218">
        <v>0.14000000000000001</v>
      </c>
      <c r="F171" s="218">
        <v>5</v>
      </c>
      <c r="Q171" s="218">
        <v>4.82</v>
      </c>
      <c r="R171" s="251">
        <f t="shared" si="11"/>
        <v>-4.82</v>
      </c>
      <c r="S171" s="218">
        <v>0.39</v>
      </c>
      <c r="T171" s="218">
        <v>0.14000000000000001</v>
      </c>
      <c r="U171" s="218">
        <v>5</v>
      </c>
      <c r="AF171" s="218">
        <v>4.74</v>
      </c>
      <c r="AG171" s="251">
        <f t="shared" si="12"/>
        <v>-4.74</v>
      </c>
      <c r="AH171" s="218">
        <v>0.32</v>
      </c>
      <c r="AI171" s="218">
        <v>0.14000000000000001</v>
      </c>
      <c r="AJ171" s="218">
        <v>5</v>
      </c>
      <c r="AV171" s="218">
        <v>4.7300000000000004</v>
      </c>
      <c r="AW171" s="251">
        <f t="shared" si="13"/>
        <v>-4.7300000000000004</v>
      </c>
      <c r="AX171" s="218">
        <v>0.25</v>
      </c>
      <c r="AY171" s="218">
        <v>0.14000000000000001</v>
      </c>
      <c r="AZ171" s="218">
        <v>5</v>
      </c>
      <c r="BL171" s="218">
        <v>4.6500000000000004</v>
      </c>
      <c r="BM171" s="251">
        <f t="shared" si="14"/>
        <v>-4.6500000000000004</v>
      </c>
      <c r="BN171" s="218">
        <v>0.3</v>
      </c>
      <c r="BO171" s="218">
        <v>0.14000000000000001</v>
      </c>
      <c r="BP171" s="218">
        <v>5</v>
      </c>
    </row>
    <row r="172" spans="2:68">
      <c r="B172" s="218">
        <v>4.8</v>
      </c>
      <c r="C172" s="218">
        <f t="shared" si="10"/>
        <v>-4.8</v>
      </c>
      <c r="D172" s="218">
        <v>0.17</v>
      </c>
      <c r="E172" s="218">
        <v>0.14000000000000001</v>
      </c>
      <c r="F172" s="218">
        <v>5</v>
      </c>
      <c r="Q172" s="218">
        <v>4.8499999999999996</v>
      </c>
      <c r="R172" s="251">
        <f t="shared" si="11"/>
        <v>-4.8499999999999996</v>
      </c>
      <c r="S172" s="218">
        <v>0.38</v>
      </c>
      <c r="T172" s="218">
        <v>0.14000000000000001</v>
      </c>
      <c r="U172" s="218">
        <v>5</v>
      </c>
      <c r="AF172" s="218">
        <v>4.7699999999999996</v>
      </c>
      <c r="AG172" s="251">
        <f t="shared" si="12"/>
        <v>-4.7699999999999996</v>
      </c>
      <c r="AH172" s="218">
        <v>0.32</v>
      </c>
      <c r="AI172" s="218">
        <v>0.14000000000000001</v>
      </c>
      <c r="AJ172" s="218">
        <v>5</v>
      </c>
      <c r="AV172" s="218">
        <v>4.76</v>
      </c>
      <c r="AW172" s="251">
        <f t="shared" si="13"/>
        <v>-4.76</v>
      </c>
      <c r="AX172" s="218">
        <v>0.25</v>
      </c>
      <c r="AY172" s="218">
        <v>0.14000000000000001</v>
      </c>
      <c r="AZ172" s="218">
        <v>5</v>
      </c>
      <c r="BL172" s="218">
        <v>4.68</v>
      </c>
      <c r="BM172" s="251">
        <f t="shared" si="14"/>
        <v>-4.68</v>
      </c>
      <c r="BN172" s="218">
        <v>0.3</v>
      </c>
      <c r="BO172" s="218">
        <v>0.14000000000000001</v>
      </c>
      <c r="BP172" s="218">
        <v>5</v>
      </c>
    </row>
    <row r="173" spans="2:68">
      <c r="B173" s="218">
        <v>4.82</v>
      </c>
      <c r="C173" s="218">
        <f t="shared" si="10"/>
        <v>-4.82</v>
      </c>
      <c r="D173" s="218">
        <v>0.17</v>
      </c>
      <c r="E173" s="218">
        <v>0.14000000000000001</v>
      </c>
      <c r="F173" s="218">
        <v>5</v>
      </c>
      <c r="Q173" s="218">
        <v>4.87</v>
      </c>
      <c r="R173" s="251">
        <f t="shared" si="11"/>
        <v>-4.87</v>
      </c>
      <c r="S173" s="218">
        <v>0.38</v>
      </c>
      <c r="T173" s="218">
        <v>0.14000000000000001</v>
      </c>
      <c r="U173" s="218">
        <v>5</v>
      </c>
      <c r="AF173" s="218">
        <v>4.79</v>
      </c>
      <c r="AG173" s="251">
        <f t="shared" si="12"/>
        <v>-4.79</v>
      </c>
      <c r="AH173" s="218">
        <v>0.32</v>
      </c>
      <c r="AI173" s="218">
        <v>0.14000000000000001</v>
      </c>
      <c r="AJ173" s="218">
        <v>5</v>
      </c>
      <c r="AV173" s="218">
        <v>4.78</v>
      </c>
      <c r="AW173" s="251">
        <f t="shared" si="13"/>
        <v>-4.78</v>
      </c>
      <c r="AX173" s="218">
        <v>0.24</v>
      </c>
      <c r="AY173" s="218">
        <v>0.14000000000000001</v>
      </c>
      <c r="AZ173" s="218">
        <v>5</v>
      </c>
      <c r="BL173" s="218">
        <v>4.7</v>
      </c>
      <c r="BM173" s="251">
        <f t="shared" si="14"/>
        <v>-4.7</v>
      </c>
      <c r="BN173" s="218">
        <v>0.3</v>
      </c>
      <c r="BO173" s="218">
        <v>0.14000000000000001</v>
      </c>
      <c r="BP173" s="218">
        <v>5</v>
      </c>
    </row>
    <row r="174" spans="2:68">
      <c r="B174" s="218">
        <v>4.8499999999999996</v>
      </c>
      <c r="C174" s="218">
        <f t="shared" si="10"/>
        <v>-4.8499999999999996</v>
      </c>
      <c r="D174" s="218">
        <v>0.17</v>
      </c>
      <c r="E174" s="218">
        <v>0.14000000000000001</v>
      </c>
      <c r="F174" s="218">
        <v>5</v>
      </c>
      <c r="Q174" s="218">
        <v>4.9000000000000004</v>
      </c>
      <c r="R174" s="251">
        <f t="shared" si="11"/>
        <v>-4.9000000000000004</v>
      </c>
      <c r="S174" s="218">
        <v>0.38</v>
      </c>
      <c r="T174" s="218">
        <v>0.14000000000000001</v>
      </c>
      <c r="U174" s="218">
        <v>5</v>
      </c>
      <c r="AF174" s="218">
        <v>4.82</v>
      </c>
      <c r="AG174" s="251">
        <f t="shared" si="12"/>
        <v>-4.82</v>
      </c>
      <c r="AH174" s="218">
        <v>0.32</v>
      </c>
      <c r="AI174" s="218">
        <v>0.14000000000000001</v>
      </c>
      <c r="AJ174" s="218">
        <v>5</v>
      </c>
      <c r="AV174" s="218">
        <v>4.8099999999999996</v>
      </c>
      <c r="AW174" s="251">
        <f t="shared" si="13"/>
        <v>-4.8099999999999996</v>
      </c>
      <c r="AX174" s="218">
        <v>0.24</v>
      </c>
      <c r="AY174" s="218">
        <v>0.14000000000000001</v>
      </c>
      <c r="AZ174" s="218">
        <v>5</v>
      </c>
      <c r="BL174" s="218">
        <v>4.7300000000000004</v>
      </c>
      <c r="BM174" s="251">
        <f t="shared" si="14"/>
        <v>-4.7300000000000004</v>
      </c>
      <c r="BN174" s="218">
        <v>0.3</v>
      </c>
      <c r="BO174" s="218">
        <v>0.14000000000000001</v>
      </c>
      <c r="BP174" s="218">
        <v>5</v>
      </c>
    </row>
    <row r="175" spans="2:68">
      <c r="B175" s="218">
        <v>4.87</v>
      </c>
      <c r="C175" s="218">
        <f t="shared" si="10"/>
        <v>-4.87</v>
      </c>
      <c r="D175" s="218">
        <v>0.16</v>
      </c>
      <c r="E175" s="218">
        <v>0.14000000000000001</v>
      </c>
      <c r="F175" s="218">
        <v>5</v>
      </c>
      <c r="Q175" s="218">
        <v>4.92</v>
      </c>
      <c r="R175" s="251">
        <f t="shared" si="11"/>
        <v>-4.92</v>
      </c>
      <c r="S175" s="218">
        <v>0.37</v>
      </c>
      <c r="T175" s="218">
        <v>0.14000000000000001</v>
      </c>
      <c r="U175" s="218">
        <v>5</v>
      </c>
      <c r="AF175" s="218">
        <v>4.84</v>
      </c>
      <c r="AG175" s="251">
        <f t="shared" si="12"/>
        <v>-4.84</v>
      </c>
      <c r="AH175" s="218">
        <v>0.32</v>
      </c>
      <c r="AI175" s="218">
        <v>0.14000000000000001</v>
      </c>
      <c r="AJ175" s="218">
        <v>5</v>
      </c>
      <c r="AV175" s="218">
        <v>4.83</v>
      </c>
      <c r="AW175" s="251">
        <f t="shared" si="13"/>
        <v>-4.83</v>
      </c>
      <c r="AX175" s="218">
        <v>0.24</v>
      </c>
      <c r="AY175" s="218">
        <v>0.14000000000000001</v>
      </c>
      <c r="AZ175" s="218">
        <v>5</v>
      </c>
      <c r="BL175" s="218">
        <v>4.75</v>
      </c>
      <c r="BM175" s="251">
        <f t="shared" si="14"/>
        <v>-4.75</v>
      </c>
      <c r="BN175" s="218">
        <v>0.3</v>
      </c>
      <c r="BO175" s="218">
        <v>0.14000000000000001</v>
      </c>
      <c r="BP175" s="218">
        <v>5</v>
      </c>
    </row>
    <row r="176" spans="2:68">
      <c r="B176" s="218">
        <v>4.9000000000000004</v>
      </c>
      <c r="C176" s="218">
        <f t="shared" si="10"/>
        <v>-4.9000000000000004</v>
      </c>
      <c r="D176" s="218">
        <v>0.16</v>
      </c>
      <c r="E176" s="218">
        <v>0.14000000000000001</v>
      </c>
      <c r="F176" s="218">
        <v>5</v>
      </c>
      <c r="Q176" s="218">
        <v>4.95</v>
      </c>
      <c r="R176" s="251">
        <f t="shared" si="11"/>
        <v>-4.95</v>
      </c>
      <c r="S176" s="218">
        <v>0.37</v>
      </c>
      <c r="T176" s="218">
        <v>0.14000000000000001</v>
      </c>
      <c r="U176" s="218">
        <v>5</v>
      </c>
      <c r="AF176" s="218">
        <v>4.87</v>
      </c>
      <c r="AG176" s="251">
        <f t="shared" si="12"/>
        <v>-4.87</v>
      </c>
      <c r="AH176" s="218">
        <v>0.32</v>
      </c>
      <c r="AI176" s="218">
        <v>0.14000000000000001</v>
      </c>
      <c r="AJ176" s="218">
        <v>5</v>
      </c>
      <c r="AV176" s="218">
        <v>4.8600000000000003</v>
      </c>
      <c r="AW176" s="251">
        <f t="shared" si="13"/>
        <v>-4.8600000000000003</v>
      </c>
      <c r="AX176" s="218">
        <v>0.24</v>
      </c>
      <c r="AY176" s="218">
        <v>0.14000000000000001</v>
      </c>
      <c r="AZ176" s="218">
        <v>5</v>
      </c>
      <c r="BL176" s="218">
        <v>4.78</v>
      </c>
      <c r="BM176" s="251">
        <f t="shared" si="14"/>
        <v>-4.78</v>
      </c>
      <c r="BN176" s="218">
        <v>0.31</v>
      </c>
      <c r="BO176" s="218">
        <v>0.14000000000000001</v>
      </c>
      <c r="BP176" s="218">
        <v>5</v>
      </c>
    </row>
    <row r="177" spans="2:68">
      <c r="B177" s="218">
        <v>4.92</v>
      </c>
      <c r="C177" s="218">
        <f t="shared" si="10"/>
        <v>-4.92</v>
      </c>
      <c r="D177" s="218">
        <v>0.16</v>
      </c>
      <c r="E177" s="218">
        <v>0.14000000000000001</v>
      </c>
      <c r="F177" s="218">
        <v>5</v>
      </c>
      <c r="Q177" s="218">
        <v>4.97</v>
      </c>
      <c r="R177" s="251">
        <f t="shared" si="11"/>
        <v>-4.97</v>
      </c>
      <c r="S177" s="218">
        <v>0.37</v>
      </c>
      <c r="T177" s="218">
        <v>0.14000000000000001</v>
      </c>
      <c r="U177" s="218">
        <v>5</v>
      </c>
      <c r="AF177" s="218">
        <v>4.8899999999999997</v>
      </c>
      <c r="AG177" s="251">
        <f t="shared" si="12"/>
        <v>-4.8899999999999997</v>
      </c>
      <c r="AH177" s="218">
        <v>0.32</v>
      </c>
      <c r="AI177" s="218">
        <v>0.14000000000000001</v>
      </c>
      <c r="AJ177" s="218">
        <v>5</v>
      </c>
      <c r="AV177" s="218">
        <v>4.88</v>
      </c>
      <c r="AW177" s="251">
        <f t="shared" si="13"/>
        <v>-4.88</v>
      </c>
      <c r="AX177" s="218">
        <v>0.24</v>
      </c>
      <c r="AY177" s="218">
        <v>0.14000000000000001</v>
      </c>
      <c r="AZ177" s="218">
        <v>5</v>
      </c>
      <c r="BL177" s="218">
        <v>4.8</v>
      </c>
      <c r="BM177" s="251">
        <f t="shared" si="14"/>
        <v>-4.8</v>
      </c>
      <c r="BN177" s="218">
        <v>0.31</v>
      </c>
      <c r="BO177" s="218">
        <v>0.14000000000000001</v>
      </c>
      <c r="BP177" s="218">
        <v>5</v>
      </c>
    </row>
    <row r="178" spans="2:68">
      <c r="B178" s="218">
        <v>4.95</v>
      </c>
      <c r="C178" s="218">
        <f t="shared" si="10"/>
        <v>-4.95</v>
      </c>
      <c r="D178" s="218">
        <v>0.16</v>
      </c>
      <c r="E178" s="218">
        <v>0.14000000000000001</v>
      </c>
      <c r="F178" s="218">
        <v>5</v>
      </c>
      <c r="Q178" s="218">
        <v>5</v>
      </c>
      <c r="R178" s="251">
        <f t="shared" si="11"/>
        <v>-5</v>
      </c>
      <c r="S178" s="218">
        <v>0.37</v>
      </c>
      <c r="T178" s="218">
        <v>0.14000000000000001</v>
      </c>
      <c r="U178" s="218">
        <v>5</v>
      </c>
      <c r="AF178" s="218">
        <v>4.92</v>
      </c>
      <c r="AG178" s="251">
        <f t="shared" si="12"/>
        <v>-4.92</v>
      </c>
      <c r="AH178" s="218">
        <v>0.32</v>
      </c>
      <c r="AI178" s="218">
        <v>0.14000000000000001</v>
      </c>
      <c r="AJ178" s="218">
        <v>5</v>
      </c>
      <c r="AV178" s="218">
        <v>4.91</v>
      </c>
      <c r="AW178" s="251">
        <f t="shared" si="13"/>
        <v>-4.91</v>
      </c>
      <c r="AX178" s="218">
        <v>0.23</v>
      </c>
      <c r="AY178" s="218">
        <v>0.14000000000000001</v>
      </c>
      <c r="AZ178" s="218">
        <v>5</v>
      </c>
      <c r="BL178" s="218">
        <v>4.83</v>
      </c>
      <c r="BM178" s="251">
        <f t="shared" si="14"/>
        <v>-4.83</v>
      </c>
      <c r="BN178" s="218">
        <v>0.31</v>
      </c>
      <c r="BO178" s="218">
        <v>0.14000000000000001</v>
      </c>
      <c r="BP178" s="218">
        <v>5</v>
      </c>
    </row>
    <row r="179" spans="2:68">
      <c r="B179" s="218">
        <v>4.97</v>
      </c>
      <c r="C179" s="218">
        <f t="shared" si="10"/>
        <v>-4.97</v>
      </c>
      <c r="D179" s="218">
        <v>0.16</v>
      </c>
      <c r="E179" s="218">
        <v>0.14000000000000001</v>
      </c>
      <c r="F179" s="218">
        <v>5</v>
      </c>
      <c r="Q179" s="218">
        <v>5.0199999999999996</v>
      </c>
      <c r="R179" s="251">
        <f t="shared" si="11"/>
        <v>-5.0199999999999996</v>
      </c>
      <c r="S179" s="218">
        <v>0.36</v>
      </c>
      <c r="T179" s="218">
        <v>0.14000000000000001</v>
      </c>
      <c r="U179" s="218">
        <v>5</v>
      </c>
      <c r="AF179" s="218">
        <v>4.9400000000000004</v>
      </c>
      <c r="AG179" s="251">
        <f t="shared" si="12"/>
        <v>-4.9400000000000004</v>
      </c>
      <c r="AH179" s="218">
        <v>0.33</v>
      </c>
      <c r="AI179" s="218">
        <v>0.14000000000000001</v>
      </c>
      <c r="AJ179" s="218">
        <v>5</v>
      </c>
      <c r="AV179" s="218">
        <v>4.93</v>
      </c>
      <c r="AW179" s="251">
        <f t="shared" si="13"/>
        <v>-4.93</v>
      </c>
      <c r="AX179" s="218">
        <v>0.23</v>
      </c>
      <c r="AY179" s="218">
        <v>0.14000000000000001</v>
      </c>
      <c r="AZ179" s="218">
        <v>5</v>
      </c>
      <c r="BL179" s="218">
        <v>4.8499999999999996</v>
      </c>
      <c r="BM179" s="251">
        <f t="shared" si="14"/>
        <v>-4.8499999999999996</v>
      </c>
      <c r="BN179" s="218">
        <v>0.31</v>
      </c>
      <c r="BO179" s="218">
        <v>0.14000000000000001</v>
      </c>
      <c r="BP179" s="218">
        <v>5</v>
      </c>
    </row>
    <row r="180" spans="2:68">
      <c r="B180" s="218">
        <v>5</v>
      </c>
      <c r="C180" s="218">
        <f t="shared" si="10"/>
        <v>-5</v>
      </c>
      <c r="D180" s="218">
        <v>0.15</v>
      </c>
      <c r="E180" s="218">
        <v>0.14000000000000001</v>
      </c>
      <c r="F180" s="218">
        <v>5</v>
      </c>
      <c r="Q180" s="218">
        <v>5.05</v>
      </c>
      <c r="R180" s="251">
        <f t="shared" si="11"/>
        <v>-5.05</v>
      </c>
      <c r="S180" s="218">
        <v>0.36</v>
      </c>
      <c r="T180" s="218">
        <v>0.14000000000000001</v>
      </c>
      <c r="U180" s="218">
        <v>5</v>
      </c>
      <c r="AF180" s="218">
        <v>4.97</v>
      </c>
      <c r="AG180" s="251">
        <f t="shared" si="12"/>
        <v>-4.97</v>
      </c>
      <c r="AH180" s="218">
        <v>0.33</v>
      </c>
      <c r="AI180" s="218">
        <v>0.14000000000000001</v>
      </c>
      <c r="AJ180" s="218">
        <v>5</v>
      </c>
      <c r="AV180" s="218">
        <v>4.96</v>
      </c>
      <c r="AW180" s="251">
        <f t="shared" si="13"/>
        <v>-4.96</v>
      </c>
      <c r="AX180" s="218">
        <v>0.23</v>
      </c>
      <c r="AY180" s="218">
        <v>0.14000000000000001</v>
      </c>
      <c r="AZ180" s="218">
        <v>5</v>
      </c>
      <c r="BL180" s="218">
        <v>4.88</v>
      </c>
      <c r="BM180" s="251">
        <f t="shared" si="14"/>
        <v>-4.88</v>
      </c>
      <c r="BN180" s="218">
        <v>0.31</v>
      </c>
      <c r="BO180" s="218">
        <v>0.14000000000000001</v>
      </c>
      <c r="BP180" s="218">
        <v>5</v>
      </c>
    </row>
    <row r="181" spans="2:68">
      <c r="B181" s="218">
        <v>5.0199999999999996</v>
      </c>
      <c r="C181" s="218">
        <f t="shared" si="10"/>
        <v>-5.0199999999999996</v>
      </c>
      <c r="D181" s="218">
        <v>0.15</v>
      </c>
      <c r="E181" s="218">
        <v>0.14000000000000001</v>
      </c>
      <c r="F181" s="218">
        <v>5</v>
      </c>
      <c r="Q181" s="218">
        <v>5.07</v>
      </c>
      <c r="R181" s="251">
        <f t="shared" si="11"/>
        <v>-5.07</v>
      </c>
      <c r="S181" s="218">
        <v>0.36</v>
      </c>
      <c r="T181" s="218">
        <v>0.14000000000000001</v>
      </c>
      <c r="U181" s="218">
        <v>5</v>
      </c>
      <c r="AF181" s="218">
        <v>4.99</v>
      </c>
      <c r="AG181" s="251">
        <f t="shared" si="12"/>
        <v>-4.99</v>
      </c>
      <c r="AH181" s="218">
        <v>0.33</v>
      </c>
      <c r="AI181" s="218">
        <v>0.14000000000000001</v>
      </c>
      <c r="AJ181" s="218">
        <v>5</v>
      </c>
      <c r="AV181" s="218">
        <v>4.9800000000000004</v>
      </c>
      <c r="AW181" s="251">
        <f t="shared" si="13"/>
        <v>-4.9800000000000004</v>
      </c>
      <c r="AX181" s="218">
        <v>0.23</v>
      </c>
      <c r="AY181" s="218">
        <v>0.14000000000000001</v>
      </c>
      <c r="AZ181" s="218">
        <v>5</v>
      </c>
      <c r="BL181" s="218">
        <v>4.9000000000000004</v>
      </c>
      <c r="BM181" s="251">
        <f t="shared" si="14"/>
        <v>-4.9000000000000004</v>
      </c>
      <c r="BN181" s="218">
        <v>0.31</v>
      </c>
      <c r="BO181" s="218">
        <v>0.14000000000000001</v>
      </c>
      <c r="BP181" s="218">
        <v>5</v>
      </c>
    </row>
    <row r="182" spans="2:68">
      <c r="B182" s="218">
        <v>5.05</v>
      </c>
      <c r="C182" s="218">
        <f t="shared" si="10"/>
        <v>-5.05</v>
      </c>
      <c r="D182" s="218">
        <v>0.15</v>
      </c>
      <c r="E182" s="218">
        <v>0.14000000000000001</v>
      </c>
      <c r="F182" s="218">
        <v>5</v>
      </c>
      <c r="Q182" s="218">
        <v>5.0999999999999996</v>
      </c>
      <c r="R182" s="251">
        <f t="shared" si="11"/>
        <v>-5.0999999999999996</v>
      </c>
      <c r="S182" s="218">
        <v>0.36</v>
      </c>
      <c r="T182" s="218">
        <v>0.14000000000000001</v>
      </c>
      <c r="U182" s="218">
        <v>5</v>
      </c>
      <c r="AF182" s="218">
        <v>5.0199999999999996</v>
      </c>
      <c r="AG182" s="251">
        <f t="shared" si="12"/>
        <v>-5.0199999999999996</v>
      </c>
      <c r="AH182" s="218">
        <v>0.33</v>
      </c>
      <c r="AI182" s="218">
        <v>0.14000000000000001</v>
      </c>
      <c r="AJ182" s="218">
        <v>5</v>
      </c>
      <c r="AV182" s="218">
        <v>5.01</v>
      </c>
      <c r="AW182" s="251">
        <f t="shared" si="13"/>
        <v>-5.01</v>
      </c>
      <c r="AX182" s="218">
        <v>0.23</v>
      </c>
      <c r="AY182" s="218">
        <v>0.14000000000000001</v>
      </c>
      <c r="AZ182" s="218">
        <v>5</v>
      </c>
      <c r="BL182" s="218">
        <v>4.93</v>
      </c>
      <c r="BM182" s="251">
        <f t="shared" si="14"/>
        <v>-4.93</v>
      </c>
      <c r="BN182" s="218">
        <v>0.31</v>
      </c>
      <c r="BO182" s="218">
        <v>0.14000000000000001</v>
      </c>
      <c r="BP182" s="218">
        <v>5</v>
      </c>
    </row>
    <row r="183" spans="2:68">
      <c r="B183" s="218">
        <v>5.07</v>
      </c>
      <c r="C183" s="218">
        <f t="shared" si="10"/>
        <v>-5.07</v>
      </c>
      <c r="D183" s="218">
        <v>0.15</v>
      </c>
      <c r="E183" s="218">
        <v>0.14000000000000001</v>
      </c>
      <c r="F183" s="218">
        <v>5</v>
      </c>
      <c r="Q183" s="218">
        <v>5.12</v>
      </c>
      <c r="R183" s="251">
        <f t="shared" si="11"/>
        <v>-5.12</v>
      </c>
      <c r="S183" s="218">
        <v>0.36</v>
      </c>
      <c r="T183" s="218">
        <v>0.14000000000000001</v>
      </c>
      <c r="U183" s="218">
        <v>5</v>
      </c>
      <c r="AF183" s="218">
        <v>5.04</v>
      </c>
      <c r="AG183" s="251">
        <f t="shared" si="12"/>
        <v>-5.04</v>
      </c>
      <c r="AH183" s="218">
        <v>0.33</v>
      </c>
      <c r="AI183" s="218">
        <v>0.14000000000000001</v>
      </c>
      <c r="AJ183" s="218">
        <v>5</v>
      </c>
      <c r="AV183" s="218">
        <v>5.03</v>
      </c>
      <c r="AW183" s="251">
        <f t="shared" si="13"/>
        <v>-5.03</v>
      </c>
      <c r="AX183" s="218">
        <v>0.22</v>
      </c>
      <c r="AY183" s="218">
        <v>0.14000000000000001</v>
      </c>
      <c r="AZ183" s="218">
        <v>5</v>
      </c>
      <c r="BL183" s="218">
        <v>4.95</v>
      </c>
      <c r="BM183" s="251">
        <f t="shared" si="14"/>
        <v>-4.95</v>
      </c>
      <c r="BN183" s="218">
        <v>0.32</v>
      </c>
      <c r="BO183" s="218">
        <v>0.14000000000000001</v>
      </c>
      <c r="BP183" s="218">
        <v>5</v>
      </c>
    </row>
    <row r="184" spans="2:68">
      <c r="B184" s="218">
        <v>5.0999999999999996</v>
      </c>
      <c r="C184" s="218">
        <f t="shared" si="10"/>
        <v>-5.0999999999999996</v>
      </c>
      <c r="D184" s="218">
        <v>0.15</v>
      </c>
      <c r="E184" s="218">
        <v>0.14000000000000001</v>
      </c>
      <c r="F184" s="218">
        <v>5</v>
      </c>
      <c r="Q184" s="218">
        <v>5.15</v>
      </c>
      <c r="R184" s="251">
        <f t="shared" si="11"/>
        <v>-5.15</v>
      </c>
      <c r="S184" s="218">
        <v>0.35</v>
      </c>
      <c r="T184" s="218">
        <v>0.14000000000000001</v>
      </c>
      <c r="U184" s="218">
        <v>5</v>
      </c>
      <c r="AF184" s="218">
        <v>5.07</v>
      </c>
      <c r="AG184" s="251">
        <f t="shared" si="12"/>
        <v>-5.07</v>
      </c>
      <c r="AH184" s="218">
        <v>0.33</v>
      </c>
      <c r="AI184" s="218">
        <v>0.14000000000000001</v>
      </c>
      <c r="AJ184" s="218">
        <v>5</v>
      </c>
      <c r="AV184" s="218">
        <v>5.0599999999999996</v>
      </c>
      <c r="AW184" s="251">
        <f t="shared" si="13"/>
        <v>-5.0599999999999996</v>
      </c>
      <c r="AX184" s="218">
        <v>0.22</v>
      </c>
      <c r="AY184" s="218">
        <v>0.14000000000000001</v>
      </c>
      <c r="AZ184" s="218">
        <v>5</v>
      </c>
      <c r="BL184" s="218">
        <v>4.9800000000000004</v>
      </c>
      <c r="BM184" s="251">
        <f t="shared" si="14"/>
        <v>-4.9800000000000004</v>
      </c>
      <c r="BN184" s="218">
        <v>0.32</v>
      </c>
      <c r="BO184" s="218">
        <v>0.14000000000000001</v>
      </c>
      <c r="BP184" s="218">
        <v>5</v>
      </c>
    </row>
    <row r="185" spans="2:68">
      <c r="B185" s="218">
        <v>5.12</v>
      </c>
      <c r="C185" s="218">
        <f t="shared" si="10"/>
        <v>-5.12</v>
      </c>
      <c r="D185" s="218">
        <v>0.14000000000000001</v>
      </c>
      <c r="E185" s="218">
        <v>0.14000000000000001</v>
      </c>
      <c r="F185" s="218">
        <v>5</v>
      </c>
      <c r="Q185" s="218">
        <v>5.17</v>
      </c>
      <c r="R185" s="251">
        <f t="shared" si="11"/>
        <v>-5.17</v>
      </c>
      <c r="S185" s="218">
        <v>0.35</v>
      </c>
      <c r="T185" s="218">
        <v>0.14000000000000001</v>
      </c>
      <c r="U185" s="218">
        <v>5</v>
      </c>
      <c r="AF185" s="218">
        <v>5.09</v>
      </c>
      <c r="AG185" s="251">
        <f t="shared" si="12"/>
        <v>-5.09</v>
      </c>
      <c r="AH185" s="218">
        <v>0.33</v>
      </c>
      <c r="AI185" s="218">
        <v>0.14000000000000001</v>
      </c>
      <c r="AJ185" s="218">
        <v>5</v>
      </c>
      <c r="AV185" s="218">
        <v>5.08</v>
      </c>
      <c r="AW185" s="251">
        <f t="shared" si="13"/>
        <v>-5.08</v>
      </c>
      <c r="AX185" s="218">
        <v>0.22</v>
      </c>
      <c r="AY185" s="218">
        <v>0.14000000000000001</v>
      </c>
      <c r="AZ185" s="218">
        <v>5</v>
      </c>
      <c r="BL185" s="218">
        <v>5</v>
      </c>
      <c r="BM185" s="251">
        <f t="shared" si="14"/>
        <v>-5</v>
      </c>
      <c r="BN185" s="218">
        <v>0.32</v>
      </c>
      <c r="BO185" s="218">
        <v>0.14000000000000001</v>
      </c>
      <c r="BP185" s="218">
        <v>5</v>
      </c>
    </row>
    <row r="186" spans="2:68">
      <c r="B186" s="218">
        <v>5.15</v>
      </c>
      <c r="C186" s="218">
        <f t="shared" si="10"/>
        <v>-5.15</v>
      </c>
      <c r="D186" s="218">
        <v>0.14000000000000001</v>
      </c>
      <c r="E186" s="218">
        <v>0.14000000000000001</v>
      </c>
      <c r="F186" s="218">
        <v>5</v>
      </c>
      <c r="Q186" s="218">
        <v>5.2</v>
      </c>
      <c r="R186" s="251">
        <f t="shared" si="11"/>
        <v>-5.2</v>
      </c>
      <c r="S186" s="218">
        <v>0.35</v>
      </c>
      <c r="T186" s="218">
        <v>0.14000000000000001</v>
      </c>
      <c r="U186" s="218">
        <v>5</v>
      </c>
      <c r="AF186" s="218">
        <v>5.12</v>
      </c>
      <c r="AG186" s="251">
        <f t="shared" si="12"/>
        <v>-5.12</v>
      </c>
      <c r="AH186" s="218">
        <v>0.33</v>
      </c>
      <c r="AI186" s="218">
        <v>0.14000000000000001</v>
      </c>
      <c r="AJ186" s="218">
        <v>5</v>
      </c>
      <c r="AV186" s="218">
        <v>5.1100000000000003</v>
      </c>
      <c r="AW186" s="251">
        <f t="shared" si="13"/>
        <v>-5.1100000000000003</v>
      </c>
      <c r="AX186" s="218">
        <v>0.22</v>
      </c>
      <c r="AY186" s="218">
        <v>0.14000000000000001</v>
      </c>
      <c r="AZ186" s="218">
        <v>5</v>
      </c>
      <c r="BL186" s="218">
        <v>5.03</v>
      </c>
      <c r="BM186" s="251">
        <f t="shared" si="14"/>
        <v>-5.03</v>
      </c>
      <c r="BN186" s="218">
        <v>0.32</v>
      </c>
      <c r="BO186" s="218">
        <v>0.14000000000000001</v>
      </c>
      <c r="BP186" s="218">
        <v>5</v>
      </c>
    </row>
    <row r="187" spans="2:68">
      <c r="B187" s="218">
        <v>5.17</v>
      </c>
      <c r="C187" s="218">
        <f t="shared" si="10"/>
        <v>-5.17</v>
      </c>
      <c r="D187" s="218">
        <v>0.15</v>
      </c>
      <c r="E187" s="218">
        <v>0.14000000000000001</v>
      </c>
      <c r="F187" s="218">
        <v>5</v>
      </c>
      <c r="Q187" s="218">
        <v>5.22</v>
      </c>
      <c r="R187" s="251">
        <f t="shared" si="11"/>
        <v>-5.22</v>
      </c>
      <c r="S187" s="218">
        <v>0.34</v>
      </c>
      <c r="T187" s="218">
        <v>0.14000000000000001</v>
      </c>
      <c r="U187" s="218">
        <v>5</v>
      </c>
      <c r="AF187" s="218">
        <v>5.14</v>
      </c>
      <c r="AG187" s="251">
        <f t="shared" si="12"/>
        <v>-5.14</v>
      </c>
      <c r="AH187" s="218">
        <v>0.32</v>
      </c>
      <c r="AI187" s="218">
        <v>0.14000000000000001</v>
      </c>
      <c r="AJ187" s="218">
        <v>5</v>
      </c>
      <c r="AV187" s="218">
        <v>5.13</v>
      </c>
      <c r="AW187" s="251">
        <f t="shared" si="13"/>
        <v>-5.13</v>
      </c>
      <c r="AX187" s="218">
        <v>0.22</v>
      </c>
      <c r="AY187" s="218">
        <v>0.14000000000000001</v>
      </c>
      <c r="AZ187" s="218">
        <v>5</v>
      </c>
      <c r="BL187" s="218">
        <v>5.05</v>
      </c>
      <c r="BM187" s="251">
        <f t="shared" si="14"/>
        <v>-5.05</v>
      </c>
      <c r="BN187" s="218">
        <v>0.32</v>
      </c>
      <c r="BO187" s="218">
        <v>0.14000000000000001</v>
      </c>
      <c r="BP187" s="218">
        <v>5</v>
      </c>
    </row>
    <row r="188" spans="2:68">
      <c r="B188" s="218">
        <v>5.2</v>
      </c>
      <c r="C188" s="218">
        <f t="shared" si="10"/>
        <v>-5.2</v>
      </c>
      <c r="D188" s="218">
        <v>0.15</v>
      </c>
      <c r="E188" s="218">
        <v>0.14000000000000001</v>
      </c>
      <c r="F188" s="218">
        <v>5</v>
      </c>
      <c r="Q188" s="218">
        <v>5.25</v>
      </c>
      <c r="R188" s="251">
        <f t="shared" si="11"/>
        <v>-5.25</v>
      </c>
      <c r="S188" s="218">
        <v>0.34</v>
      </c>
      <c r="T188" s="218">
        <v>0.14000000000000001</v>
      </c>
      <c r="U188" s="218">
        <v>2.37</v>
      </c>
      <c r="AF188" s="218">
        <v>5.17</v>
      </c>
      <c r="AG188" s="251">
        <f t="shared" si="12"/>
        <v>-5.17</v>
      </c>
      <c r="AH188" s="218">
        <v>0.32</v>
      </c>
      <c r="AI188" s="218">
        <v>0.14000000000000001</v>
      </c>
      <c r="AJ188" s="218">
        <v>5</v>
      </c>
      <c r="AV188" s="218">
        <v>5.16</v>
      </c>
      <c r="AW188" s="251">
        <f t="shared" si="13"/>
        <v>-5.16</v>
      </c>
      <c r="AX188" s="218">
        <v>0.22</v>
      </c>
      <c r="AY188" s="218">
        <v>0.14000000000000001</v>
      </c>
      <c r="AZ188" s="218">
        <v>5</v>
      </c>
      <c r="BL188" s="218">
        <v>5.08</v>
      </c>
      <c r="BM188" s="251">
        <f t="shared" si="14"/>
        <v>-5.08</v>
      </c>
      <c r="BN188" s="218">
        <v>0.31</v>
      </c>
      <c r="BO188" s="218">
        <v>0.14000000000000001</v>
      </c>
      <c r="BP188" s="218">
        <v>5</v>
      </c>
    </row>
    <row r="189" spans="2:68">
      <c r="B189" s="218">
        <v>5.22</v>
      </c>
      <c r="C189" s="218">
        <f t="shared" si="10"/>
        <v>-5.22</v>
      </c>
      <c r="D189" s="218">
        <v>0.15</v>
      </c>
      <c r="E189" s="218">
        <v>0.14000000000000001</v>
      </c>
      <c r="F189" s="218">
        <v>5</v>
      </c>
      <c r="Q189" s="218">
        <v>5.27</v>
      </c>
      <c r="R189" s="251">
        <f t="shared" si="11"/>
        <v>-5.27</v>
      </c>
      <c r="S189" s="218">
        <v>0.33</v>
      </c>
      <c r="T189" s="218">
        <v>0.14000000000000001</v>
      </c>
      <c r="U189" s="218">
        <v>2.33</v>
      </c>
      <c r="AF189" s="218">
        <v>5.19</v>
      </c>
      <c r="AG189" s="251">
        <f t="shared" si="12"/>
        <v>-5.19</v>
      </c>
      <c r="AH189" s="218">
        <v>0.31</v>
      </c>
      <c r="AI189" s="218">
        <v>0.14000000000000001</v>
      </c>
      <c r="AJ189" s="218">
        <v>5</v>
      </c>
      <c r="AV189" s="218">
        <v>5.18</v>
      </c>
      <c r="AW189" s="251">
        <f t="shared" si="13"/>
        <v>-5.18</v>
      </c>
      <c r="AX189" s="218">
        <v>0.22</v>
      </c>
      <c r="AY189" s="218">
        <v>0.14000000000000001</v>
      </c>
      <c r="AZ189" s="218">
        <v>5</v>
      </c>
      <c r="BL189" s="218">
        <v>5.0999999999999996</v>
      </c>
      <c r="BM189" s="251">
        <f t="shared" si="14"/>
        <v>-5.0999999999999996</v>
      </c>
      <c r="BN189" s="218">
        <v>0.31</v>
      </c>
      <c r="BO189" s="218">
        <v>0.14000000000000001</v>
      </c>
      <c r="BP189" s="218">
        <v>5</v>
      </c>
    </row>
    <row r="190" spans="2:68">
      <c r="B190" s="218">
        <v>5.25</v>
      </c>
      <c r="C190" s="218">
        <f t="shared" si="10"/>
        <v>-5.25</v>
      </c>
      <c r="D190" s="218">
        <v>0.15</v>
      </c>
      <c r="E190" s="218">
        <v>0.14000000000000001</v>
      </c>
      <c r="F190" s="218">
        <v>5</v>
      </c>
      <c r="Q190" s="218">
        <v>5.3</v>
      </c>
      <c r="R190" s="251">
        <f t="shared" si="11"/>
        <v>-5.3</v>
      </c>
      <c r="S190" s="218">
        <v>0.33</v>
      </c>
      <c r="T190" s="218">
        <v>0.14000000000000001</v>
      </c>
      <c r="U190" s="218">
        <v>2.2999999999999998</v>
      </c>
      <c r="AF190" s="218">
        <v>5.22</v>
      </c>
      <c r="AG190" s="251">
        <f t="shared" si="12"/>
        <v>-5.22</v>
      </c>
      <c r="AH190" s="218">
        <v>0.31</v>
      </c>
      <c r="AI190" s="218">
        <v>0.14000000000000001</v>
      </c>
      <c r="AJ190" s="218">
        <v>5</v>
      </c>
      <c r="AV190" s="218">
        <v>5.21</v>
      </c>
      <c r="AW190" s="251">
        <f t="shared" si="13"/>
        <v>-5.21</v>
      </c>
      <c r="AX190" s="218">
        <v>0.22</v>
      </c>
      <c r="AY190" s="218">
        <v>0.14000000000000001</v>
      </c>
      <c r="AZ190" s="218">
        <v>5</v>
      </c>
      <c r="BL190" s="218">
        <v>5.13</v>
      </c>
      <c r="BM190" s="251">
        <f t="shared" si="14"/>
        <v>-5.13</v>
      </c>
      <c r="BN190" s="218">
        <v>0.31</v>
      </c>
      <c r="BO190" s="218">
        <v>0.14000000000000001</v>
      </c>
      <c r="BP190" s="218">
        <v>5</v>
      </c>
    </row>
    <row r="191" spans="2:68">
      <c r="B191" s="218">
        <v>5.27</v>
      </c>
      <c r="C191" s="218">
        <f t="shared" si="10"/>
        <v>-5.27</v>
      </c>
      <c r="D191" s="218">
        <v>0.15</v>
      </c>
      <c r="E191" s="218">
        <v>0.14000000000000001</v>
      </c>
      <c r="F191" s="218">
        <v>5</v>
      </c>
      <c r="Q191" s="218">
        <v>5.32</v>
      </c>
      <c r="R191" s="251">
        <f t="shared" si="11"/>
        <v>-5.32</v>
      </c>
      <c r="S191" s="218">
        <v>0.32</v>
      </c>
      <c r="T191" s="218">
        <v>0.14000000000000001</v>
      </c>
      <c r="U191" s="218">
        <v>2.2599999999999998</v>
      </c>
      <c r="AF191" s="218">
        <v>5.24</v>
      </c>
      <c r="AG191" s="251">
        <f t="shared" si="12"/>
        <v>-5.24</v>
      </c>
      <c r="AH191" s="218">
        <v>0.31</v>
      </c>
      <c r="AI191" s="218">
        <v>0.14000000000000001</v>
      </c>
      <c r="AJ191" s="218">
        <v>5</v>
      </c>
      <c r="AV191" s="218">
        <v>5.23</v>
      </c>
      <c r="AW191" s="251">
        <f t="shared" si="13"/>
        <v>-5.23</v>
      </c>
      <c r="AX191" s="218">
        <v>0.22</v>
      </c>
      <c r="AY191" s="218">
        <v>0.14000000000000001</v>
      </c>
      <c r="AZ191" s="218">
        <v>5</v>
      </c>
      <c r="BL191" s="218">
        <v>5.15</v>
      </c>
      <c r="BM191" s="251">
        <f t="shared" si="14"/>
        <v>-5.15</v>
      </c>
      <c r="BN191" s="218">
        <v>0.31</v>
      </c>
      <c r="BO191" s="218">
        <v>0.14000000000000001</v>
      </c>
      <c r="BP191" s="218">
        <v>5</v>
      </c>
    </row>
    <row r="192" spans="2:68">
      <c r="B192" s="218">
        <v>5.3</v>
      </c>
      <c r="C192" s="218">
        <f t="shared" si="10"/>
        <v>-5.3</v>
      </c>
      <c r="D192" s="218">
        <v>0.15</v>
      </c>
      <c r="E192" s="218">
        <v>0.14000000000000001</v>
      </c>
      <c r="F192" s="218">
        <v>5</v>
      </c>
      <c r="Q192" s="218">
        <v>5.35</v>
      </c>
      <c r="R192" s="251">
        <f t="shared" si="11"/>
        <v>-5.35</v>
      </c>
      <c r="S192" s="218">
        <v>0.32</v>
      </c>
      <c r="T192" s="218">
        <v>0.14000000000000001</v>
      </c>
      <c r="U192" s="218">
        <v>2.23</v>
      </c>
      <c r="AF192" s="218">
        <v>5.27</v>
      </c>
      <c r="AG192" s="251">
        <f t="shared" si="12"/>
        <v>-5.27</v>
      </c>
      <c r="AH192" s="218">
        <v>0.3</v>
      </c>
      <c r="AI192" s="218">
        <v>0.14000000000000001</v>
      </c>
      <c r="AJ192" s="218">
        <v>5</v>
      </c>
      <c r="AV192" s="218">
        <v>5.26</v>
      </c>
      <c r="AW192" s="251">
        <f t="shared" si="13"/>
        <v>-5.26</v>
      </c>
      <c r="AX192" s="218">
        <v>0.22</v>
      </c>
      <c r="AY192" s="218">
        <v>0.14000000000000001</v>
      </c>
      <c r="AZ192" s="218">
        <v>5</v>
      </c>
      <c r="BL192" s="218">
        <v>5.18</v>
      </c>
      <c r="BM192" s="251">
        <f t="shared" si="14"/>
        <v>-5.18</v>
      </c>
      <c r="BN192" s="218">
        <v>0.31</v>
      </c>
      <c r="BO192" s="218">
        <v>0.14000000000000001</v>
      </c>
      <c r="BP192" s="218">
        <v>5</v>
      </c>
    </row>
    <row r="193" spans="2:68">
      <c r="B193" s="218">
        <v>5.32</v>
      </c>
      <c r="C193" s="218">
        <f t="shared" si="10"/>
        <v>-5.32</v>
      </c>
      <c r="D193" s="218">
        <v>0.15</v>
      </c>
      <c r="E193" s="218">
        <v>0.14000000000000001</v>
      </c>
      <c r="F193" s="218">
        <v>1.08</v>
      </c>
      <c r="Q193" s="218">
        <v>5.37</v>
      </c>
      <c r="R193" s="251">
        <f t="shared" si="11"/>
        <v>-5.37</v>
      </c>
      <c r="S193" s="218">
        <v>0.32</v>
      </c>
      <c r="T193" s="218">
        <v>0.14000000000000001</v>
      </c>
      <c r="U193" s="218">
        <v>2.19</v>
      </c>
      <c r="AF193" s="218">
        <v>5.29</v>
      </c>
      <c r="AG193" s="251">
        <f t="shared" si="12"/>
        <v>-5.29</v>
      </c>
      <c r="AH193" s="218">
        <v>0.3</v>
      </c>
      <c r="AI193" s="218">
        <v>0.14000000000000001</v>
      </c>
      <c r="AJ193" s="218">
        <v>5</v>
      </c>
      <c r="AV193" s="218">
        <v>5.28</v>
      </c>
      <c r="AW193" s="251">
        <f t="shared" si="13"/>
        <v>-5.28</v>
      </c>
      <c r="AX193" s="218">
        <v>0.22</v>
      </c>
      <c r="AY193" s="218">
        <v>0.14000000000000001</v>
      </c>
      <c r="AZ193" s="218">
        <v>5</v>
      </c>
      <c r="BL193" s="218">
        <v>5.2</v>
      </c>
      <c r="BM193" s="251">
        <f t="shared" si="14"/>
        <v>-5.2</v>
      </c>
      <c r="BN193" s="218">
        <v>0.31</v>
      </c>
      <c r="BO193" s="218">
        <v>0.14000000000000001</v>
      </c>
      <c r="BP193" s="218">
        <v>5</v>
      </c>
    </row>
    <row r="194" spans="2:68">
      <c r="B194" s="218">
        <v>5.35</v>
      </c>
      <c r="C194" s="218">
        <f t="shared" si="10"/>
        <v>-5.35</v>
      </c>
      <c r="D194" s="218">
        <v>0.15</v>
      </c>
      <c r="E194" s="218">
        <v>0.14000000000000001</v>
      </c>
      <c r="F194" s="218">
        <v>1.0900000000000001</v>
      </c>
      <c r="Q194" s="218">
        <v>5.4</v>
      </c>
      <c r="R194" s="251">
        <f t="shared" si="11"/>
        <v>-5.4</v>
      </c>
      <c r="S194" s="218">
        <v>0.31</v>
      </c>
      <c r="T194" s="218">
        <v>0.14000000000000001</v>
      </c>
      <c r="U194" s="218">
        <v>2.16</v>
      </c>
      <c r="AF194" s="218">
        <v>5.32</v>
      </c>
      <c r="AG194" s="251">
        <f t="shared" si="12"/>
        <v>-5.32</v>
      </c>
      <c r="AH194" s="218">
        <v>0.28999999999999998</v>
      </c>
      <c r="AI194" s="218">
        <v>0.14000000000000001</v>
      </c>
      <c r="AJ194" s="218">
        <v>5</v>
      </c>
      <c r="AV194" s="218">
        <v>5.31</v>
      </c>
      <c r="AW194" s="251">
        <f t="shared" si="13"/>
        <v>-5.31</v>
      </c>
      <c r="AX194" s="218">
        <v>0.23</v>
      </c>
      <c r="AY194" s="218">
        <v>0.14000000000000001</v>
      </c>
      <c r="AZ194" s="218">
        <v>5</v>
      </c>
      <c r="BL194" s="218">
        <v>5.23</v>
      </c>
      <c r="BM194" s="251">
        <f t="shared" si="14"/>
        <v>-5.23</v>
      </c>
      <c r="BN194" s="218">
        <v>0.31</v>
      </c>
      <c r="BO194" s="218">
        <v>0.14000000000000001</v>
      </c>
      <c r="BP194" s="218">
        <v>5</v>
      </c>
    </row>
    <row r="195" spans="2:68">
      <c r="B195" s="218">
        <v>5.37</v>
      </c>
      <c r="C195" s="218">
        <f t="shared" si="10"/>
        <v>-5.37</v>
      </c>
      <c r="D195" s="218">
        <v>0.16</v>
      </c>
      <c r="E195" s="218">
        <v>0.14000000000000001</v>
      </c>
      <c r="F195" s="218">
        <v>1.0900000000000001</v>
      </c>
      <c r="Q195" s="218">
        <v>5.42</v>
      </c>
      <c r="R195" s="251">
        <f t="shared" si="11"/>
        <v>-5.42</v>
      </c>
      <c r="S195" s="218">
        <v>0.31</v>
      </c>
      <c r="T195" s="218">
        <v>0.14000000000000001</v>
      </c>
      <c r="U195" s="218">
        <v>2.13</v>
      </c>
      <c r="AF195" s="218">
        <v>5.34</v>
      </c>
      <c r="AG195" s="251">
        <f t="shared" si="12"/>
        <v>-5.34</v>
      </c>
      <c r="AH195" s="218">
        <v>0.28999999999999998</v>
      </c>
      <c r="AI195" s="218">
        <v>0.14000000000000001</v>
      </c>
      <c r="AJ195" s="218">
        <v>5</v>
      </c>
      <c r="AV195" s="218">
        <v>5.33</v>
      </c>
      <c r="AW195" s="251">
        <f t="shared" si="13"/>
        <v>-5.33</v>
      </c>
      <c r="AX195" s="218">
        <v>0.23</v>
      </c>
      <c r="AY195" s="218">
        <v>0.14000000000000001</v>
      </c>
      <c r="AZ195" s="218">
        <v>1.59</v>
      </c>
      <c r="BL195" s="218">
        <v>5.25</v>
      </c>
      <c r="BM195" s="251">
        <f t="shared" si="14"/>
        <v>-5.25</v>
      </c>
      <c r="BN195" s="218">
        <v>0.31</v>
      </c>
      <c r="BO195" s="218">
        <v>0.14000000000000001</v>
      </c>
      <c r="BP195" s="218">
        <v>5</v>
      </c>
    </row>
    <row r="196" spans="2:68">
      <c r="B196" s="218">
        <v>5.4</v>
      </c>
      <c r="C196" s="218">
        <f t="shared" si="10"/>
        <v>-5.4</v>
      </c>
      <c r="D196" s="218">
        <v>0.16</v>
      </c>
      <c r="E196" s="218">
        <v>0.14000000000000001</v>
      </c>
      <c r="F196" s="218">
        <v>1.1000000000000001</v>
      </c>
      <c r="Q196" s="218">
        <v>5.45</v>
      </c>
      <c r="R196" s="251">
        <f t="shared" si="11"/>
        <v>-5.45</v>
      </c>
      <c r="S196" s="218">
        <v>0.3</v>
      </c>
      <c r="T196" s="218">
        <v>0.14000000000000001</v>
      </c>
      <c r="U196" s="218">
        <v>2.09</v>
      </c>
      <c r="AF196" s="218">
        <v>5.37</v>
      </c>
      <c r="AG196" s="251">
        <f t="shared" si="12"/>
        <v>-5.37</v>
      </c>
      <c r="AH196" s="218">
        <v>0.28000000000000003</v>
      </c>
      <c r="AI196" s="218">
        <v>0.14000000000000001</v>
      </c>
      <c r="AJ196" s="218">
        <v>5</v>
      </c>
      <c r="AV196" s="218">
        <v>5.36</v>
      </c>
      <c r="AW196" s="251">
        <f t="shared" si="13"/>
        <v>-5.36</v>
      </c>
      <c r="AX196" s="218">
        <v>0.23</v>
      </c>
      <c r="AY196" s="218">
        <v>0.14000000000000001</v>
      </c>
      <c r="AZ196" s="218">
        <v>1.6</v>
      </c>
      <c r="BL196" s="218">
        <v>5.28</v>
      </c>
      <c r="BM196" s="251">
        <f t="shared" si="14"/>
        <v>-5.28</v>
      </c>
      <c r="BN196" s="218">
        <v>0.31</v>
      </c>
      <c r="BO196" s="218">
        <v>0.14000000000000001</v>
      </c>
      <c r="BP196" s="218">
        <v>5</v>
      </c>
    </row>
    <row r="197" spans="2:68">
      <c r="B197" s="218">
        <v>5.42</v>
      </c>
      <c r="C197" s="218">
        <f t="shared" si="10"/>
        <v>-5.42</v>
      </c>
      <c r="D197" s="218">
        <v>0.16</v>
      </c>
      <c r="E197" s="218">
        <v>0.14000000000000001</v>
      </c>
      <c r="F197" s="218">
        <v>1.1100000000000001</v>
      </c>
      <c r="Q197" s="218">
        <v>5.47</v>
      </c>
      <c r="R197" s="251">
        <f t="shared" si="11"/>
        <v>-5.47</v>
      </c>
      <c r="S197" s="218">
        <v>0.3</v>
      </c>
      <c r="T197" s="218">
        <v>0.15</v>
      </c>
      <c r="U197" s="218">
        <v>2.06</v>
      </c>
      <c r="AF197" s="218">
        <v>5.39</v>
      </c>
      <c r="AG197" s="251">
        <f t="shared" si="12"/>
        <v>-5.39</v>
      </c>
      <c r="AH197" s="218">
        <v>0.28000000000000003</v>
      </c>
      <c r="AI197" s="218">
        <v>0.14000000000000001</v>
      </c>
      <c r="AJ197" s="218">
        <v>5</v>
      </c>
      <c r="AV197" s="218">
        <v>5.38</v>
      </c>
      <c r="AW197" s="251">
        <f t="shared" si="13"/>
        <v>-5.38</v>
      </c>
      <c r="AX197" s="218">
        <v>0.23</v>
      </c>
      <c r="AY197" s="218">
        <v>0.14000000000000001</v>
      </c>
      <c r="AZ197" s="218">
        <v>1.6</v>
      </c>
      <c r="BL197" s="218">
        <v>5.3</v>
      </c>
      <c r="BM197" s="251">
        <f t="shared" si="14"/>
        <v>-5.3</v>
      </c>
      <c r="BN197" s="218">
        <v>0.3</v>
      </c>
      <c r="BO197" s="218">
        <v>0.14000000000000001</v>
      </c>
      <c r="BP197" s="218">
        <v>2.14</v>
      </c>
    </row>
    <row r="198" spans="2:68">
      <c r="B198" s="218">
        <v>5.45</v>
      </c>
      <c r="C198" s="218">
        <f t="shared" ref="C198:C261" si="15">$F$2-B198</f>
        <v>-5.45</v>
      </c>
      <c r="D198" s="218">
        <v>0.16</v>
      </c>
      <c r="E198" s="218">
        <v>0.14000000000000001</v>
      </c>
      <c r="F198" s="218">
        <v>1.1200000000000001</v>
      </c>
      <c r="Q198" s="218">
        <v>5.5</v>
      </c>
      <c r="R198" s="251">
        <f t="shared" ref="R198:R261" si="16">$U$2-Q198</f>
        <v>-5.5</v>
      </c>
      <c r="S198" s="218">
        <v>0.3</v>
      </c>
      <c r="T198" s="218">
        <v>0.15</v>
      </c>
      <c r="U198" s="218">
        <v>2.0299999999999998</v>
      </c>
      <c r="AF198" s="218">
        <v>5.42</v>
      </c>
      <c r="AG198" s="251">
        <f t="shared" ref="AG198:AG261" si="17">$AJ$2-AF198</f>
        <v>-5.42</v>
      </c>
      <c r="AH198" s="218">
        <v>0.27</v>
      </c>
      <c r="AI198" s="218">
        <v>0.14000000000000001</v>
      </c>
      <c r="AJ198" s="218">
        <v>5</v>
      </c>
      <c r="AV198" s="218">
        <v>5.41</v>
      </c>
      <c r="AW198" s="251">
        <f t="shared" ref="AW198:AW261" si="18">$AZ$2-AV198</f>
        <v>-5.41</v>
      </c>
      <c r="AX198" s="218">
        <v>0.23</v>
      </c>
      <c r="AY198" s="218">
        <v>0.14000000000000001</v>
      </c>
      <c r="AZ198" s="218">
        <v>1.6</v>
      </c>
      <c r="BL198" s="218">
        <v>5.33</v>
      </c>
      <c r="BM198" s="251">
        <f t="shared" ref="BM198:BM261" si="19">$AZ$2-BL198</f>
        <v>-5.33</v>
      </c>
      <c r="BN198" s="218">
        <v>0.3</v>
      </c>
      <c r="BO198" s="218">
        <v>0.14000000000000001</v>
      </c>
      <c r="BP198" s="218">
        <v>2.13</v>
      </c>
    </row>
    <row r="199" spans="2:68">
      <c r="B199" s="218">
        <v>5.47</v>
      </c>
      <c r="C199" s="218">
        <f t="shared" si="15"/>
        <v>-5.47</v>
      </c>
      <c r="D199" s="218">
        <v>0.16</v>
      </c>
      <c r="E199" s="218">
        <v>0.14000000000000001</v>
      </c>
      <c r="F199" s="218">
        <v>1.1200000000000001</v>
      </c>
      <c r="Q199" s="218">
        <v>5.52</v>
      </c>
      <c r="R199" s="251">
        <f t="shared" si="16"/>
        <v>-5.52</v>
      </c>
      <c r="S199" s="218">
        <v>0.28999999999999998</v>
      </c>
      <c r="T199" s="218">
        <v>0.15</v>
      </c>
      <c r="U199" s="218">
        <v>2</v>
      </c>
      <c r="AF199" s="218">
        <v>5.44</v>
      </c>
      <c r="AG199" s="251">
        <f t="shared" si="17"/>
        <v>-5.44</v>
      </c>
      <c r="AH199" s="218">
        <v>0.27</v>
      </c>
      <c r="AI199" s="218">
        <v>0.14000000000000001</v>
      </c>
      <c r="AJ199" s="218">
        <v>5</v>
      </c>
      <c r="AV199" s="218">
        <v>5.43</v>
      </c>
      <c r="AW199" s="251">
        <f t="shared" si="18"/>
        <v>-5.43</v>
      </c>
      <c r="AX199" s="218">
        <v>0.23</v>
      </c>
      <c r="AY199" s="218">
        <v>0.14000000000000001</v>
      </c>
      <c r="AZ199" s="218">
        <v>1.61</v>
      </c>
      <c r="BL199" s="218">
        <v>5.35</v>
      </c>
      <c r="BM199" s="251">
        <f t="shared" si="19"/>
        <v>-5.35</v>
      </c>
      <c r="BN199" s="218">
        <v>0.3</v>
      </c>
      <c r="BO199" s="218">
        <v>0.14000000000000001</v>
      </c>
      <c r="BP199" s="218">
        <v>2.12</v>
      </c>
    </row>
    <row r="200" spans="2:68">
      <c r="B200" s="218">
        <v>5.5</v>
      </c>
      <c r="C200" s="218">
        <f t="shared" si="15"/>
        <v>-5.5</v>
      </c>
      <c r="D200" s="218">
        <v>0.16</v>
      </c>
      <c r="E200" s="218">
        <v>0.14000000000000001</v>
      </c>
      <c r="F200" s="218">
        <v>1.1299999999999999</v>
      </c>
      <c r="Q200" s="218">
        <v>5.55</v>
      </c>
      <c r="R200" s="251">
        <f t="shared" si="16"/>
        <v>-5.55</v>
      </c>
      <c r="S200" s="218">
        <v>0.28999999999999998</v>
      </c>
      <c r="T200" s="218">
        <v>0.15</v>
      </c>
      <c r="U200" s="218">
        <v>1.96</v>
      </c>
      <c r="AF200" s="218">
        <v>5.47</v>
      </c>
      <c r="AG200" s="251">
        <f t="shared" si="17"/>
        <v>-5.47</v>
      </c>
      <c r="AH200" s="218">
        <v>0.27</v>
      </c>
      <c r="AI200" s="218">
        <v>0.14000000000000001</v>
      </c>
      <c r="AJ200" s="218">
        <v>5</v>
      </c>
      <c r="AV200" s="218">
        <v>5.46</v>
      </c>
      <c r="AW200" s="251">
        <f t="shared" si="18"/>
        <v>-5.46</v>
      </c>
      <c r="AX200" s="218">
        <v>0.23</v>
      </c>
      <c r="AY200" s="218">
        <v>0.14000000000000001</v>
      </c>
      <c r="AZ200" s="218">
        <v>1.61</v>
      </c>
      <c r="BL200" s="218">
        <v>5.38</v>
      </c>
      <c r="BM200" s="251">
        <f t="shared" si="19"/>
        <v>-5.38</v>
      </c>
      <c r="BN200" s="218">
        <v>0.3</v>
      </c>
      <c r="BO200" s="218">
        <v>0.14000000000000001</v>
      </c>
      <c r="BP200" s="218">
        <v>2.11</v>
      </c>
    </row>
    <row r="201" spans="2:68">
      <c r="B201" s="218">
        <v>5.52</v>
      </c>
      <c r="C201" s="218">
        <f t="shared" si="15"/>
        <v>-5.52</v>
      </c>
      <c r="D201" s="218">
        <v>0.16</v>
      </c>
      <c r="E201" s="218">
        <v>0.14000000000000001</v>
      </c>
      <c r="F201" s="218">
        <v>1.1399999999999999</v>
      </c>
      <c r="Q201" s="218">
        <v>5.57</v>
      </c>
      <c r="R201" s="251">
        <f t="shared" si="16"/>
        <v>-5.57</v>
      </c>
      <c r="S201" s="218">
        <v>0.28000000000000003</v>
      </c>
      <c r="T201" s="218">
        <v>0.15</v>
      </c>
      <c r="U201" s="218">
        <v>1.93</v>
      </c>
      <c r="AF201" s="218">
        <v>5.49</v>
      </c>
      <c r="AG201" s="251">
        <f t="shared" si="17"/>
        <v>-5.49</v>
      </c>
      <c r="AH201" s="218">
        <v>0.26</v>
      </c>
      <c r="AI201" s="218">
        <v>0.14000000000000001</v>
      </c>
      <c r="AJ201" s="218">
        <v>5</v>
      </c>
      <c r="AV201" s="218">
        <v>5.48</v>
      </c>
      <c r="AW201" s="251">
        <f t="shared" si="18"/>
        <v>-5.48</v>
      </c>
      <c r="AX201" s="218">
        <v>0.23</v>
      </c>
      <c r="AY201" s="218">
        <v>0.14000000000000001</v>
      </c>
      <c r="AZ201" s="218">
        <v>1.61</v>
      </c>
      <c r="BL201" s="218">
        <v>5.4</v>
      </c>
      <c r="BM201" s="251">
        <f t="shared" si="19"/>
        <v>-5.4</v>
      </c>
      <c r="BN201" s="218">
        <v>0.3</v>
      </c>
      <c r="BO201" s="218">
        <v>0.14000000000000001</v>
      </c>
      <c r="BP201" s="218">
        <v>2.1</v>
      </c>
    </row>
    <row r="202" spans="2:68">
      <c r="B202" s="218">
        <v>5.55</v>
      </c>
      <c r="C202" s="218">
        <f t="shared" si="15"/>
        <v>-5.55</v>
      </c>
      <c r="D202" s="218">
        <v>0.17</v>
      </c>
      <c r="E202" s="218">
        <v>0.15</v>
      </c>
      <c r="F202" s="218">
        <v>1.1399999999999999</v>
      </c>
      <c r="Q202" s="218">
        <v>5.6</v>
      </c>
      <c r="R202" s="251">
        <f t="shared" si="16"/>
        <v>-5.6</v>
      </c>
      <c r="S202" s="218">
        <v>0.28000000000000003</v>
      </c>
      <c r="T202" s="218">
        <v>0.15</v>
      </c>
      <c r="U202" s="218">
        <v>1.9</v>
      </c>
      <c r="AF202" s="218">
        <v>5.52</v>
      </c>
      <c r="AG202" s="251">
        <f t="shared" si="17"/>
        <v>-5.52</v>
      </c>
      <c r="AH202" s="218">
        <v>0.26</v>
      </c>
      <c r="AI202" s="218">
        <v>0.14000000000000001</v>
      </c>
      <c r="AJ202" s="218">
        <v>5</v>
      </c>
      <c r="AV202" s="218">
        <v>5.51</v>
      </c>
      <c r="AW202" s="251">
        <f t="shared" si="18"/>
        <v>-5.51</v>
      </c>
      <c r="AX202" s="218">
        <v>0.23</v>
      </c>
      <c r="AY202" s="218">
        <v>0.14000000000000001</v>
      </c>
      <c r="AZ202" s="218">
        <v>1.62</v>
      </c>
      <c r="BL202" s="218">
        <v>5.43</v>
      </c>
      <c r="BM202" s="251">
        <f t="shared" si="19"/>
        <v>-5.43</v>
      </c>
      <c r="BN202" s="218">
        <v>0.3</v>
      </c>
      <c r="BO202" s="218">
        <v>0.14000000000000001</v>
      </c>
      <c r="BP202" s="218">
        <v>2.09</v>
      </c>
    </row>
    <row r="203" spans="2:68">
      <c r="B203" s="218">
        <v>5.57</v>
      </c>
      <c r="C203" s="218">
        <f t="shared" si="15"/>
        <v>-5.57</v>
      </c>
      <c r="D203" s="218">
        <v>0.17</v>
      </c>
      <c r="E203" s="218">
        <v>0.15</v>
      </c>
      <c r="F203" s="218">
        <v>1.1499999999999999</v>
      </c>
      <c r="Q203" s="218">
        <v>5.62</v>
      </c>
      <c r="R203" s="251">
        <f t="shared" si="16"/>
        <v>-5.62</v>
      </c>
      <c r="S203" s="218">
        <v>0.28000000000000003</v>
      </c>
      <c r="T203" s="218">
        <v>0.15</v>
      </c>
      <c r="U203" s="218">
        <v>1.87</v>
      </c>
      <c r="AF203" s="218">
        <v>5.54</v>
      </c>
      <c r="AG203" s="251">
        <f t="shared" si="17"/>
        <v>-5.54</v>
      </c>
      <c r="AH203" s="218">
        <v>0.25</v>
      </c>
      <c r="AI203" s="218">
        <v>0.14000000000000001</v>
      </c>
      <c r="AJ203" s="218">
        <v>1.78</v>
      </c>
      <c r="AV203" s="218">
        <v>5.53</v>
      </c>
      <c r="AW203" s="251">
        <f t="shared" si="18"/>
        <v>-5.53</v>
      </c>
      <c r="AX203" s="218">
        <v>0.23</v>
      </c>
      <c r="AY203" s="218">
        <v>0.14000000000000001</v>
      </c>
      <c r="AZ203" s="218">
        <v>1.62</v>
      </c>
      <c r="BL203" s="218">
        <v>5.45</v>
      </c>
      <c r="BM203" s="251">
        <f t="shared" si="19"/>
        <v>-5.45</v>
      </c>
      <c r="BN203" s="218">
        <v>0.3</v>
      </c>
      <c r="BO203" s="218">
        <v>0.14000000000000001</v>
      </c>
      <c r="BP203" s="218">
        <v>2.08</v>
      </c>
    </row>
    <row r="204" spans="2:68">
      <c r="B204" s="218">
        <v>5.6</v>
      </c>
      <c r="C204" s="218">
        <f t="shared" si="15"/>
        <v>-5.6</v>
      </c>
      <c r="D204" s="218">
        <v>0.17</v>
      </c>
      <c r="E204" s="218">
        <v>0.15</v>
      </c>
      <c r="F204" s="218">
        <v>1.1599999999999999</v>
      </c>
      <c r="Q204" s="218">
        <v>5.65</v>
      </c>
      <c r="R204" s="251">
        <f t="shared" si="16"/>
        <v>-5.65</v>
      </c>
      <c r="S204" s="218">
        <v>0.27</v>
      </c>
      <c r="T204" s="218">
        <v>0.15</v>
      </c>
      <c r="U204" s="218">
        <v>1.84</v>
      </c>
      <c r="AF204" s="218">
        <v>5.57</v>
      </c>
      <c r="AG204" s="251">
        <f t="shared" si="17"/>
        <v>-5.57</v>
      </c>
      <c r="AH204" s="218">
        <v>0.25</v>
      </c>
      <c r="AI204" s="218">
        <v>0.14000000000000001</v>
      </c>
      <c r="AJ204" s="218">
        <v>1.75</v>
      </c>
      <c r="AV204" s="218">
        <v>5.56</v>
      </c>
      <c r="AW204" s="251">
        <f t="shared" si="18"/>
        <v>-5.56</v>
      </c>
      <c r="AX204" s="218">
        <v>0.24</v>
      </c>
      <c r="AY204" s="218">
        <v>0.15</v>
      </c>
      <c r="AZ204" s="218">
        <v>1.63</v>
      </c>
      <c r="BL204" s="218">
        <v>5.48</v>
      </c>
      <c r="BM204" s="251">
        <f t="shared" si="19"/>
        <v>-5.48</v>
      </c>
      <c r="BN204" s="218">
        <v>0.3</v>
      </c>
      <c r="BO204" s="218">
        <v>0.14000000000000001</v>
      </c>
      <c r="BP204" s="218">
        <v>2.0699999999999998</v>
      </c>
    </row>
    <row r="205" spans="2:68">
      <c r="B205" s="218">
        <v>5.62</v>
      </c>
      <c r="C205" s="218">
        <f t="shared" si="15"/>
        <v>-5.62</v>
      </c>
      <c r="D205" s="218">
        <v>0.17</v>
      </c>
      <c r="E205" s="218">
        <v>0.15</v>
      </c>
      <c r="F205" s="218">
        <v>1.17</v>
      </c>
      <c r="Q205" s="218">
        <v>5.67</v>
      </c>
      <c r="R205" s="251">
        <f t="shared" si="16"/>
        <v>-5.67</v>
      </c>
      <c r="S205" s="218">
        <v>0.27</v>
      </c>
      <c r="T205" s="218">
        <v>0.15</v>
      </c>
      <c r="U205" s="218">
        <v>1.81</v>
      </c>
      <c r="AF205" s="218">
        <v>5.59</v>
      </c>
      <c r="AG205" s="251">
        <f t="shared" si="17"/>
        <v>-5.59</v>
      </c>
      <c r="AH205" s="218">
        <v>0.24</v>
      </c>
      <c r="AI205" s="218">
        <v>0.14000000000000001</v>
      </c>
      <c r="AJ205" s="218">
        <v>1.72</v>
      </c>
      <c r="AV205" s="218">
        <v>5.58</v>
      </c>
      <c r="AW205" s="251">
        <f t="shared" si="18"/>
        <v>-5.58</v>
      </c>
      <c r="AX205" s="218">
        <v>0.24</v>
      </c>
      <c r="AY205" s="218">
        <v>0.15</v>
      </c>
      <c r="AZ205" s="218">
        <v>1.63</v>
      </c>
      <c r="BL205" s="218">
        <v>5.5</v>
      </c>
      <c r="BM205" s="251">
        <f t="shared" si="19"/>
        <v>-5.5</v>
      </c>
      <c r="BN205" s="218">
        <v>0.3</v>
      </c>
      <c r="BO205" s="218">
        <v>0.14000000000000001</v>
      </c>
      <c r="BP205" s="218">
        <v>2.06</v>
      </c>
    </row>
    <row r="206" spans="2:68">
      <c r="B206" s="218">
        <v>5.65</v>
      </c>
      <c r="C206" s="218">
        <f t="shared" si="15"/>
        <v>-5.65</v>
      </c>
      <c r="D206" s="218">
        <v>0.17</v>
      </c>
      <c r="E206" s="218">
        <v>0.15</v>
      </c>
      <c r="F206" s="218">
        <v>1.17</v>
      </c>
      <c r="Q206" s="218">
        <v>5.7</v>
      </c>
      <c r="R206" s="251">
        <f t="shared" si="16"/>
        <v>-5.7</v>
      </c>
      <c r="S206" s="218">
        <v>0.26</v>
      </c>
      <c r="T206" s="218">
        <v>0.15</v>
      </c>
      <c r="U206" s="218">
        <v>1.78</v>
      </c>
      <c r="AF206" s="218">
        <v>5.62</v>
      </c>
      <c r="AG206" s="251">
        <f t="shared" si="17"/>
        <v>-5.62</v>
      </c>
      <c r="AH206" s="218">
        <v>0.24</v>
      </c>
      <c r="AI206" s="218">
        <v>0.14000000000000001</v>
      </c>
      <c r="AJ206" s="218">
        <v>1.69</v>
      </c>
      <c r="AV206" s="218">
        <v>5.61</v>
      </c>
      <c r="AW206" s="251">
        <f t="shared" si="18"/>
        <v>-5.61</v>
      </c>
      <c r="AX206" s="218">
        <v>0.24</v>
      </c>
      <c r="AY206" s="218">
        <v>0.15</v>
      </c>
      <c r="AZ206" s="218">
        <v>1.63</v>
      </c>
      <c r="BL206" s="218">
        <v>5.53</v>
      </c>
      <c r="BM206" s="251">
        <f t="shared" si="19"/>
        <v>-5.53</v>
      </c>
      <c r="BN206" s="218">
        <v>0.3</v>
      </c>
      <c r="BO206" s="218">
        <v>0.15</v>
      </c>
      <c r="BP206" s="218">
        <v>2.0499999999999998</v>
      </c>
    </row>
    <row r="207" spans="2:68">
      <c r="B207" s="218">
        <v>5.67</v>
      </c>
      <c r="C207" s="218">
        <f t="shared" si="15"/>
        <v>-5.67</v>
      </c>
      <c r="D207" s="218">
        <v>0.17</v>
      </c>
      <c r="E207" s="218">
        <v>0.15</v>
      </c>
      <c r="F207" s="218">
        <v>1.18</v>
      </c>
      <c r="Q207" s="218">
        <v>5.72</v>
      </c>
      <c r="R207" s="251">
        <f t="shared" si="16"/>
        <v>-5.72</v>
      </c>
      <c r="S207" s="218">
        <v>0.26</v>
      </c>
      <c r="T207" s="218">
        <v>0.15</v>
      </c>
      <c r="U207" s="218">
        <v>1.74</v>
      </c>
      <c r="AF207" s="218">
        <v>5.64</v>
      </c>
      <c r="AG207" s="251">
        <f t="shared" si="17"/>
        <v>-5.64</v>
      </c>
      <c r="AH207" s="218">
        <v>0.24</v>
      </c>
      <c r="AI207" s="218">
        <v>0.14000000000000001</v>
      </c>
      <c r="AJ207" s="218">
        <v>1.66</v>
      </c>
      <c r="AV207" s="218">
        <v>5.63</v>
      </c>
      <c r="AW207" s="251">
        <f t="shared" si="18"/>
        <v>-5.63</v>
      </c>
      <c r="AX207" s="218">
        <v>0.24</v>
      </c>
      <c r="AY207" s="218">
        <v>0.15</v>
      </c>
      <c r="AZ207" s="218">
        <v>1.64</v>
      </c>
      <c r="BL207" s="218">
        <v>5.55</v>
      </c>
      <c r="BM207" s="251">
        <f t="shared" si="19"/>
        <v>-5.55</v>
      </c>
      <c r="BN207" s="218">
        <v>0.3</v>
      </c>
      <c r="BO207" s="218">
        <v>0.15</v>
      </c>
      <c r="BP207" s="218">
        <v>2.04</v>
      </c>
    </row>
    <row r="208" spans="2:68">
      <c r="B208" s="218">
        <v>5.7</v>
      </c>
      <c r="C208" s="218">
        <f t="shared" si="15"/>
        <v>-5.7</v>
      </c>
      <c r="D208" s="218">
        <v>0.17</v>
      </c>
      <c r="E208" s="218">
        <v>0.15</v>
      </c>
      <c r="F208" s="218">
        <v>1.19</v>
      </c>
      <c r="Q208" s="218">
        <v>5.75</v>
      </c>
      <c r="R208" s="251">
        <f t="shared" si="16"/>
        <v>-5.75</v>
      </c>
      <c r="S208" s="218">
        <v>0.26</v>
      </c>
      <c r="T208" s="218">
        <v>0.15</v>
      </c>
      <c r="U208" s="218">
        <v>1.71</v>
      </c>
      <c r="AF208" s="218">
        <v>5.67</v>
      </c>
      <c r="AG208" s="251">
        <f t="shared" si="17"/>
        <v>-5.67</v>
      </c>
      <c r="AH208" s="218">
        <v>0.23</v>
      </c>
      <c r="AI208" s="218">
        <v>0.14000000000000001</v>
      </c>
      <c r="AJ208" s="218">
        <v>1.62</v>
      </c>
      <c r="AV208" s="218">
        <v>5.66</v>
      </c>
      <c r="AW208" s="251">
        <f t="shared" si="18"/>
        <v>-5.66</v>
      </c>
      <c r="AX208" s="218">
        <v>0.24</v>
      </c>
      <c r="AY208" s="218">
        <v>0.15</v>
      </c>
      <c r="AZ208" s="218">
        <v>1.64</v>
      </c>
      <c r="BL208" s="218">
        <v>5.58</v>
      </c>
      <c r="BM208" s="251">
        <f t="shared" si="19"/>
        <v>-5.58</v>
      </c>
      <c r="BN208" s="218">
        <v>0.3</v>
      </c>
      <c r="BO208" s="218">
        <v>0.15</v>
      </c>
      <c r="BP208" s="218">
        <v>2.0299999999999998</v>
      </c>
    </row>
    <row r="209" spans="2:68">
      <c r="B209" s="218">
        <v>5.72</v>
      </c>
      <c r="C209" s="218">
        <f t="shared" si="15"/>
        <v>-5.72</v>
      </c>
      <c r="D209" s="218">
        <v>0.18</v>
      </c>
      <c r="E209" s="218">
        <v>0.15</v>
      </c>
      <c r="F209" s="218">
        <v>1.2</v>
      </c>
      <c r="Q209" s="218">
        <v>5.77</v>
      </c>
      <c r="R209" s="251">
        <f t="shared" si="16"/>
        <v>-5.77</v>
      </c>
      <c r="S209" s="218">
        <v>0.25</v>
      </c>
      <c r="T209" s="218">
        <v>0.15</v>
      </c>
      <c r="U209" s="218">
        <v>1.68</v>
      </c>
      <c r="AF209" s="218">
        <v>5.69</v>
      </c>
      <c r="AG209" s="251">
        <f t="shared" si="17"/>
        <v>-5.69</v>
      </c>
      <c r="AH209" s="218">
        <v>0.23</v>
      </c>
      <c r="AI209" s="218">
        <v>0.14000000000000001</v>
      </c>
      <c r="AJ209" s="218">
        <v>1.59</v>
      </c>
      <c r="AV209" s="218">
        <v>5.68</v>
      </c>
      <c r="AW209" s="251">
        <f t="shared" si="18"/>
        <v>-5.68</v>
      </c>
      <c r="AX209" s="218">
        <v>0.24</v>
      </c>
      <c r="AY209" s="218">
        <v>0.15</v>
      </c>
      <c r="AZ209" s="218">
        <v>1.64</v>
      </c>
      <c r="BL209" s="218">
        <v>5.6</v>
      </c>
      <c r="BM209" s="251">
        <f t="shared" si="19"/>
        <v>-5.6</v>
      </c>
      <c r="BN209" s="218">
        <v>0.3</v>
      </c>
      <c r="BO209" s="218">
        <v>0.15</v>
      </c>
      <c r="BP209" s="218">
        <v>2.02</v>
      </c>
    </row>
    <row r="210" spans="2:68">
      <c r="B210" s="218">
        <v>5.75</v>
      </c>
      <c r="C210" s="218">
        <f t="shared" si="15"/>
        <v>-5.75</v>
      </c>
      <c r="D210" s="218">
        <v>0.18</v>
      </c>
      <c r="E210" s="218">
        <v>0.15</v>
      </c>
      <c r="F210" s="218">
        <v>1.2</v>
      </c>
      <c r="Q210" s="218">
        <v>5.8</v>
      </c>
      <c r="R210" s="251">
        <f t="shared" si="16"/>
        <v>-5.8</v>
      </c>
      <c r="S210" s="218">
        <v>0.25</v>
      </c>
      <c r="T210" s="218">
        <v>0.15</v>
      </c>
      <c r="U210" s="218">
        <v>1.65</v>
      </c>
      <c r="AF210" s="218">
        <v>5.72</v>
      </c>
      <c r="AG210" s="251">
        <f t="shared" si="17"/>
        <v>-5.72</v>
      </c>
      <c r="AH210" s="218">
        <v>0.23</v>
      </c>
      <c r="AI210" s="218">
        <v>0.14000000000000001</v>
      </c>
      <c r="AJ210" s="218">
        <v>1.56</v>
      </c>
      <c r="AV210" s="218">
        <v>5.71</v>
      </c>
      <c r="AW210" s="251">
        <f t="shared" si="18"/>
        <v>-5.71</v>
      </c>
      <c r="AX210" s="218">
        <v>0.24</v>
      </c>
      <c r="AY210" s="218">
        <v>0.15</v>
      </c>
      <c r="AZ210" s="218">
        <v>1.65</v>
      </c>
      <c r="BL210" s="218">
        <v>5.63</v>
      </c>
      <c r="BM210" s="251">
        <f t="shared" si="19"/>
        <v>-5.63</v>
      </c>
      <c r="BN210" s="218">
        <v>0.28999999999999998</v>
      </c>
      <c r="BO210" s="218">
        <v>0.15</v>
      </c>
      <c r="BP210" s="218">
        <v>2.0099999999999998</v>
      </c>
    </row>
    <row r="211" spans="2:68">
      <c r="B211" s="218">
        <v>5.77</v>
      </c>
      <c r="C211" s="218">
        <f t="shared" si="15"/>
        <v>-5.77</v>
      </c>
      <c r="D211" s="218">
        <v>0.18</v>
      </c>
      <c r="E211" s="218">
        <v>0.15</v>
      </c>
      <c r="F211" s="218">
        <v>1.21</v>
      </c>
      <c r="Q211" s="218">
        <v>5.82</v>
      </c>
      <c r="R211" s="251">
        <f t="shared" si="16"/>
        <v>-5.82</v>
      </c>
      <c r="S211" s="218">
        <v>0.24</v>
      </c>
      <c r="T211" s="218">
        <v>0.15</v>
      </c>
      <c r="U211" s="218">
        <v>1.62</v>
      </c>
      <c r="AF211" s="218">
        <v>5.74</v>
      </c>
      <c r="AG211" s="251">
        <f t="shared" si="17"/>
        <v>-5.74</v>
      </c>
      <c r="AH211" s="218">
        <v>0.22</v>
      </c>
      <c r="AI211" s="218">
        <v>0.14000000000000001</v>
      </c>
      <c r="AJ211" s="218">
        <v>1.53</v>
      </c>
      <c r="AV211" s="218">
        <v>5.73</v>
      </c>
      <c r="AW211" s="251">
        <f t="shared" si="18"/>
        <v>-5.73</v>
      </c>
      <c r="AX211" s="218">
        <v>0.24</v>
      </c>
      <c r="AY211" s="218">
        <v>0.15</v>
      </c>
      <c r="AZ211" s="218">
        <v>1.65</v>
      </c>
      <c r="BL211" s="218">
        <v>5.65</v>
      </c>
      <c r="BM211" s="251">
        <f t="shared" si="19"/>
        <v>-5.65</v>
      </c>
      <c r="BN211" s="218">
        <v>0.28999999999999998</v>
      </c>
      <c r="BO211" s="218">
        <v>0.15</v>
      </c>
      <c r="BP211" s="218">
        <v>2</v>
      </c>
    </row>
    <row r="212" spans="2:68">
      <c r="B212" s="218">
        <v>5.8</v>
      </c>
      <c r="C212" s="218">
        <f t="shared" si="15"/>
        <v>-5.8</v>
      </c>
      <c r="D212" s="218">
        <v>0.18</v>
      </c>
      <c r="E212" s="218">
        <v>0.15</v>
      </c>
      <c r="F212" s="218">
        <v>1.22</v>
      </c>
      <c r="Q212" s="218">
        <v>5.85</v>
      </c>
      <c r="R212" s="251">
        <f t="shared" si="16"/>
        <v>-5.85</v>
      </c>
      <c r="S212" s="218">
        <v>0.24</v>
      </c>
      <c r="T212" s="218">
        <v>0.15</v>
      </c>
      <c r="U212" s="218">
        <v>1.59</v>
      </c>
      <c r="AF212" s="218">
        <v>5.77</v>
      </c>
      <c r="AG212" s="251">
        <f t="shared" si="17"/>
        <v>-5.77</v>
      </c>
      <c r="AH212" s="218">
        <v>0.22</v>
      </c>
      <c r="AI212" s="218">
        <v>0.14000000000000001</v>
      </c>
      <c r="AJ212" s="218">
        <v>1.5</v>
      </c>
      <c r="AV212" s="218">
        <v>5.76</v>
      </c>
      <c r="AW212" s="251">
        <f t="shared" si="18"/>
        <v>-5.76</v>
      </c>
      <c r="AX212" s="218">
        <v>0.24</v>
      </c>
      <c r="AY212" s="218">
        <v>0.15</v>
      </c>
      <c r="AZ212" s="218">
        <v>1.65</v>
      </c>
      <c r="BL212" s="218">
        <v>5.68</v>
      </c>
      <c r="BM212" s="251">
        <f t="shared" si="19"/>
        <v>-5.68</v>
      </c>
      <c r="BN212" s="218">
        <v>0.28999999999999998</v>
      </c>
      <c r="BO212" s="218">
        <v>0.15</v>
      </c>
      <c r="BP212" s="218">
        <v>1.99</v>
      </c>
    </row>
    <row r="213" spans="2:68">
      <c r="B213" s="218">
        <v>5.82</v>
      </c>
      <c r="C213" s="218">
        <f t="shared" si="15"/>
        <v>-5.82</v>
      </c>
      <c r="D213" s="218">
        <v>0.18</v>
      </c>
      <c r="E213" s="218">
        <v>0.15</v>
      </c>
      <c r="F213" s="218">
        <v>1.23</v>
      </c>
      <c r="Q213" s="218">
        <v>5.87</v>
      </c>
      <c r="R213" s="251">
        <f t="shared" si="16"/>
        <v>-5.87</v>
      </c>
      <c r="S213" s="218">
        <v>0.24</v>
      </c>
      <c r="T213" s="218">
        <v>0.15</v>
      </c>
      <c r="U213" s="218">
        <v>1.56</v>
      </c>
      <c r="AF213" s="218">
        <v>5.79</v>
      </c>
      <c r="AG213" s="251">
        <f t="shared" si="17"/>
        <v>-5.79</v>
      </c>
      <c r="AH213" s="218">
        <v>0.21</v>
      </c>
      <c r="AI213" s="218">
        <v>0.15</v>
      </c>
      <c r="AJ213" s="218">
        <v>1.47</v>
      </c>
      <c r="AV213" s="218">
        <v>5.78</v>
      </c>
      <c r="AW213" s="251">
        <f t="shared" si="18"/>
        <v>-5.78</v>
      </c>
      <c r="AX213" s="218">
        <v>0.25</v>
      </c>
      <c r="AY213" s="218">
        <v>0.15</v>
      </c>
      <c r="AZ213" s="218">
        <v>1.66</v>
      </c>
      <c r="BL213" s="218">
        <v>5.7</v>
      </c>
      <c r="BM213" s="251">
        <f t="shared" si="19"/>
        <v>-5.7</v>
      </c>
      <c r="BN213" s="218">
        <v>0.28999999999999998</v>
      </c>
      <c r="BO213" s="218">
        <v>0.15</v>
      </c>
      <c r="BP213" s="218">
        <v>1.99</v>
      </c>
    </row>
    <row r="214" spans="2:68">
      <c r="B214" s="218">
        <v>5.85</v>
      </c>
      <c r="C214" s="218">
        <f t="shared" si="15"/>
        <v>-5.85</v>
      </c>
      <c r="D214" s="218">
        <v>0.18</v>
      </c>
      <c r="E214" s="218">
        <v>0.15</v>
      </c>
      <c r="F214" s="218">
        <v>1.23</v>
      </c>
      <c r="Q214" s="218">
        <v>5.9</v>
      </c>
      <c r="R214" s="251">
        <f t="shared" si="16"/>
        <v>-5.9</v>
      </c>
      <c r="S214" s="218">
        <v>0.23</v>
      </c>
      <c r="T214" s="218">
        <v>0.15</v>
      </c>
      <c r="U214" s="218">
        <v>1.53</v>
      </c>
      <c r="AF214" s="218">
        <v>5.82</v>
      </c>
      <c r="AG214" s="251">
        <f t="shared" si="17"/>
        <v>-5.82</v>
      </c>
      <c r="AH214" s="218">
        <v>0.21</v>
      </c>
      <c r="AI214" s="218">
        <v>0.15</v>
      </c>
      <c r="AJ214" s="218">
        <v>1.44</v>
      </c>
      <c r="AV214" s="218">
        <v>5.81</v>
      </c>
      <c r="AW214" s="251">
        <f t="shared" si="18"/>
        <v>-5.81</v>
      </c>
      <c r="AX214" s="218">
        <v>0.25</v>
      </c>
      <c r="AY214" s="218">
        <v>0.15</v>
      </c>
      <c r="AZ214" s="218">
        <v>1.66</v>
      </c>
      <c r="BL214" s="218">
        <v>5.73</v>
      </c>
      <c r="BM214" s="251">
        <f t="shared" si="19"/>
        <v>-5.73</v>
      </c>
      <c r="BN214" s="218">
        <v>0.28999999999999998</v>
      </c>
      <c r="BO214" s="218">
        <v>0.15</v>
      </c>
      <c r="BP214" s="218">
        <v>1.98</v>
      </c>
    </row>
    <row r="215" spans="2:68">
      <c r="B215" s="218">
        <v>5.87</v>
      </c>
      <c r="C215" s="218">
        <f t="shared" si="15"/>
        <v>-5.87</v>
      </c>
      <c r="D215" s="218">
        <v>0.19</v>
      </c>
      <c r="E215" s="218">
        <v>0.15</v>
      </c>
      <c r="F215" s="218">
        <v>1.24</v>
      </c>
      <c r="Q215" s="218">
        <v>5.92</v>
      </c>
      <c r="R215" s="251">
        <f t="shared" si="16"/>
        <v>-5.92</v>
      </c>
      <c r="S215" s="218">
        <v>0.23</v>
      </c>
      <c r="T215" s="218">
        <v>0.15</v>
      </c>
      <c r="U215" s="218">
        <v>1.51</v>
      </c>
      <c r="AF215" s="218">
        <v>5.84</v>
      </c>
      <c r="AG215" s="251">
        <f t="shared" si="17"/>
        <v>-5.84</v>
      </c>
      <c r="AH215" s="218">
        <v>0.21</v>
      </c>
      <c r="AI215" s="218">
        <v>0.15</v>
      </c>
      <c r="AJ215" s="218">
        <v>1.41</v>
      </c>
      <c r="AV215" s="218">
        <v>5.83</v>
      </c>
      <c r="AW215" s="251">
        <f t="shared" si="18"/>
        <v>-5.83</v>
      </c>
      <c r="AX215" s="218">
        <v>0.25</v>
      </c>
      <c r="AY215" s="218">
        <v>0.15</v>
      </c>
      <c r="AZ215" s="218">
        <v>1.66</v>
      </c>
      <c r="BL215" s="218">
        <v>5.75</v>
      </c>
      <c r="BM215" s="251">
        <f t="shared" si="19"/>
        <v>-5.75</v>
      </c>
      <c r="BN215" s="218">
        <v>0.28999999999999998</v>
      </c>
      <c r="BO215" s="218">
        <v>0.15</v>
      </c>
      <c r="BP215" s="218">
        <v>1.97</v>
      </c>
    </row>
    <row r="216" spans="2:68">
      <c r="B216" s="218">
        <v>5.9</v>
      </c>
      <c r="C216" s="218">
        <f t="shared" si="15"/>
        <v>-5.9</v>
      </c>
      <c r="D216" s="218">
        <v>0.19</v>
      </c>
      <c r="E216" s="218">
        <v>0.15</v>
      </c>
      <c r="F216" s="218">
        <v>1.25</v>
      </c>
      <c r="Q216" s="218">
        <v>5.95</v>
      </c>
      <c r="R216" s="251">
        <f t="shared" si="16"/>
        <v>-5.95</v>
      </c>
      <c r="S216" s="218">
        <v>0.22</v>
      </c>
      <c r="T216" s="218">
        <v>0.15</v>
      </c>
      <c r="U216" s="218">
        <v>1.48</v>
      </c>
      <c r="AF216" s="218">
        <v>5.87</v>
      </c>
      <c r="AG216" s="251">
        <f t="shared" si="17"/>
        <v>-5.87</v>
      </c>
      <c r="AH216" s="218">
        <v>0.2</v>
      </c>
      <c r="AI216" s="218">
        <v>0.15</v>
      </c>
      <c r="AJ216" s="218">
        <v>1.38</v>
      </c>
      <c r="AV216" s="218">
        <v>5.86</v>
      </c>
      <c r="AW216" s="251">
        <f t="shared" si="18"/>
        <v>-5.86</v>
      </c>
      <c r="AX216" s="218">
        <v>0.25</v>
      </c>
      <c r="AY216" s="218">
        <v>0.15</v>
      </c>
      <c r="AZ216" s="218">
        <v>1.67</v>
      </c>
      <c r="BL216" s="218">
        <v>5.78</v>
      </c>
      <c r="BM216" s="251">
        <f t="shared" si="19"/>
        <v>-5.78</v>
      </c>
      <c r="BN216" s="218">
        <v>0.28999999999999998</v>
      </c>
      <c r="BO216" s="218">
        <v>0.15</v>
      </c>
      <c r="BP216" s="218">
        <v>1.96</v>
      </c>
    </row>
    <row r="217" spans="2:68">
      <c r="B217" s="218">
        <v>5.92</v>
      </c>
      <c r="C217" s="218">
        <f t="shared" si="15"/>
        <v>-5.92</v>
      </c>
      <c r="D217" s="218">
        <v>0.19</v>
      </c>
      <c r="E217" s="218">
        <v>0.15</v>
      </c>
      <c r="F217" s="218">
        <v>1.26</v>
      </c>
      <c r="Q217" s="218">
        <v>5.97</v>
      </c>
      <c r="R217" s="251">
        <f t="shared" si="16"/>
        <v>-5.97</v>
      </c>
      <c r="S217" s="218">
        <v>0.22</v>
      </c>
      <c r="T217" s="218">
        <v>0.15</v>
      </c>
      <c r="U217" s="218">
        <v>1.45</v>
      </c>
      <c r="AF217" s="218">
        <v>5.89</v>
      </c>
      <c r="AG217" s="251">
        <f t="shared" si="17"/>
        <v>-5.89</v>
      </c>
      <c r="AH217" s="218">
        <v>0.2</v>
      </c>
      <c r="AI217" s="218">
        <v>0.15</v>
      </c>
      <c r="AJ217" s="218">
        <v>1.35</v>
      </c>
      <c r="AV217" s="218">
        <v>5.88</v>
      </c>
      <c r="AW217" s="251">
        <f t="shared" si="18"/>
        <v>-5.88</v>
      </c>
      <c r="AX217" s="218">
        <v>0.25</v>
      </c>
      <c r="AY217" s="218">
        <v>0.15</v>
      </c>
      <c r="AZ217" s="218">
        <v>1.67</v>
      </c>
      <c r="BL217" s="218">
        <v>5.8</v>
      </c>
      <c r="BM217" s="251">
        <f t="shared" si="19"/>
        <v>-5.8</v>
      </c>
      <c r="BN217" s="218">
        <v>0.28999999999999998</v>
      </c>
      <c r="BO217" s="218">
        <v>0.15</v>
      </c>
      <c r="BP217" s="218">
        <v>1.95</v>
      </c>
    </row>
    <row r="218" spans="2:68">
      <c r="B218" s="218">
        <v>5.95</v>
      </c>
      <c r="C218" s="218">
        <f t="shared" si="15"/>
        <v>-5.95</v>
      </c>
      <c r="D218" s="218">
        <v>0.19</v>
      </c>
      <c r="E218" s="218">
        <v>0.15</v>
      </c>
      <c r="F218" s="218">
        <v>1.26</v>
      </c>
      <c r="Q218" s="218">
        <v>6</v>
      </c>
      <c r="R218" s="251">
        <f t="shared" si="16"/>
        <v>-6</v>
      </c>
      <c r="S218" s="218">
        <v>0.22</v>
      </c>
      <c r="T218" s="218">
        <v>0.15</v>
      </c>
      <c r="U218" s="218">
        <v>1.42</v>
      </c>
      <c r="AF218" s="218">
        <v>5.92</v>
      </c>
      <c r="AG218" s="251">
        <f t="shared" si="17"/>
        <v>-5.92</v>
      </c>
      <c r="AH218" s="218">
        <v>0.19</v>
      </c>
      <c r="AI218" s="218">
        <v>0.15</v>
      </c>
      <c r="AJ218" s="218">
        <v>1.32</v>
      </c>
      <c r="AV218" s="218">
        <v>5.91</v>
      </c>
      <c r="AW218" s="251">
        <f t="shared" si="18"/>
        <v>-5.91</v>
      </c>
      <c r="AX218" s="218">
        <v>0.25</v>
      </c>
      <c r="AY218" s="218">
        <v>0.15</v>
      </c>
      <c r="AZ218" s="218">
        <v>1.67</v>
      </c>
      <c r="BL218" s="218">
        <v>5.83</v>
      </c>
      <c r="BM218" s="251">
        <f t="shared" si="19"/>
        <v>-5.83</v>
      </c>
      <c r="BN218" s="218">
        <v>0.28999999999999998</v>
      </c>
      <c r="BO218" s="218">
        <v>0.15</v>
      </c>
      <c r="BP218" s="218">
        <v>1.94</v>
      </c>
    </row>
    <row r="219" spans="2:68">
      <c r="B219" s="218">
        <v>5.97</v>
      </c>
      <c r="C219" s="218">
        <f t="shared" si="15"/>
        <v>-5.97</v>
      </c>
      <c r="D219" s="218">
        <v>0.19</v>
      </c>
      <c r="E219" s="218">
        <v>0.15</v>
      </c>
      <c r="F219" s="218">
        <v>1.27</v>
      </c>
      <c r="Q219" s="218">
        <v>6.02</v>
      </c>
      <c r="R219" s="251">
        <f t="shared" si="16"/>
        <v>-6.02</v>
      </c>
      <c r="S219" s="218">
        <v>0.21</v>
      </c>
      <c r="T219" s="218">
        <v>0.15</v>
      </c>
      <c r="U219" s="218">
        <v>1.39</v>
      </c>
      <c r="AF219" s="218">
        <v>5.94</v>
      </c>
      <c r="AG219" s="251">
        <f t="shared" si="17"/>
        <v>-5.94</v>
      </c>
      <c r="AH219" s="218">
        <v>0.19</v>
      </c>
      <c r="AI219" s="218">
        <v>0.15</v>
      </c>
      <c r="AJ219" s="218">
        <v>1.29</v>
      </c>
      <c r="AV219" s="218">
        <v>5.93</v>
      </c>
      <c r="AW219" s="251">
        <f t="shared" si="18"/>
        <v>-5.93</v>
      </c>
      <c r="AX219" s="218">
        <v>0.25</v>
      </c>
      <c r="AY219" s="218">
        <v>0.15</v>
      </c>
      <c r="AZ219" s="218">
        <v>1.68</v>
      </c>
      <c r="BL219" s="218">
        <v>5.85</v>
      </c>
      <c r="BM219" s="251">
        <f t="shared" si="19"/>
        <v>-5.85</v>
      </c>
      <c r="BN219" s="218">
        <v>0.28999999999999998</v>
      </c>
      <c r="BO219" s="218">
        <v>0.15</v>
      </c>
      <c r="BP219" s="218">
        <v>1.93</v>
      </c>
    </row>
    <row r="220" spans="2:68">
      <c r="B220" s="218">
        <v>6</v>
      </c>
      <c r="C220" s="218">
        <f t="shared" si="15"/>
        <v>-6</v>
      </c>
      <c r="D220" s="218">
        <v>0.19</v>
      </c>
      <c r="E220" s="218">
        <v>0.15</v>
      </c>
      <c r="F220" s="218">
        <v>1.28</v>
      </c>
      <c r="Q220" s="218">
        <v>6.05</v>
      </c>
      <c r="R220" s="251">
        <f t="shared" si="16"/>
        <v>-6.05</v>
      </c>
      <c r="S220" s="218">
        <v>0.21</v>
      </c>
      <c r="T220" s="218">
        <v>0.15</v>
      </c>
      <c r="U220" s="218">
        <v>1.36</v>
      </c>
      <c r="AF220" s="218">
        <v>5.97</v>
      </c>
      <c r="AG220" s="251">
        <f t="shared" si="17"/>
        <v>-5.97</v>
      </c>
      <c r="AH220" s="218">
        <v>0.19</v>
      </c>
      <c r="AI220" s="218">
        <v>0.15</v>
      </c>
      <c r="AJ220" s="218">
        <v>1.27</v>
      </c>
      <c r="AV220" s="218">
        <v>5.96</v>
      </c>
      <c r="AW220" s="251">
        <f t="shared" si="18"/>
        <v>-5.96</v>
      </c>
      <c r="AX220" s="218">
        <v>0.25</v>
      </c>
      <c r="AY220" s="218">
        <v>0.15</v>
      </c>
      <c r="AZ220" s="218">
        <v>1.68</v>
      </c>
      <c r="BL220" s="218">
        <v>5.88</v>
      </c>
      <c r="BM220" s="251">
        <f t="shared" si="19"/>
        <v>-5.88</v>
      </c>
      <c r="BN220" s="218">
        <v>0.28999999999999998</v>
      </c>
      <c r="BO220" s="218">
        <v>0.15</v>
      </c>
      <c r="BP220" s="218">
        <v>1.92</v>
      </c>
    </row>
    <row r="221" spans="2:68">
      <c r="B221" s="218">
        <v>6.02</v>
      </c>
      <c r="C221" s="218">
        <f t="shared" si="15"/>
        <v>-6.02</v>
      </c>
      <c r="D221" s="218">
        <v>0.19</v>
      </c>
      <c r="E221" s="218">
        <v>0.15</v>
      </c>
      <c r="F221" s="218">
        <v>1.28</v>
      </c>
      <c r="Q221" s="218">
        <v>6.07</v>
      </c>
      <c r="R221" s="251">
        <f t="shared" si="16"/>
        <v>-6.07</v>
      </c>
      <c r="S221" s="218">
        <v>0.2</v>
      </c>
      <c r="T221" s="218">
        <v>0.15</v>
      </c>
      <c r="U221" s="218">
        <v>1.33</v>
      </c>
      <c r="AF221" s="218">
        <v>5.99</v>
      </c>
      <c r="AG221" s="251">
        <f t="shared" si="17"/>
        <v>-5.99</v>
      </c>
      <c r="AH221" s="218">
        <v>0.18</v>
      </c>
      <c r="AI221" s="218">
        <v>0.15</v>
      </c>
      <c r="AJ221" s="218">
        <v>1.24</v>
      </c>
      <c r="AV221" s="218">
        <v>5.98</v>
      </c>
      <c r="AW221" s="251">
        <f t="shared" si="18"/>
        <v>-5.98</v>
      </c>
      <c r="AX221" s="218">
        <v>0.25</v>
      </c>
      <c r="AY221" s="218">
        <v>0.15</v>
      </c>
      <c r="AZ221" s="218">
        <v>1.68</v>
      </c>
      <c r="BL221" s="218">
        <v>5.9</v>
      </c>
      <c r="BM221" s="251">
        <f t="shared" si="19"/>
        <v>-5.9</v>
      </c>
      <c r="BN221" s="218">
        <v>0.28999999999999998</v>
      </c>
      <c r="BO221" s="218">
        <v>0.15</v>
      </c>
      <c r="BP221" s="218">
        <v>1.92</v>
      </c>
    </row>
    <row r="222" spans="2:68">
      <c r="B222" s="218">
        <v>6.05</v>
      </c>
      <c r="C222" s="218">
        <f t="shared" si="15"/>
        <v>-6.05</v>
      </c>
      <c r="D222" s="218">
        <v>0.2</v>
      </c>
      <c r="E222" s="218">
        <v>0.15</v>
      </c>
      <c r="F222" s="218">
        <v>1.29</v>
      </c>
      <c r="Q222" s="218">
        <v>6.1</v>
      </c>
      <c r="R222" s="251">
        <f t="shared" si="16"/>
        <v>-6.1</v>
      </c>
      <c r="S222" s="218">
        <v>0.21</v>
      </c>
      <c r="T222" s="218">
        <v>0.15</v>
      </c>
      <c r="U222" s="218">
        <v>1.35</v>
      </c>
      <c r="AF222" s="218">
        <v>6.02</v>
      </c>
      <c r="AG222" s="251">
        <f t="shared" si="17"/>
        <v>-6.02</v>
      </c>
      <c r="AH222" s="218">
        <v>0.18</v>
      </c>
      <c r="AI222" s="218">
        <v>0.15</v>
      </c>
      <c r="AJ222" s="218">
        <v>1.23</v>
      </c>
      <c r="AV222" s="218">
        <v>6.01</v>
      </c>
      <c r="AW222" s="251">
        <f t="shared" si="18"/>
        <v>-6.01</v>
      </c>
      <c r="AX222" s="218">
        <v>0.25</v>
      </c>
      <c r="AY222" s="218">
        <v>0.15</v>
      </c>
      <c r="AZ222" s="218">
        <v>1.69</v>
      </c>
      <c r="BL222" s="218">
        <v>5.93</v>
      </c>
      <c r="BM222" s="251">
        <f t="shared" si="19"/>
        <v>-5.93</v>
      </c>
      <c r="BN222" s="218">
        <v>0.28999999999999998</v>
      </c>
      <c r="BO222" s="218">
        <v>0.15</v>
      </c>
      <c r="BP222" s="218">
        <v>1.91</v>
      </c>
    </row>
    <row r="223" spans="2:68">
      <c r="B223" s="218">
        <v>6.07</v>
      </c>
      <c r="C223" s="218">
        <f t="shared" si="15"/>
        <v>-6.07</v>
      </c>
      <c r="D223" s="218">
        <v>0.2</v>
      </c>
      <c r="E223" s="218">
        <v>0.15</v>
      </c>
      <c r="F223" s="218">
        <v>1.3</v>
      </c>
      <c r="Q223" s="218">
        <v>6.12</v>
      </c>
      <c r="R223" s="251">
        <f t="shared" si="16"/>
        <v>-6.12</v>
      </c>
      <c r="S223" s="218">
        <v>0.21</v>
      </c>
      <c r="T223" s="218">
        <v>0.15</v>
      </c>
      <c r="U223" s="218">
        <v>1.38</v>
      </c>
      <c r="AF223" s="218">
        <v>6.04</v>
      </c>
      <c r="AG223" s="251">
        <f t="shared" si="17"/>
        <v>-6.04</v>
      </c>
      <c r="AH223" s="218">
        <v>0.18</v>
      </c>
      <c r="AI223" s="218">
        <v>0.15</v>
      </c>
      <c r="AJ223" s="218">
        <v>1.23</v>
      </c>
      <c r="AV223" s="218">
        <v>6.03</v>
      </c>
      <c r="AW223" s="251">
        <f t="shared" si="18"/>
        <v>-6.03</v>
      </c>
      <c r="AX223" s="218">
        <v>0.26</v>
      </c>
      <c r="AY223" s="218">
        <v>0.15</v>
      </c>
      <c r="AZ223" s="218">
        <v>1.69</v>
      </c>
      <c r="BL223" s="218">
        <v>5.95</v>
      </c>
      <c r="BM223" s="251">
        <f t="shared" si="19"/>
        <v>-5.95</v>
      </c>
      <c r="BN223" s="218">
        <v>0.28999999999999998</v>
      </c>
      <c r="BO223" s="218">
        <v>0.15</v>
      </c>
      <c r="BP223" s="218">
        <v>1.9</v>
      </c>
    </row>
    <row r="224" spans="2:68">
      <c r="B224" s="218">
        <v>6.1</v>
      </c>
      <c r="C224" s="218">
        <f t="shared" si="15"/>
        <v>-6.1</v>
      </c>
      <c r="D224" s="218">
        <v>0.2</v>
      </c>
      <c r="E224" s="218">
        <v>0.15</v>
      </c>
      <c r="F224" s="218">
        <v>1.31</v>
      </c>
      <c r="Q224" s="218">
        <v>6.15</v>
      </c>
      <c r="R224" s="251">
        <f t="shared" si="16"/>
        <v>-6.15</v>
      </c>
      <c r="S224" s="218">
        <v>0.22</v>
      </c>
      <c r="T224" s="218">
        <v>0.15</v>
      </c>
      <c r="U224" s="218">
        <v>1.41</v>
      </c>
      <c r="AF224" s="218">
        <v>6.07</v>
      </c>
      <c r="AG224" s="251">
        <f t="shared" si="17"/>
        <v>-6.07</v>
      </c>
      <c r="AH224" s="218">
        <v>0.18</v>
      </c>
      <c r="AI224" s="218">
        <v>0.15</v>
      </c>
      <c r="AJ224" s="218">
        <v>1.23</v>
      </c>
      <c r="AV224" s="218">
        <v>6.06</v>
      </c>
      <c r="AW224" s="251">
        <f t="shared" si="18"/>
        <v>-6.06</v>
      </c>
      <c r="AX224" s="218">
        <v>0.26</v>
      </c>
      <c r="AY224" s="218">
        <v>0.15</v>
      </c>
      <c r="AZ224" s="218">
        <v>1.7</v>
      </c>
      <c r="BL224" s="218">
        <v>5.98</v>
      </c>
      <c r="BM224" s="251">
        <f t="shared" si="19"/>
        <v>-5.98</v>
      </c>
      <c r="BN224" s="218">
        <v>0.28000000000000003</v>
      </c>
      <c r="BO224" s="218">
        <v>0.15</v>
      </c>
      <c r="BP224" s="218">
        <v>1.89</v>
      </c>
    </row>
    <row r="225" spans="2:68">
      <c r="B225" s="218">
        <v>6.12</v>
      </c>
      <c r="C225" s="218">
        <f t="shared" si="15"/>
        <v>-6.12</v>
      </c>
      <c r="D225" s="218">
        <v>0.2</v>
      </c>
      <c r="E225" s="218">
        <v>0.15</v>
      </c>
      <c r="F225" s="218">
        <v>1.31</v>
      </c>
      <c r="Q225" s="218">
        <v>6.17</v>
      </c>
      <c r="R225" s="251">
        <f t="shared" si="16"/>
        <v>-6.17</v>
      </c>
      <c r="S225" s="218">
        <v>0.22</v>
      </c>
      <c r="T225" s="218">
        <v>0.15</v>
      </c>
      <c r="U225" s="218">
        <v>1.44</v>
      </c>
      <c r="AF225" s="218">
        <v>6.09</v>
      </c>
      <c r="AG225" s="251">
        <f t="shared" si="17"/>
        <v>-6.09</v>
      </c>
      <c r="AH225" s="218">
        <v>0.18</v>
      </c>
      <c r="AI225" s="218">
        <v>0.15</v>
      </c>
      <c r="AJ225" s="218">
        <v>1.22</v>
      </c>
      <c r="AV225" s="218">
        <v>6.08</v>
      </c>
      <c r="AW225" s="251">
        <f t="shared" si="18"/>
        <v>-6.08</v>
      </c>
      <c r="AX225" s="218">
        <v>0.26</v>
      </c>
      <c r="AY225" s="218">
        <v>0.15</v>
      </c>
      <c r="AZ225" s="218">
        <v>1.7</v>
      </c>
      <c r="BL225" s="218">
        <v>6</v>
      </c>
      <c r="BM225" s="251">
        <f t="shared" si="19"/>
        <v>-6</v>
      </c>
      <c r="BN225" s="218">
        <v>0.28000000000000003</v>
      </c>
      <c r="BO225" s="218">
        <v>0.15</v>
      </c>
      <c r="BP225" s="218">
        <v>1.88</v>
      </c>
    </row>
    <row r="226" spans="2:68">
      <c r="B226" s="218">
        <v>6.15</v>
      </c>
      <c r="C226" s="218">
        <f t="shared" si="15"/>
        <v>-6.15</v>
      </c>
      <c r="D226" s="218">
        <v>0.2</v>
      </c>
      <c r="E226" s="218">
        <v>0.15</v>
      </c>
      <c r="F226" s="218">
        <v>1.32</v>
      </c>
      <c r="Q226" s="218">
        <v>6.2</v>
      </c>
      <c r="R226" s="251">
        <f t="shared" si="16"/>
        <v>-6.2</v>
      </c>
      <c r="S226" s="218">
        <v>0.23</v>
      </c>
      <c r="T226" s="218">
        <v>0.15</v>
      </c>
      <c r="U226" s="218">
        <v>1.47</v>
      </c>
      <c r="AF226" s="218">
        <v>6.12</v>
      </c>
      <c r="AG226" s="251">
        <f t="shared" si="17"/>
        <v>-6.12</v>
      </c>
      <c r="AH226" s="218">
        <v>0.18</v>
      </c>
      <c r="AI226" s="218">
        <v>0.15</v>
      </c>
      <c r="AJ226" s="218">
        <v>1.22</v>
      </c>
      <c r="AV226" s="218">
        <v>6.11</v>
      </c>
      <c r="AW226" s="251">
        <f t="shared" si="18"/>
        <v>-6.11</v>
      </c>
      <c r="AX226" s="218">
        <v>0.26</v>
      </c>
      <c r="AY226" s="218">
        <v>0.15</v>
      </c>
      <c r="AZ226" s="218">
        <v>1.71</v>
      </c>
      <c r="BL226" s="218">
        <v>6.03</v>
      </c>
      <c r="BM226" s="251">
        <f t="shared" si="19"/>
        <v>-6.03</v>
      </c>
      <c r="BN226" s="218">
        <v>0.28000000000000003</v>
      </c>
      <c r="BO226" s="218">
        <v>0.15</v>
      </c>
      <c r="BP226" s="218">
        <v>1.87</v>
      </c>
    </row>
    <row r="227" spans="2:68">
      <c r="B227" s="218">
        <v>6.17</v>
      </c>
      <c r="C227" s="218">
        <f t="shared" si="15"/>
        <v>-6.17</v>
      </c>
      <c r="D227" s="218">
        <v>0.2</v>
      </c>
      <c r="E227" s="218">
        <v>0.15</v>
      </c>
      <c r="F227" s="218">
        <v>1.34</v>
      </c>
      <c r="Q227" s="218">
        <v>6.22</v>
      </c>
      <c r="R227" s="251">
        <f t="shared" si="16"/>
        <v>-6.22</v>
      </c>
      <c r="S227" s="218">
        <v>0.23</v>
      </c>
      <c r="T227" s="218">
        <v>0.15</v>
      </c>
      <c r="U227" s="218">
        <v>1.49</v>
      </c>
      <c r="AF227" s="218">
        <v>6.14</v>
      </c>
      <c r="AG227" s="251">
        <f t="shared" si="17"/>
        <v>-6.14</v>
      </c>
      <c r="AH227" s="218">
        <v>0.18</v>
      </c>
      <c r="AI227" s="218">
        <v>0.15</v>
      </c>
      <c r="AJ227" s="218">
        <v>1.22</v>
      </c>
      <c r="AV227" s="218">
        <v>6.13</v>
      </c>
      <c r="AW227" s="251">
        <f t="shared" si="18"/>
        <v>-6.13</v>
      </c>
      <c r="AX227" s="218">
        <v>0.26</v>
      </c>
      <c r="AY227" s="218">
        <v>0.15</v>
      </c>
      <c r="AZ227" s="218">
        <v>1.74</v>
      </c>
      <c r="BL227" s="218">
        <v>6.05</v>
      </c>
      <c r="BM227" s="251">
        <f t="shared" si="19"/>
        <v>-6.05</v>
      </c>
      <c r="BN227" s="218">
        <v>0.28000000000000003</v>
      </c>
      <c r="BO227" s="218">
        <v>0.15</v>
      </c>
      <c r="BP227" s="218">
        <v>1.85</v>
      </c>
    </row>
    <row r="228" spans="2:68">
      <c r="B228" s="218">
        <v>6.2</v>
      </c>
      <c r="C228" s="218">
        <f t="shared" si="15"/>
        <v>-6.2</v>
      </c>
      <c r="D228" s="218">
        <v>0.21</v>
      </c>
      <c r="E228" s="218">
        <v>0.15</v>
      </c>
      <c r="F228" s="218">
        <v>1.35</v>
      </c>
      <c r="Q228" s="218">
        <v>6.25</v>
      </c>
      <c r="R228" s="251">
        <f t="shared" si="16"/>
        <v>-6.25</v>
      </c>
      <c r="S228" s="218">
        <v>0.24</v>
      </c>
      <c r="T228" s="218">
        <v>0.15</v>
      </c>
      <c r="U228" s="218">
        <v>1.52</v>
      </c>
      <c r="AF228" s="218">
        <v>6.17</v>
      </c>
      <c r="AG228" s="251">
        <f t="shared" si="17"/>
        <v>-6.17</v>
      </c>
      <c r="AH228" s="218">
        <v>0.18</v>
      </c>
      <c r="AI228" s="218">
        <v>0.15</v>
      </c>
      <c r="AJ228" s="218">
        <v>1.21</v>
      </c>
      <c r="AV228" s="218">
        <v>6.16</v>
      </c>
      <c r="AW228" s="251">
        <f t="shared" si="18"/>
        <v>-6.16</v>
      </c>
      <c r="AX228" s="218">
        <v>0.27</v>
      </c>
      <c r="AY228" s="218">
        <v>0.15</v>
      </c>
      <c r="AZ228" s="218">
        <v>1.77</v>
      </c>
      <c r="BL228" s="218">
        <v>6.08</v>
      </c>
      <c r="BM228" s="251">
        <f t="shared" si="19"/>
        <v>-6.08</v>
      </c>
      <c r="BN228" s="218">
        <v>0.28000000000000003</v>
      </c>
      <c r="BO228" s="218">
        <v>0.15</v>
      </c>
      <c r="BP228" s="218">
        <v>1.84</v>
      </c>
    </row>
    <row r="229" spans="2:68">
      <c r="B229" s="218">
        <v>6.22</v>
      </c>
      <c r="C229" s="218">
        <f t="shared" si="15"/>
        <v>-6.22</v>
      </c>
      <c r="D229" s="218">
        <v>0.21</v>
      </c>
      <c r="E229" s="218">
        <v>0.15</v>
      </c>
      <c r="F229" s="218">
        <v>1.36</v>
      </c>
      <c r="Q229" s="218">
        <v>6.27</v>
      </c>
      <c r="R229" s="251">
        <f t="shared" si="16"/>
        <v>-6.27</v>
      </c>
      <c r="S229" s="218">
        <v>0.24</v>
      </c>
      <c r="T229" s="218">
        <v>0.15</v>
      </c>
      <c r="U229" s="218">
        <v>1.55</v>
      </c>
      <c r="AF229" s="218">
        <v>6.19</v>
      </c>
      <c r="AG229" s="251">
        <f t="shared" si="17"/>
        <v>-6.19</v>
      </c>
      <c r="AH229" s="218">
        <v>0.18</v>
      </c>
      <c r="AI229" s="218">
        <v>0.15</v>
      </c>
      <c r="AJ229" s="218">
        <v>1.21</v>
      </c>
      <c r="AV229" s="218">
        <v>6.18</v>
      </c>
      <c r="AW229" s="251">
        <f t="shared" si="18"/>
        <v>-6.18</v>
      </c>
      <c r="AX229" s="218">
        <v>0.28000000000000003</v>
      </c>
      <c r="AY229" s="218">
        <v>0.15</v>
      </c>
      <c r="AZ229" s="218">
        <v>1.81</v>
      </c>
      <c r="BL229" s="218">
        <v>6.1</v>
      </c>
      <c r="BM229" s="251">
        <f t="shared" si="19"/>
        <v>-6.1</v>
      </c>
      <c r="BN229" s="218">
        <v>0.28000000000000003</v>
      </c>
      <c r="BO229" s="218">
        <v>0.15</v>
      </c>
      <c r="BP229" s="218">
        <v>1.83</v>
      </c>
    </row>
    <row r="230" spans="2:68">
      <c r="B230" s="218">
        <v>6.25</v>
      </c>
      <c r="C230" s="218">
        <f t="shared" si="15"/>
        <v>-6.25</v>
      </c>
      <c r="D230" s="218">
        <v>0.21</v>
      </c>
      <c r="E230" s="218">
        <v>0.15</v>
      </c>
      <c r="F230" s="218">
        <v>1.37</v>
      </c>
      <c r="Q230" s="218">
        <v>6.3</v>
      </c>
      <c r="R230" s="251">
        <f t="shared" si="16"/>
        <v>-6.3</v>
      </c>
      <c r="S230" s="218">
        <v>0.24</v>
      </c>
      <c r="T230" s="218">
        <v>0.16</v>
      </c>
      <c r="U230" s="218">
        <v>1.58</v>
      </c>
      <c r="AF230" s="218">
        <v>6.22</v>
      </c>
      <c r="AG230" s="251">
        <f t="shared" si="17"/>
        <v>-6.22</v>
      </c>
      <c r="AH230" s="218">
        <v>0.18</v>
      </c>
      <c r="AI230" s="218">
        <v>0.15</v>
      </c>
      <c r="AJ230" s="218">
        <v>1.21</v>
      </c>
      <c r="AV230" s="218">
        <v>6.21</v>
      </c>
      <c r="AW230" s="251">
        <f t="shared" si="18"/>
        <v>-6.21</v>
      </c>
      <c r="AX230" s="218">
        <v>0.28000000000000003</v>
      </c>
      <c r="AY230" s="218">
        <v>0.15</v>
      </c>
      <c r="AZ230" s="218">
        <v>1.84</v>
      </c>
      <c r="BL230" s="218">
        <v>6.13</v>
      </c>
      <c r="BM230" s="251">
        <f t="shared" si="19"/>
        <v>-6.13</v>
      </c>
      <c r="BN230" s="218">
        <v>0.28000000000000003</v>
      </c>
      <c r="BO230" s="218">
        <v>0.15</v>
      </c>
      <c r="BP230" s="218">
        <v>1.81</v>
      </c>
    </row>
    <row r="231" spans="2:68">
      <c r="B231" s="218">
        <v>6.27</v>
      </c>
      <c r="C231" s="218">
        <f t="shared" si="15"/>
        <v>-6.27</v>
      </c>
      <c r="D231" s="218">
        <v>0.21</v>
      </c>
      <c r="E231" s="218">
        <v>0.15</v>
      </c>
      <c r="F231" s="218">
        <v>1.39</v>
      </c>
      <c r="Q231" s="218">
        <v>6.32</v>
      </c>
      <c r="R231" s="251">
        <f t="shared" si="16"/>
        <v>-6.32</v>
      </c>
      <c r="S231" s="218">
        <v>0.25</v>
      </c>
      <c r="T231" s="218">
        <v>0.16</v>
      </c>
      <c r="U231" s="218">
        <v>1.6</v>
      </c>
      <c r="AF231" s="218">
        <v>6.24</v>
      </c>
      <c r="AG231" s="251">
        <f t="shared" si="17"/>
        <v>-6.24</v>
      </c>
      <c r="AH231" s="218">
        <v>0.18</v>
      </c>
      <c r="AI231" s="218">
        <v>0.15</v>
      </c>
      <c r="AJ231" s="218">
        <v>1.2</v>
      </c>
      <c r="AV231" s="218">
        <v>6.23</v>
      </c>
      <c r="AW231" s="251">
        <f t="shared" si="18"/>
        <v>-6.23</v>
      </c>
      <c r="AX231" s="218">
        <v>0.28999999999999998</v>
      </c>
      <c r="AY231" s="218">
        <v>0.15</v>
      </c>
      <c r="AZ231" s="218">
        <v>1.87</v>
      </c>
      <c r="BL231" s="218">
        <v>6.15</v>
      </c>
      <c r="BM231" s="251">
        <f t="shared" si="19"/>
        <v>-6.15</v>
      </c>
      <c r="BN231" s="218">
        <v>0.28000000000000003</v>
      </c>
      <c r="BO231" s="218">
        <v>0.15</v>
      </c>
      <c r="BP231" s="218">
        <v>1.8</v>
      </c>
    </row>
    <row r="232" spans="2:68">
      <c r="B232" s="218">
        <v>6.3</v>
      </c>
      <c r="C232" s="218">
        <f t="shared" si="15"/>
        <v>-6.3</v>
      </c>
      <c r="D232" s="218">
        <v>0.22</v>
      </c>
      <c r="E232" s="218">
        <v>0.15</v>
      </c>
      <c r="F232" s="218">
        <v>1.4</v>
      </c>
      <c r="Q232" s="218">
        <v>6.35</v>
      </c>
      <c r="R232" s="251">
        <f t="shared" si="16"/>
        <v>-6.35</v>
      </c>
      <c r="S232" s="218">
        <v>0.25</v>
      </c>
      <c r="T232" s="218">
        <v>0.16</v>
      </c>
      <c r="U232" s="218">
        <v>1.63</v>
      </c>
      <c r="AF232" s="218">
        <v>6.27</v>
      </c>
      <c r="AG232" s="251">
        <f t="shared" si="17"/>
        <v>-6.27</v>
      </c>
      <c r="AH232" s="218">
        <v>0.18</v>
      </c>
      <c r="AI232" s="218">
        <v>0.15</v>
      </c>
      <c r="AJ232" s="218">
        <v>1.2</v>
      </c>
      <c r="AV232" s="218">
        <v>6.26</v>
      </c>
      <c r="AW232" s="251">
        <f t="shared" si="18"/>
        <v>-6.26</v>
      </c>
      <c r="AX232" s="218">
        <v>0.28999999999999998</v>
      </c>
      <c r="AY232" s="218">
        <v>0.15</v>
      </c>
      <c r="AZ232" s="218">
        <v>1.9</v>
      </c>
      <c r="BL232" s="218">
        <v>6.18</v>
      </c>
      <c r="BM232" s="251">
        <f t="shared" si="19"/>
        <v>-6.18</v>
      </c>
      <c r="BN232" s="218">
        <v>0.27</v>
      </c>
      <c r="BO232" s="218">
        <v>0.15</v>
      </c>
      <c r="BP232" s="218">
        <v>1.79</v>
      </c>
    </row>
    <row r="233" spans="2:68">
      <c r="B233" s="218">
        <v>6.32</v>
      </c>
      <c r="C233" s="218">
        <f t="shared" si="15"/>
        <v>-6.32</v>
      </c>
      <c r="D233" s="218">
        <v>0.22</v>
      </c>
      <c r="E233" s="218">
        <v>0.15</v>
      </c>
      <c r="F233" s="218">
        <v>1.41</v>
      </c>
      <c r="Q233" s="218">
        <v>6.37</v>
      </c>
      <c r="R233" s="251">
        <f t="shared" si="16"/>
        <v>-6.37</v>
      </c>
      <c r="S233" s="218">
        <v>0.26</v>
      </c>
      <c r="T233" s="218">
        <v>0.16</v>
      </c>
      <c r="U233" s="218">
        <v>1.66</v>
      </c>
      <c r="AF233" s="218">
        <v>6.29</v>
      </c>
      <c r="AG233" s="251">
        <f t="shared" si="17"/>
        <v>-6.29</v>
      </c>
      <c r="AH233" s="218">
        <v>0.18</v>
      </c>
      <c r="AI233" s="218">
        <v>0.15</v>
      </c>
      <c r="AJ233" s="218">
        <v>1.2</v>
      </c>
      <c r="AV233" s="218">
        <v>6.28</v>
      </c>
      <c r="AW233" s="251">
        <f t="shared" si="18"/>
        <v>-6.28</v>
      </c>
      <c r="AX233" s="218">
        <v>0.3</v>
      </c>
      <c r="AY233" s="218">
        <v>0.15</v>
      </c>
      <c r="AZ233" s="218">
        <v>1.94</v>
      </c>
      <c r="BL233" s="218">
        <v>6.2</v>
      </c>
      <c r="BM233" s="251">
        <f t="shared" si="19"/>
        <v>-6.2</v>
      </c>
      <c r="BN233" s="218">
        <v>0.27</v>
      </c>
      <c r="BO233" s="218">
        <v>0.15</v>
      </c>
      <c r="BP233" s="218">
        <v>1.77</v>
      </c>
    </row>
    <row r="234" spans="2:68">
      <c r="B234" s="218">
        <v>6.35</v>
      </c>
      <c r="C234" s="218">
        <f t="shared" si="15"/>
        <v>-6.35</v>
      </c>
      <c r="D234" s="218">
        <v>0.22</v>
      </c>
      <c r="E234" s="218">
        <v>0.15</v>
      </c>
      <c r="F234" s="218">
        <v>1.42</v>
      </c>
      <c r="Q234" s="218">
        <v>6.4</v>
      </c>
      <c r="R234" s="251">
        <f t="shared" si="16"/>
        <v>-6.4</v>
      </c>
      <c r="S234" s="218">
        <v>0.26</v>
      </c>
      <c r="T234" s="218">
        <v>0.16</v>
      </c>
      <c r="U234" s="218">
        <v>1.68</v>
      </c>
      <c r="AF234" s="218">
        <v>6.32</v>
      </c>
      <c r="AG234" s="251">
        <f t="shared" si="17"/>
        <v>-6.32</v>
      </c>
      <c r="AH234" s="218">
        <v>0.18</v>
      </c>
      <c r="AI234" s="218">
        <v>0.15</v>
      </c>
      <c r="AJ234" s="218">
        <v>1.19</v>
      </c>
      <c r="AV234" s="218">
        <v>6.31</v>
      </c>
      <c r="AW234" s="251">
        <f t="shared" si="18"/>
        <v>-6.31</v>
      </c>
      <c r="AX234" s="218">
        <v>0.3</v>
      </c>
      <c r="AY234" s="218">
        <v>0.15</v>
      </c>
      <c r="AZ234" s="218">
        <v>1.97</v>
      </c>
      <c r="BL234" s="218">
        <v>6.23</v>
      </c>
      <c r="BM234" s="251">
        <f t="shared" si="19"/>
        <v>-6.23</v>
      </c>
      <c r="BN234" s="218">
        <v>0.27</v>
      </c>
      <c r="BO234" s="218">
        <v>0.15</v>
      </c>
      <c r="BP234" s="218">
        <v>1.76</v>
      </c>
    </row>
    <row r="235" spans="2:68">
      <c r="B235" s="218">
        <v>6.37</v>
      </c>
      <c r="C235" s="218">
        <f t="shared" si="15"/>
        <v>-6.37</v>
      </c>
      <c r="D235" s="218">
        <v>0.22</v>
      </c>
      <c r="E235" s="218">
        <v>0.15</v>
      </c>
      <c r="F235" s="218">
        <v>1.43</v>
      </c>
      <c r="Q235" s="218">
        <v>6.42</v>
      </c>
      <c r="R235" s="251">
        <f t="shared" si="16"/>
        <v>-6.42</v>
      </c>
      <c r="S235" s="218">
        <v>0.27</v>
      </c>
      <c r="T235" s="218">
        <v>0.16</v>
      </c>
      <c r="U235" s="218">
        <v>1.71</v>
      </c>
      <c r="AF235" s="218">
        <v>6.34</v>
      </c>
      <c r="AG235" s="251">
        <f t="shared" si="17"/>
        <v>-6.34</v>
      </c>
      <c r="AH235" s="218">
        <v>0.18</v>
      </c>
      <c r="AI235" s="218">
        <v>0.15</v>
      </c>
      <c r="AJ235" s="218">
        <v>1.19</v>
      </c>
      <c r="AV235" s="218">
        <v>6.33</v>
      </c>
      <c r="AW235" s="251">
        <f t="shared" si="18"/>
        <v>-6.33</v>
      </c>
      <c r="AX235" s="218">
        <v>0.31</v>
      </c>
      <c r="AY235" s="218">
        <v>0.15</v>
      </c>
      <c r="AZ235" s="218">
        <v>2</v>
      </c>
      <c r="BL235" s="218">
        <v>6.25</v>
      </c>
      <c r="BM235" s="251">
        <f t="shared" si="19"/>
        <v>-6.25</v>
      </c>
      <c r="BN235" s="218">
        <v>0.27</v>
      </c>
      <c r="BO235" s="218">
        <v>0.15</v>
      </c>
      <c r="BP235" s="218">
        <v>1.75</v>
      </c>
    </row>
    <row r="236" spans="2:68">
      <c r="B236" s="218">
        <v>6.4</v>
      </c>
      <c r="C236" s="218">
        <f t="shared" si="15"/>
        <v>-6.4</v>
      </c>
      <c r="D236" s="218">
        <v>0.22</v>
      </c>
      <c r="E236" s="218">
        <v>0.16</v>
      </c>
      <c r="F236" s="218">
        <v>1.45</v>
      </c>
      <c r="Q236" s="218">
        <v>6.45</v>
      </c>
      <c r="R236" s="251">
        <f t="shared" si="16"/>
        <v>-6.45</v>
      </c>
      <c r="S236" s="218">
        <v>0.27</v>
      </c>
      <c r="T236" s="218">
        <v>0.16</v>
      </c>
      <c r="U236" s="218">
        <v>1.74</v>
      </c>
      <c r="AF236" s="218">
        <v>6.37</v>
      </c>
      <c r="AG236" s="251">
        <f t="shared" si="17"/>
        <v>-6.37</v>
      </c>
      <c r="AH236" s="218">
        <v>0.18</v>
      </c>
      <c r="AI236" s="218">
        <v>0.15</v>
      </c>
      <c r="AJ236" s="218">
        <v>1.19</v>
      </c>
      <c r="AV236" s="218">
        <v>6.36</v>
      </c>
      <c r="AW236" s="251">
        <f t="shared" si="18"/>
        <v>-6.36</v>
      </c>
      <c r="AX236" s="218">
        <v>0.31</v>
      </c>
      <c r="AY236" s="218">
        <v>0.15</v>
      </c>
      <c r="AZ236" s="218">
        <v>2.0299999999999998</v>
      </c>
      <c r="BL236" s="218">
        <v>6.28</v>
      </c>
      <c r="BM236" s="251">
        <f t="shared" si="19"/>
        <v>-6.28</v>
      </c>
      <c r="BN236" s="218">
        <v>0.27</v>
      </c>
      <c r="BO236" s="218">
        <v>0.15</v>
      </c>
      <c r="BP236" s="218">
        <v>1.74</v>
      </c>
    </row>
    <row r="237" spans="2:68">
      <c r="B237" s="218">
        <v>6.42</v>
      </c>
      <c r="C237" s="218">
        <f t="shared" si="15"/>
        <v>-6.42</v>
      </c>
      <c r="D237" s="218">
        <v>0.23</v>
      </c>
      <c r="E237" s="218">
        <v>0.16</v>
      </c>
      <c r="F237" s="218">
        <v>1.46</v>
      </c>
      <c r="Q237" s="218">
        <v>6.47</v>
      </c>
      <c r="R237" s="251">
        <f t="shared" si="16"/>
        <v>-6.47</v>
      </c>
      <c r="S237" s="218">
        <v>0.28000000000000003</v>
      </c>
      <c r="T237" s="218">
        <v>0.16</v>
      </c>
      <c r="U237" s="218">
        <v>1.76</v>
      </c>
      <c r="AF237" s="218">
        <v>6.39</v>
      </c>
      <c r="AG237" s="251">
        <f t="shared" si="17"/>
        <v>-6.39</v>
      </c>
      <c r="AH237" s="218">
        <v>0.18</v>
      </c>
      <c r="AI237" s="218">
        <v>0.15</v>
      </c>
      <c r="AJ237" s="218">
        <v>1.18</v>
      </c>
      <c r="AV237" s="218">
        <v>6.38</v>
      </c>
      <c r="AW237" s="251">
        <f t="shared" si="18"/>
        <v>-6.38</v>
      </c>
      <c r="AX237" s="218">
        <v>0.32</v>
      </c>
      <c r="AY237" s="218">
        <v>0.15</v>
      </c>
      <c r="AZ237" s="218">
        <v>2.0699999999999998</v>
      </c>
      <c r="BL237" s="218">
        <v>6.3</v>
      </c>
      <c r="BM237" s="251">
        <f t="shared" si="19"/>
        <v>-6.3</v>
      </c>
      <c r="BN237" s="218">
        <v>0.27</v>
      </c>
      <c r="BO237" s="218">
        <v>0.15</v>
      </c>
      <c r="BP237" s="218">
        <v>1.72</v>
      </c>
    </row>
    <row r="238" spans="2:68">
      <c r="B238" s="218">
        <v>6.45</v>
      </c>
      <c r="C238" s="218">
        <f t="shared" si="15"/>
        <v>-6.45</v>
      </c>
      <c r="D238" s="218">
        <v>0.23</v>
      </c>
      <c r="E238" s="218">
        <v>0.16</v>
      </c>
      <c r="F238" s="218">
        <v>1.47</v>
      </c>
      <c r="Q238" s="218">
        <v>6.5</v>
      </c>
      <c r="R238" s="251">
        <f t="shared" si="16"/>
        <v>-6.5</v>
      </c>
      <c r="S238" s="218">
        <v>0.28000000000000003</v>
      </c>
      <c r="T238" s="218">
        <v>0.16</v>
      </c>
      <c r="U238" s="218">
        <v>1.79</v>
      </c>
      <c r="AF238" s="218">
        <v>6.42</v>
      </c>
      <c r="AG238" s="251">
        <f t="shared" si="17"/>
        <v>-6.42</v>
      </c>
      <c r="AH238" s="218">
        <v>0.18</v>
      </c>
      <c r="AI238" s="218">
        <v>0.15</v>
      </c>
      <c r="AJ238" s="218">
        <v>1.18</v>
      </c>
      <c r="AV238" s="218">
        <v>6.41</v>
      </c>
      <c r="AW238" s="251">
        <f t="shared" si="18"/>
        <v>-6.41</v>
      </c>
      <c r="AX238" s="218">
        <v>0.33</v>
      </c>
      <c r="AY238" s="218">
        <v>0.16</v>
      </c>
      <c r="AZ238" s="218">
        <v>2.1</v>
      </c>
      <c r="BL238" s="218">
        <v>6.33</v>
      </c>
      <c r="BM238" s="251">
        <f t="shared" si="19"/>
        <v>-6.33</v>
      </c>
      <c r="BN238" s="218">
        <v>0.26</v>
      </c>
      <c r="BO238" s="218">
        <v>0.15</v>
      </c>
      <c r="BP238" s="218">
        <v>1.71</v>
      </c>
    </row>
    <row r="239" spans="2:68">
      <c r="B239" s="218">
        <v>6.47</v>
      </c>
      <c r="C239" s="218">
        <f t="shared" si="15"/>
        <v>-6.47</v>
      </c>
      <c r="D239" s="218">
        <v>0.23</v>
      </c>
      <c r="E239" s="218">
        <v>0.16</v>
      </c>
      <c r="F239" s="218">
        <v>1.48</v>
      </c>
      <c r="Q239" s="218">
        <v>6.52</v>
      </c>
      <c r="R239" s="251">
        <f t="shared" si="16"/>
        <v>-6.52</v>
      </c>
      <c r="S239" s="218">
        <v>0.28999999999999998</v>
      </c>
      <c r="T239" s="218">
        <v>0.16</v>
      </c>
      <c r="U239" s="218">
        <v>1.81</v>
      </c>
      <c r="AF239" s="218">
        <v>6.44</v>
      </c>
      <c r="AG239" s="251">
        <f t="shared" si="17"/>
        <v>-6.44</v>
      </c>
      <c r="AH239" s="218">
        <v>0.18</v>
      </c>
      <c r="AI239" s="218">
        <v>0.15</v>
      </c>
      <c r="AJ239" s="218">
        <v>1.18</v>
      </c>
      <c r="AV239" s="218">
        <v>6.43</v>
      </c>
      <c r="AW239" s="251">
        <f t="shared" si="18"/>
        <v>-6.43</v>
      </c>
      <c r="AX239" s="218">
        <v>0.33</v>
      </c>
      <c r="AY239" s="218">
        <v>0.16</v>
      </c>
      <c r="AZ239" s="218">
        <v>2.13</v>
      </c>
      <c r="BL239" s="218">
        <v>6.35</v>
      </c>
      <c r="BM239" s="251">
        <f t="shared" si="19"/>
        <v>-6.35</v>
      </c>
      <c r="BN239" s="218">
        <v>0.26</v>
      </c>
      <c r="BO239" s="218">
        <v>0.15</v>
      </c>
      <c r="BP239" s="218">
        <v>1.7</v>
      </c>
    </row>
    <row r="240" spans="2:68">
      <c r="B240" s="218">
        <v>6.5</v>
      </c>
      <c r="C240" s="218">
        <f t="shared" si="15"/>
        <v>-6.5</v>
      </c>
      <c r="D240" s="218">
        <v>0.23</v>
      </c>
      <c r="E240" s="218">
        <v>0.16</v>
      </c>
      <c r="F240" s="218">
        <v>1.49</v>
      </c>
      <c r="Q240" s="218">
        <v>6.55</v>
      </c>
      <c r="R240" s="251">
        <f t="shared" si="16"/>
        <v>-6.55</v>
      </c>
      <c r="S240" s="218">
        <v>0.28999999999999998</v>
      </c>
      <c r="T240" s="218">
        <v>0.16</v>
      </c>
      <c r="U240" s="218">
        <v>1.84</v>
      </c>
      <c r="AF240" s="218">
        <v>6.47</v>
      </c>
      <c r="AG240" s="251">
        <f t="shared" si="17"/>
        <v>-6.47</v>
      </c>
      <c r="AH240" s="218">
        <v>0.18</v>
      </c>
      <c r="AI240" s="218">
        <v>0.15</v>
      </c>
      <c r="AJ240" s="218">
        <v>1.17</v>
      </c>
      <c r="AV240" s="218">
        <v>6.46</v>
      </c>
      <c r="AW240" s="251">
        <f t="shared" si="18"/>
        <v>-6.46</v>
      </c>
      <c r="AX240" s="218">
        <v>0.34</v>
      </c>
      <c r="AY240" s="218">
        <v>0.16</v>
      </c>
      <c r="AZ240" s="218">
        <v>2.16</v>
      </c>
      <c r="BL240" s="218">
        <v>6.38</v>
      </c>
      <c r="BM240" s="251">
        <f t="shared" si="19"/>
        <v>-6.38</v>
      </c>
      <c r="BN240" s="218">
        <v>0.26</v>
      </c>
      <c r="BO240" s="218">
        <v>0.16</v>
      </c>
      <c r="BP240" s="218">
        <v>1.69</v>
      </c>
    </row>
    <row r="241" spans="2:68">
      <c r="B241" s="218">
        <v>6.52</v>
      </c>
      <c r="C241" s="218">
        <f t="shared" si="15"/>
        <v>-6.52</v>
      </c>
      <c r="D241" s="218">
        <v>0.24</v>
      </c>
      <c r="E241" s="218">
        <v>0.16</v>
      </c>
      <c r="F241" s="218">
        <v>1.51</v>
      </c>
      <c r="Q241" s="218">
        <v>6.57</v>
      </c>
      <c r="R241" s="251">
        <f t="shared" si="16"/>
        <v>-6.57</v>
      </c>
      <c r="S241" s="218">
        <v>0.28999999999999998</v>
      </c>
      <c r="T241" s="218">
        <v>0.16</v>
      </c>
      <c r="U241" s="218">
        <v>1.87</v>
      </c>
      <c r="AF241" s="218">
        <v>6.49</v>
      </c>
      <c r="AG241" s="251">
        <f t="shared" si="17"/>
        <v>-6.49</v>
      </c>
      <c r="AH241" s="218">
        <v>0.18</v>
      </c>
      <c r="AI241" s="218">
        <v>0.15</v>
      </c>
      <c r="AJ241" s="218">
        <v>1.17</v>
      </c>
      <c r="AV241" s="218">
        <v>6.48</v>
      </c>
      <c r="AW241" s="251">
        <f t="shared" si="18"/>
        <v>-6.48</v>
      </c>
      <c r="AX241" s="218">
        <v>0.34</v>
      </c>
      <c r="AY241" s="218">
        <v>0.16</v>
      </c>
      <c r="AZ241" s="218">
        <v>2.19</v>
      </c>
      <c r="BL241" s="218">
        <v>6.4</v>
      </c>
      <c r="BM241" s="251">
        <f t="shared" si="19"/>
        <v>-6.4</v>
      </c>
      <c r="BN241" s="218">
        <v>0.26</v>
      </c>
      <c r="BO241" s="218">
        <v>0.16</v>
      </c>
      <c r="BP241" s="218">
        <v>1.67</v>
      </c>
    </row>
    <row r="242" spans="2:68">
      <c r="B242" s="218">
        <v>6.55</v>
      </c>
      <c r="C242" s="218">
        <f t="shared" si="15"/>
        <v>-6.55</v>
      </c>
      <c r="D242" s="218">
        <v>0.24</v>
      </c>
      <c r="E242" s="218">
        <v>0.16</v>
      </c>
      <c r="F242" s="218">
        <v>1.52</v>
      </c>
      <c r="Q242" s="218">
        <v>6.6</v>
      </c>
      <c r="R242" s="251">
        <f t="shared" si="16"/>
        <v>-6.6</v>
      </c>
      <c r="S242" s="218">
        <v>0.3</v>
      </c>
      <c r="T242" s="218">
        <v>0.16</v>
      </c>
      <c r="U242" s="218">
        <v>1.89</v>
      </c>
      <c r="AF242" s="218">
        <v>6.52</v>
      </c>
      <c r="AG242" s="251">
        <f t="shared" si="17"/>
        <v>-6.52</v>
      </c>
      <c r="AH242" s="218">
        <v>0.18</v>
      </c>
      <c r="AI242" s="218">
        <v>0.15</v>
      </c>
      <c r="AJ242" s="218">
        <v>1.17</v>
      </c>
      <c r="AV242" s="218">
        <v>6.51</v>
      </c>
      <c r="AW242" s="251">
        <f t="shared" si="18"/>
        <v>-6.51</v>
      </c>
      <c r="AX242" s="218">
        <v>0.35</v>
      </c>
      <c r="AY242" s="218">
        <v>0.16</v>
      </c>
      <c r="AZ242" s="218">
        <v>2.23</v>
      </c>
      <c r="BL242" s="218">
        <v>6.43</v>
      </c>
      <c r="BM242" s="251">
        <f t="shared" si="19"/>
        <v>-6.43</v>
      </c>
      <c r="BN242" s="218">
        <v>0.26</v>
      </c>
      <c r="BO242" s="218">
        <v>0.16</v>
      </c>
      <c r="BP242" s="218">
        <v>1.66</v>
      </c>
    </row>
    <row r="243" spans="2:68">
      <c r="B243" s="218">
        <v>6.57</v>
      </c>
      <c r="C243" s="218">
        <f t="shared" si="15"/>
        <v>-6.57</v>
      </c>
      <c r="D243" s="218">
        <v>0.24</v>
      </c>
      <c r="E243" s="218">
        <v>0.16</v>
      </c>
      <c r="F243" s="218">
        <v>1.53</v>
      </c>
      <c r="Q243" s="218">
        <v>6.62</v>
      </c>
      <c r="R243" s="251">
        <f t="shared" si="16"/>
        <v>-6.62</v>
      </c>
      <c r="S243" s="218">
        <v>0.3</v>
      </c>
      <c r="T243" s="218">
        <v>0.16</v>
      </c>
      <c r="U243" s="218">
        <v>1.92</v>
      </c>
      <c r="AF243" s="218">
        <v>6.54</v>
      </c>
      <c r="AG243" s="251">
        <f t="shared" si="17"/>
        <v>-6.54</v>
      </c>
      <c r="AH243" s="218">
        <v>0.18</v>
      </c>
      <c r="AI243" s="218">
        <v>0.15</v>
      </c>
      <c r="AJ243" s="218">
        <v>1.1599999999999999</v>
      </c>
      <c r="AV243" s="218">
        <v>6.53</v>
      </c>
      <c r="AW243" s="251">
        <f t="shared" si="18"/>
        <v>-6.53</v>
      </c>
      <c r="AX243" s="218">
        <v>0.35</v>
      </c>
      <c r="AY243" s="218">
        <v>0.16</v>
      </c>
      <c r="AZ243" s="218">
        <v>2.2599999999999998</v>
      </c>
      <c r="BL243" s="218">
        <v>6.45</v>
      </c>
      <c r="BM243" s="251">
        <f t="shared" si="19"/>
        <v>-6.45</v>
      </c>
      <c r="BN243" s="218">
        <v>0.26</v>
      </c>
      <c r="BO243" s="218">
        <v>0.16</v>
      </c>
      <c r="BP243" s="218">
        <v>1.65</v>
      </c>
    </row>
    <row r="244" spans="2:68">
      <c r="B244" s="218">
        <v>6.6</v>
      </c>
      <c r="C244" s="218">
        <f t="shared" si="15"/>
        <v>-6.6</v>
      </c>
      <c r="D244" s="218">
        <v>0.24</v>
      </c>
      <c r="E244" s="218">
        <v>0.16</v>
      </c>
      <c r="F244" s="218">
        <v>1.54</v>
      </c>
      <c r="Q244" s="218">
        <v>6.65</v>
      </c>
      <c r="R244" s="251">
        <f t="shared" si="16"/>
        <v>-6.65</v>
      </c>
      <c r="S244" s="218">
        <v>0.31</v>
      </c>
      <c r="T244" s="218">
        <v>0.16</v>
      </c>
      <c r="U244" s="218">
        <v>1.94</v>
      </c>
      <c r="AF244" s="218">
        <v>6.57</v>
      </c>
      <c r="AG244" s="251">
        <f t="shared" si="17"/>
        <v>-6.57</v>
      </c>
      <c r="AH244" s="218">
        <v>0.18</v>
      </c>
      <c r="AI244" s="218">
        <v>0.15</v>
      </c>
      <c r="AJ244" s="218">
        <v>1.1599999999999999</v>
      </c>
      <c r="AV244" s="218">
        <v>6.56</v>
      </c>
      <c r="AW244" s="251">
        <f t="shared" si="18"/>
        <v>-6.56</v>
      </c>
      <c r="AX244" s="218">
        <v>0.36</v>
      </c>
      <c r="AY244" s="218">
        <v>0.16</v>
      </c>
      <c r="AZ244" s="218">
        <v>2.29</v>
      </c>
      <c r="BL244" s="218">
        <v>6.48</v>
      </c>
      <c r="BM244" s="251">
        <f t="shared" si="19"/>
        <v>-6.48</v>
      </c>
      <c r="BN244" s="218">
        <v>0.26</v>
      </c>
      <c r="BO244" s="218">
        <v>0.16</v>
      </c>
      <c r="BP244" s="218">
        <v>1.64</v>
      </c>
    </row>
    <row r="245" spans="2:68">
      <c r="B245" s="218">
        <v>6.62</v>
      </c>
      <c r="C245" s="218">
        <f t="shared" si="15"/>
        <v>-6.62</v>
      </c>
      <c r="D245" s="218">
        <v>0.24</v>
      </c>
      <c r="E245" s="218">
        <v>0.16</v>
      </c>
      <c r="F245" s="218">
        <v>1.55</v>
      </c>
      <c r="Q245" s="218">
        <v>6.67</v>
      </c>
      <c r="R245" s="251">
        <f t="shared" si="16"/>
        <v>-6.67</v>
      </c>
      <c r="S245" s="218">
        <v>0.31</v>
      </c>
      <c r="T245" s="218">
        <v>0.16</v>
      </c>
      <c r="U245" s="218">
        <v>1.97</v>
      </c>
      <c r="AF245" s="218">
        <v>6.59</v>
      </c>
      <c r="AG245" s="251">
        <f t="shared" si="17"/>
        <v>-6.59</v>
      </c>
      <c r="AH245" s="218">
        <v>0.18</v>
      </c>
      <c r="AI245" s="218">
        <v>0.15</v>
      </c>
      <c r="AJ245" s="218">
        <v>1.1599999999999999</v>
      </c>
      <c r="AV245" s="218">
        <v>6.58</v>
      </c>
      <c r="AW245" s="251">
        <f t="shared" si="18"/>
        <v>-6.58</v>
      </c>
      <c r="AX245" s="218">
        <v>0.37</v>
      </c>
      <c r="AY245" s="218">
        <v>0.16</v>
      </c>
      <c r="AZ245" s="218">
        <v>2.33</v>
      </c>
      <c r="BL245" s="218">
        <v>6.5</v>
      </c>
      <c r="BM245" s="251">
        <f t="shared" si="19"/>
        <v>-6.5</v>
      </c>
      <c r="BN245" s="218">
        <v>0.25</v>
      </c>
      <c r="BO245" s="218">
        <v>0.16</v>
      </c>
      <c r="BP245" s="218">
        <v>1.62</v>
      </c>
    </row>
    <row r="246" spans="2:68">
      <c r="B246" s="218">
        <v>6.65</v>
      </c>
      <c r="C246" s="218">
        <f t="shared" si="15"/>
        <v>-6.65</v>
      </c>
      <c r="D246" s="218">
        <v>0.25</v>
      </c>
      <c r="E246" s="218">
        <v>0.16</v>
      </c>
      <c r="F246" s="218">
        <v>1.56</v>
      </c>
      <c r="Q246" s="218">
        <v>6.7</v>
      </c>
      <c r="R246" s="251">
        <f t="shared" si="16"/>
        <v>-6.7</v>
      </c>
      <c r="S246" s="218">
        <v>0.32</v>
      </c>
      <c r="T246" s="218">
        <v>0.16</v>
      </c>
      <c r="U246" s="218">
        <v>1.99</v>
      </c>
      <c r="AF246" s="218">
        <v>6.62</v>
      </c>
      <c r="AG246" s="251">
        <f t="shared" si="17"/>
        <v>-6.62</v>
      </c>
      <c r="AH246" s="218">
        <v>0.18</v>
      </c>
      <c r="AI246" s="218">
        <v>0.15</v>
      </c>
      <c r="AJ246" s="218">
        <v>1.1499999999999999</v>
      </c>
      <c r="AV246" s="218">
        <v>6.61</v>
      </c>
      <c r="AW246" s="251">
        <f t="shared" si="18"/>
        <v>-6.61</v>
      </c>
      <c r="AX246" s="218">
        <v>0.37</v>
      </c>
      <c r="AY246" s="218">
        <v>0.16</v>
      </c>
      <c r="AZ246" s="218">
        <v>2.36</v>
      </c>
      <c r="BL246" s="218">
        <v>6.53</v>
      </c>
      <c r="BM246" s="251">
        <f t="shared" si="19"/>
        <v>-6.53</v>
      </c>
      <c r="BN246" s="218">
        <v>0.25</v>
      </c>
      <c r="BO246" s="218">
        <v>0.16</v>
      </c>
      <c r="BP246" s="218">
        <v>1.61</v>
      </c>
    </row>
    <row r="247" spans="2:68">
      <c r="B247" s="218">
        <v>6.67</v>
      </c>
      <c r="C247" s="218">
        <f t="shared" si="15"/>
        <v>-6.67</v>
      </c>
      <c r="D247" s="218">
        <v>0.25</v>
      </c>
      <c r="E247" s="218">
        <v>0.16</v>
      </c>
      <c r="F247" s="218">
        <v>1.57</v>
      </c>
      <c r="Q247" s="218">
        <v>6.72</v>
      </c>
      <c r="R247" s="251">
        <f t="shared" si="16"/>
        <v>-6.72</v>
      </c>
      <c r="S247" s="218">
        <v>0.32</v>
      </c>
      <c r="T247" s="218">
        <v>0.16</v>
      </c>
      <c r="U247" s="218">
        <v>2.02</v>
      </c>
      <c r="AF247" s="218">
        <v>6.64</v>
      </c>
      <c r="AG247" s="251">
        <f t="shared" si="17"/>
        <v>-6.64</v>
      </c>
      <c r="AH247" s="218">
        <v>0.18</v>
      </c>
      <c r="AI247" s="218">
        <v>0.15</v>
      </c>
      <c r="AJ247" s="218">
        <v>1.1499999999999999</v>
      </c>
      <c r="AV247" s="218">
        <v>6.63</v>
      </c>
      <c r="AW247" s="251">
        <f t="shared" si="18"/>
        <v>-6.63</v>
      </c>
      <c r="AX247" s="218">
        <v>0.38</v>
      </c>
      <c r="AY247" s="218">
        <v>0.16</v>
      </c>
      <c r="AZ247" s="218">
        <v>2.39</v>
      </c>
      <c r="BL247" s="218">
        <v>6.55</v>
      </c>
      <c r="BM247" s="251">
        <f t="shared" si="19"/>
        <v>-6.55</v>
      </c>
      <c r="BN247" s="218">
        <v>0.25</v>
      </c>
      <c r="BO247" s="218">
        <v>0.16</v>
      </c>
      <c r="BP247" s="218">
        <v>1.6</v>
      </c>
    </row>
    <row r="248" spans="2:68">
      <c r="B248" s="218">
        <v>6.7</v>
      </c>
      <c r="C248" s="218">
        <f t="shared" si="15"/>
        <v>-6.7</v>
      </c>
      <c r="D248" s="218">
        <v>0.25</v>
      </c>
      <c r="E248" s="218">
        <v>0.16</v>
      </c>
      <c r="F248" s="218">
        <v>1.59</v>
      </c>
      <c r="Q248" s="218">
        <v>6.75</v>
      </c>
      <c r="R248" s="251">
        <f t="shared" si="16"/>
        <v>-6.75</v>
      </c>
      <c r="S248" s="218">
        <v>0.33</v>
      </c>
      <c r="T248" s="218">
        <v>0.16</v>
      </c>
      <c r="U248" s="218">
        <v>2.04</v>
      </c>
      <c r="AF248" s="218">
        <v>6.67</v>
      </c>
      <c r="AG248" s="251">
        <f t="shared" si="17"/>
        <v>-6.67</v>
      </c>
      <c r="AH248" s="218">
        <v>0.18</v>
      </c>
      <c r="AI248" s="218">
        <v>0.15</v>
      </c>
      <c r="AJ248" s="218">
        <v>1.1499999999999999</v>
      </c>
      <c r="AV248" s="218">
        <v>6.66</v>
      </c>
      <c r="AW248" s="251">
        <f t="shared" si="18"/>
        <v>-6.66</v>
      </c>
      <c r="AX248" s="218">
        <v>0.38</v>
      </c>
      <c r="AY248" s="218">
        <v>0.16</v>
      </c>
      <c r="AZ248" s="218">
        <v>2.4300000000000002</v>
      </c>
      <c r="BL248" s="218">
        <v>6.58</v>
      </c>
      <c r="BM248" s="251">
        <f t="shared" si="19"/>
        <v>-6.58</v>
      </c>
      <c r="BN248" s="218">
        <v>0.25</v>
      </c>
      <c r="BO248" s="218">
        <v>0.16</v>
      </c>
      <c r="BP248" s="218">
        <v>1.59</v>
      </c>
    </row>
    <row r="249" spans="2:68">
      <c r="B249" s="218">
        <v>6.72</v>
      </c>
      <c r="C249" s="218">
        <f t="shared" si="15"/>
        <v>-6.72</v>
      </c>
      <c r="D249" s="218">
        <v>0.25</v>
      </c>
      <c r="E249" s="218">
        <v>0.16</v>
      </c>
      <c r="F249" s="218">
        <v>1.6</v>
      </c>
      <c r="Q249" s="218">
        <v>6.77</v>
      </c>
      <c r="R249" s="251">
        <f t="shared" si="16"/>
        <v>-6.77</v>
      </c>
      <c r="S249" s="218">
        <v>0.33</v>
      </c>
      <c r="T249" s="218">
        <v>0.16</v>
      </c>
      <c r="U249" s="218">
        <v>2.0699999999999998</v>
      </c>
      <c r="AF249" s="218">
        <v>6.69</v>
      </c>
      <c r="AG249" s="251">
        <f t="shared" si="17"/>
        <v>-6.69</v>
      </c>
      <c r="AH249" s="218">
        <v>0.18</v>
      </c>
      <c r="AI249" s="218">
        <v>0.16</v>
      </c>
      <c r="AJ249" s="218">
        <v>1.1499999999999999</v>
      </c>
      <c r="AV249" s="218">
        <v>6.68</v>
      </c>
      <c r="AW249" s="251">
        <f t="shared" si="18"/>
        <v>-6.68</v>
      </c>
      <c r="AX249" s="218">
        <v>0.39</v>
      </c>
      <c r="AY249" s="218">
        <v>0.16</v>
      </c>
      <c r="AZ249" s="218">
        <v>2.46</v>
      </c>
      <c r="BL249" s="218">
        <v>6.6</v>
      </c>
      <c r="BM249" s="251">
        <f t="shared" si="19"/>
        <v>-6.6</v>
      </c>
      <c r="BN249" s="218">
        <v>0.25</v>
      </c>
      <c r="BO249" s="218">
        <v>0.16</v>
      </c>
      <c r="BP249" s="218">
        <v>1.58</v>
      </c>
    </row>
    <row r="250" spans="2:68">
      <c r="B250" s="218">
        <v>6.75</v>
      </c>
      <c r="C250" s="218">
        <f t="shared" si="15"/>
        <v>-6.75</v>
      </c>
      <c r="D250" s="218">
        <v>0.26</v>
      </c>
      <c r="E250" s="218">
        <v>0.16</v>
      </c>
      <c r="F250" s="218">
        <v>1.61</v>
      </c>
      <c r="Q250" s="218">
        <v>6.8</v>
      </c>
      <c r="R250" s="251">
        <f t="shared" si="16"/>
        <v>-6.8</v>
      </c>
      <c r="S250" s="218">
        <v>0.34</v>
      </c>
      <c r="T250" s="218">
        <v>0.16</v>
      </c>
      <c r="U250" s="218">
        <v>2.09</v>
      </c>
      <c r="AF250" s="218">
        <v>6.72</v>
      </c>
      <c r="AG250" s="251">
        <f t="shared" si="17"/>
        <v>-6.72</v>
      </c>
      <c r="AH250" s="218">
        <v>0.18</v>
      </c>
      <c r="AI250" s="218">
        <v>0.16</v>
      </c>
      <c r="AJ250" s="218">
        <v>1.1399999999999999</v>
      </c>
      <c r="AV250" s="218">
        <v>6.71</v>
      </c>
      <c r="AW250" s="251">
        <f t="shared" si="18"/>
        <v>-6.71</v>
      </c>
      <c r="AX250" s="218">
        <v>0.4</v>
      </c>
      <c r="AY250" s="218">
        <v>0.16</v>
      </c>
      <c r="AZ250" s="218">
        <v>2.5</v>
      </c>
      <c r="BL250" s="218">
        <v>6.63</v>
      </c>
      <c r="BM250" s="251">
        <f t="shared" si="19"/>
        <v>-6.63</v>
      </c>
      <c r="BN250" s="218">
        <v>0.25</v>
      </c>
      <c r="BO250" s="218">
        <v>0.16</v>
      </c>
      <c r="BP250" s="218">
        <v>1.56</v>
      </c>
    </row>
    <row r="251" spans="2:68">
      <c r="B251" s="218">
        <v>6.77</v>
      </c>
      <c r="C251" s="218">
        <f t="shared" si="15"/>
        <v>-6.77</v>
      </c>
      <c r="D251" s="218">
        <v>0.26</v>
      </c>
      <c r="E251" s="218">
        <v>0.16</v>
      </c>
      <c r="F251" s="218">
        <v>1.62</v>
      </c>
      <c r="Q251" s="218">
        <v>6.82</v>
      </c>
      <c r="R251" s="251">
        <f t="shared" si="16"/>
        <v>-6.82</v>
      </c>
      <c r="S251" s="218">
        <v>0.34</v>
      </c>
      <c r="T251" s="218">
        <v>0.16</v>
      </c>
      <c r="U251" s="218">
        <v>2.12</v>
      </c>
      <c r="AF251" s="218">
        <v>6.74</v>
      </c>
      <c r="AG251" s="251">
        <f t="shared" si="17"/>
        <v>-6.74</v>
      </c>
      <c r="AH251" s="218">
        <v>0.18</v>
      </c>
      <c r="AI251" s="218">
        <v>0.16</v>
      </c>
      <c r="AJ251" s="218">
        <v>1.1399999999999999</v>
      </c>
      <c r="AV251" s="218">
        <v>6.73</v>
      </c>
      <c r="AW251" s="251">
        <f t="shared" si="18"/>
        <v>-6.73</v>
      </c>
      <c r="AX251" s="218">
        <v>0.4</v>
      </c>
      <c r="AY251" s="218">
        <v>0.16</v>
      </c>
      <c r="AZ251" s="218">
        <v>2.54</v>
      </c>
      <c r="BL251" s="218">
        <v>6.65</v>
      </c>
      <c r="BM251" s="251">
        <f t="shared" si="19"/>
        <v>-6.65</v>
      </c>
      <c r="BN251" s="218">
        <v>0.25</v>
      </c>
      <c r="BO251" s="218">
        <v>0.16</v>
      </c>
      <c r="BP251" s="218">
        <v>1.55</v>
      </c>
    </row>
    <row r="252" spans="2:68">
      <c r="B252" s="218">
        <v>6.8</v>
      </c>
      <c r="C252" s="218">
        <f t="shared" si="15"/>
        <v>-6.8</v>
      </c>
      <c r="D252" s="218">
        <v>0.26</v>
      </c>
      <c r="E252" s="218">
        <v>0.16</v>
      </c>
      <c r="F252" s="218">
        <v>1.63</v>
      </c>
      <c r="Q252" s="218">
        <v>6.85</v>
      </c>
      <c r="R252" s="251">
        <f t="shared" si="16"/>
        <v>-6.85</v>
      </c>
      <c r="S252" s="218">
        <v>0.35</v>
      </c>
      <c r="T252" s="218">
        <v>0.16</v>
      </c>
      <c r="U252" s="218">
        <v>2.14</v>
      </c>
      <c r="AF252" s="218">
        <v>6.77</v>
      </c>
      <c r="AG252" s="251">
        <f t="shared" si="17"/>
        <v>-6.77</v>
      </c>
      <c r="AH252" s="218">
        <v>0.18</v>
      </c>
      <c r="AI252" s="218">
        <v>0.16</v>
      </c>
      <c r="AJ252" s="218">
        <v>1.1399999999999999</v>
      </c>
      <c r="AV252" s="218">
        <v>6.76</v>
      </c>
      <c r="AW252" s="251">
        <f t="shared" si="18"/>
        <v>-6.76</v>
      </c>
      <c r="AX252" s="218">
        <v>0.41</v>
      </c>
      <c r="AY252" s="218">
        <v>0.16</v>
      </c>
      <c r="AZ252" s="218">
        <v>2.57</v>
      </c>
      <c r="BL252" s="218">
        <v>6.68</v>
      </c>
      <c r="BM252" s="251">
        <f t="shared" si="19"/>
        <v>-6.68</v>
      </c>
      <c r="BN252" s="218">
        <v>0.24</v>
      </c>
      <c r="BO252" s="218">
        <v>0.16</v>
      </c>
      <c r="BP252" s="218">
        <v>1.54</v>
      </c>
    </row>
    <row r="253" spans="2:68">
      <c r="B253" s="218">
        <v>6.82</v>
      </c>
      <c r="C253" s="218">
        <f t="shared" si="15"/>
        <v>-6.82</v>
      </c>
      <c r="D253" s="218">
        <v>0.26</v>
      </c>
      <c r="E253" s="218">
        <v>0.16</v>
      </c>
      <c r="F253" s="218">
        <v>1.64</v>
      </c>
      <c r="Q253" s="218">
        <v>6.87</v>
      </c>
      <c r="R253" s="251">
        <f t="shared" si="16"/>
        <v>-6.87</v>
      </c>
      <c r="S253" s="218">
        <v>0.35</v>
      </c>
      <c r="T253" s="218">
        <v>0.16</v>
      </c>
      <c r="U253" s="218">
        <v>2.17</v>
      </c>
      <c r="AF253" s="218">
        <v>6.79</v>
      </c>
      <c r="AG253" s="251">
        <f t="shared" si="17"/>
        <v>-6.79</v>
      </c>
      <c r="AH253" s="218">
        <v>0.18</v>
      </c>
      <c r="AI253" s="218">
        <v>0.16</v>
      </c>
      <c r="AJ253" s="218">
        <v>1.1299999999999999</v>
      </c>
      <c r="AV253" s="218">
        <v>6.78</v>
      </c>
      <c r="AW253" s="251">
        <f t="shared" si="18"/>
        <v>-6.78</v>
      </c>
      <c r="AX253" s="218">
        <v>0.42</v>
      </c>
      <c r="AY253" s="218">
        <v>0.16</v>
      </c>
      <c r="AZ253" s="218">
        <v>2.61</v>
      </c>
      <c r="BL253" s="218">
        <v>6.7</v>
      </c>
      <c r="BM253" s="251">
        <f t="shared" si="19"/>
        <v>-6.7</v>
      </c>
      <c r="BN253" s="218">
        <v>0.24</v>
      </c>
      <c r="BO253" s="218">
        <v>0.16</v>
      </c>
      <c r="BP253" s="218">
        <v>1.53</v>
      </c>
    </row>
    <row r="254" spans="2:68">
      <c r="B254" s="218">
        <v>6.85</v>
      </c>
      <c r="C254" s="218">
        <f t="shared" si="15"/>
        <v>-6.85</v>
      </c>
      <c r="D254" s="218">
        <v>0.26</v>
      </c>
      <c r="E254" s="218">
        <v>0.16</v>
      </c>
      <c r="F254" s="218">
        <v>1.65</v>
      </c>
      <c r="Q254" s="218">
        <v>6.9</v>
      </c>
      <c r="R254" s="251">
        <f t="shared" si="16"/>
        <v>-6.9</v>
      </c>
      <c r="S254" s="218">
        <v>0.35</v>
      </c>
      <c r="T254" s="218">
        <v>0.16</v>
      </c>
      <c r="U254" s="218">
        <v>2.2000000000000002</v>
      </c>
      <c r="AF254" s="218">
        <v>6.82</v>
      </c>
      <c r="AG254" s="251">
        <f t="shared" si="17"/>
        <v>-6.82</v>
      </c>
      <c r="AH254" s="218">
        <v>0.18</v>
      </c>
      <c r="AI254" s="218">
        <v>0.16</v>
      </c>
      <c r="AJ254" s="218">
        <v>1.1299999999999999</v>
      </c>
      <c r="AV254" s="218">
        <v>6.81</v>
      </c>
      <c r="AW254" s="251">
        <f t="shared" si="18"/>
        <v>-6.81</v>
      </c>
      <c r="AX254" s="218">
        <v>0.42</v>
      </c>
      <c r="AY254" s="218">
        <v>0.16</v>
      </c>
      <c r="AZ254" s="218">
        <v>2.65</v>
      </c>
      <c r="BL254" s="218">
        <v>6.73</v>
      </c>
      <c r="BM254" s="251">
        <f t="shared" si="19"/>
        <v>-6.73</v>
      </c>
      <c r="BN254" s="218">
        <v>0.24</v>
      </c>
      <c r="BO254" s="218">
        <v>0.16</v>
      </c>
      <c r="BP254" s="218">
        <v>1.52</v>
      </c>
    </row>
    <row r="255" spans="2:68">
      <c r="B255" s="218">
        <v>6.87</v>
      </c>
      <c r="C255" s="218">
        <f t="shared" si="15"/>
        <v>-6.87</v>
      </c>
      <c r="D255" s="218">
        <v>0.27</v>
      </c>
      <c r="E255" s="218">
        <v>0.16</v>
      </c>
      <c r="F255" s="218">
        <v>1.66</v>
      </c>
      <c r="Q255" s="218">
        <v>6.92</v>
      </c>
      <c r="R255" s="251">
        <f t="shared" si="16"/>
        <v>-6.92</v>
      </c>
      <c r="S255" s="218">
        <v>0.36</v>
      </c>
      <c r="T255" s="218">
        <v>0.16</v>
      </c>
      <c r="U255" s="218">
        <v>2.2200000000000002</v>
      </c>
      <c r="AF255" s="218">
        <v>6.84</v>
      </c>
      <c r="AG255" s="251">
        <f t="shared" si="17"/>
        <v>-6.84</v>
      </c>
      <c r="AH255" s="218">
        <v>0.18</v>
      </c>
      <c r="AI255" s="218">
        <v>0.16</v>
      </c>
      <c r="AJ255" s="218">
        <v>1.1299999999999999</v>
      </c>
      <c r="AV255" s="218">
        <v>6.83</v>
      </c>
      <c r="AW255" s="251">
        <f t="shared" si="18"/>
        <v>-6.83</v>
      </c>
      <c r="AX255" s="218">
        <v>0.43</v>
      </c>
      <c r="AY255" s="218">
        <v>0.16</v>
      </c>
      <c r="AZ255" s="218">
        <v>2.69</v>
      </c>
      <c r="BL255" s="218">
        <v>6.75</v>
      </c>
      <c r="BM255" s="251">
        <f t="shared" si="19"/>
        <v>-6.75</v>
      </c>
      <c r="BN255" s="218">
        <v>0.24</v>
      </c>
      <c r="BO255" s="218">
        <v>0.16</v>
      </c>
      <c r="BP255" s="218">
        <v>1.51</v>
      </c>
    </row>
    <row r="256" spans="2:68">
      <c r="B256" s="218">
        <v>6.9</v>
      </c>
      <c r="C256" s="218">
        <f t="shared" si="15"/>
        <v>-6.9</v>
      </c>
      <c r="D256" s="218">
        <v>0.27</v>
      </c>
      <c r="E256" s="218">
        <v>0.16</v>
      </c>
      <c r="F256" s="218">
        <v>1.67</v>
      </c>
      <c r="Q256" s="218">
        <v>6.95</v>
      </c>
      <c r="R256" s="251">
        <f t="shared" si="16"/>
        <v>-6.95</v>
      </c>
      <c r="S256" s="218">
        <v>0.36</v>
      </c>
      <c r="T256" s="218">
        <v>0.16</v>
      </c>
      <c r="U256" s="218">
        <v>2.25</v>
      </c>
      <c r="AF256" s="218">
        <v>6.87</v>
      </c>
      <c r="AG256" s="251">
        <f t="shared" si="17"/>
        <v>-6.87</v>
      </c>
      <c r="AH256" s="218">
        <v>0.18</v>
      </c>
      <c r="AI256" s="218">
        <v>0.16</v>
      </c>
      <c r="AJ256" s="218">
        <v>1.1299999999999999</v>
      </c>
      <c r="AV256" s="218">
        <v>6.86</v>
      </c>
      <c r="AW256" s="251">
        <f t="shared" si="18"/>
        <v>-6.86</v>
      </c>
      <c r="AX256" s="218">
        <v>0.44</v>
      </c>
      <c r="AY256" s="218">
        <v>0.16</v>
      </c>
      <c r="AZ256" s="218">
        <v>2.73</v>
      </c>
      <c r="BL256" s="218">
        <v>6.78</v>
      </c>
      <c r="BM256" s="251">
        <f t="shared" si="19"/>
        <v>-6.78</v>
      </c>
      <c r="BN256" s="218">
        <v>0.24</v>
      </c>
      <c r="BO256" s="218">
        <v>0.16</v>
      </c>
      <c r="BP256" s="218">
        <v>1.5</v>
      </c>
    </row>
    <row r="257" spans="2:68">
      <c r="B257" s="218">
        <v>6.92</v>
      </c>
      <c r="C257" s="218">
        <f t="shared" si="15"/>
        <v>-6.92</v>
      </c>
      <c r="D257" s="218">
        <v>0.27</v>
      </c>
      <c r="E257" s="218">
        <v>0.16</v>
      </c>
      <c r="F257" s="218">
        <v>1.68</v>
      </c>
      <c r="Q257" s="218">
        <v>6.97</v>
      </c>
      <c r="R257" s="251">
        <f t="shared" si="16"/>
        <v>-6.97</v>
      </c>
      <c r="S257" s="218">
        <v>0.37</v>
      </c>
      <c r="T257" s="218">
        <v>0.16</v>
      </c>
      <c r="U257" s="218">
        <v>2.2799999999999998</v>
      </c>
      <c r="AF257" s="218">
        <v>6.89</v>
      </c>
      <c r="AG257" s="251">
        <f t="shared" si="17"/>
        <v>-6.89</v>
      </c>
      <c r="AH257" s="218">
        <v>0.18</v>
      </c>
      <c r="AI257" s="218">
        <v>0.16</v>
      </c>
      <c r="AJ257" s="218">
        <v>1.1200000000000001</v>
      </c>
      <c r="AV257" s="218">
        <v>6.88</v>
      </c>
      <c r="AW257" s="251">
        <f t="shared" si="18"/>
        <v>-6.88</v>
      </c>
      <c r="AX257" s="218">
        <v>0.44</v>
      </c>
      <c r="AY257" s="218">
        <v>0.16</v>
      </c>
      <c r="AZ257" s="218">
        <v>2.77</v>
      </c>
      <c r="BL257" s="218">
        <v>6.8</v>
      </c>
      <c r="BM257" s="251">
        <f t="shared" si="19"/>
        <v>-6.8</v>
      </c>
      <c r="BN257" s="218">
        <v>0.24</v>
      </c>
      <c r="BO257" s="218">
        <v>0.16</v>
      </c>
      <c r="BP257" s="218">
        <v>1.48</v>
      </c>
    </row>
    <row r="258" spans="2:68">
      <c r="B258" s="218">
        <v>6.95</v>
      </c>
      <c r="C258" s="218">
        <f t="shared" si="15"/>
        <v>-6.95</v>
      </c>
      <c r="D258" s="218">
        <v>0.27</v>
      </c>
      <c r="E258" s="218">
        <v>0.16</v>
      </c>
      <c r="F258" s="218">
        <v>1.69</v>
      </c>
      <c r="Q258" s="218">
        <v>7</v>
      </c>
      <c r="R258" s="251">
        <f t="shared" si="16"/>
        <v>-7</v>
      </c>
      <c r="S258" s="218">
        <v>0.37</v>
      </c>
      <c r="T258" s="218">
        <v>0.16</v>
      </c>
      <c r="U258" s="218">
        <v>2.2999999999999998</v>
      </c>
      <c r="AF258" s="218">
        <v>6.92</v>
      </c>
      <c r="AG258" s="251">
        <f t="shared" si="17"/>
        <v>-6.92</v>
      </c>
      <c r="AH258" s="218">
        <v>0.18</v>
      </c>
      <c r="AI258" s="218">
        <v>0.16</v>
      </c>
      <c r="AJ258" s="218">
        <v>1.1200000000000001</v>
      </c>
      <c r="AV258" s="218">
        <v>6.91</v>
      </c>
      <c r="AW258" s="251">
        <f t="shared" si="18"/>
        <v>-6.91</v>
      </c>
      <c r="AX258" s="218">
        <v>0.45</v>
      </c>
      <c r="AY258" s="218">
        <v>0.16</v>
      </c>
      <c r="AZ258" s="218">
        <v>2.82</v>
      </c>
      <c r="BL258" s="218">
        <v>6.83</v>
      </c>
      <c r="BM258" s="251">
        <f t="shared" si="19"/>
        <v>-6.83</v>
      </c>
      <c r="BN258" s="218">
        <v>0.24</v>
      </c>
      <c r="BO258" s="218">
        <v>0.16</v>
      </c>
      <c r="BP258" s="218">
        <v>1.47</v>
      </c>
    </row>
    <row r="259" spans="2:68">
      <c r="B259" s="218">
        <v>6.97</v>
      </c>
      <c r="C259" s="218">
        <f t="shared" si="15"/>
        <v>-6.97</v>
      </c>
      <c r="D259" s="218">
        <v>0.27</v>
      </c>
      <c r="E259" s="218">
        <v>0.16</v>
      </c>
      <c r="F259" s="218">
        <v>1.71</v>
      </c>
      <c r="Q259" s="218">
        <v>7.02</v>
      </c>
      <c r="R259" s="251">
        <f t="shared" si="16"/>
        <v>-7.02</v>
      </c>
      <c r="S259" s="218">
        <v>0.38</v>
      </c>
      <c r="T259" s="218">
        <v>0.16</v>
      </c>
      <c r="U259" s="218">
        <v>2.33</v>
      </c>
      <c r="AF259" s="218">
        <v>6.94</v>
      </c>
      <c r="AG259" s="251">
        <f t="shared" si="17"/>
        <v>-6.94</v>
      </c>
      <c r="AH259" s="218">
        <v>0.18</v>
      </c>
      <c r="AI259" s="218">
        <v>0.16</v>
      </c>
      <c r="AJ259" s="218">
        <v>1.1200000000000001</v>
      </c>
      <c r="AV259" s="218">
        <v>6.93</v>
      </c>
      <c r="AW259" s="251">
        <f t="shared" si="18"/>
        <v>-6.93</v>
      </c>
      <c r="AX259" s="218">
        <v>0.46</v>
      </c>
      <c r="AY259" s="218">
        <v>0.16</v>
      </c>
      <c r="AZ259" s="218">
        <v>2.86</v>
      </c>
      <c r="BL259" s="218">
        <v>6.85</v>
      </c>
      <c r="BM259" s="251">
        <f t="shared" si="19"/>
        <v>-6.85</v>
      </c>
      <c r="BN259" s="218">
        <v>0.23</v>
      </c>
      <c r="BO259" s="218">
        <v>0.16</v>
      </c>
      <c r="BP259" s="218">
        <v>1.46</v>
      </c>
    </row>
    <row r="260" spans="2:68">
      <c r="B260" s="218">
        <v>7</v>
      </c>
      <c r="C260" s="218">
        <f t="shared" si="15"/>
        <v>-7</v>
      </c>
      <c r="D260" s="218">
        <v>0.28000000000000003</v>
      </c>
      <c r="E260" s="218">
        <v>0.16</v>
      </c>
      <c r="F260" s="218">
        <v>1.72</v>
      </c>
      <c r="Q260" s="218">
        <v>7.05</v>
      </c>
      <c r="R260" s="251">
        <f t="shared" si="16"/>
        <v>-7.05</v>
      </c>
      <c r="S260" s="218">
        <v>0.38</v>
      </c>
      <c r="T260" s="218">
        <v>0.16</v>
      </c>
      <c r="U260" s="218">
        <v>2.36</v>
      </c>
      <c r="AF260" s="218">
        <v>6.97</v>
      </c>
      <c r="AG260" s="251">
        <f t="shared" si="17"/>
        <v>-6.97</v>
      </c>
      <c r="AH260" s="218">
        <v>0.18</v>
      </c>
      <c r="AI260" s="218">
        <v>0.16</v>
      </c>
      <c r="AJ260" s="218">
        <v>1.1200000000000001</v>
      </c>
      <c r="AV260" s="218">
        <v>6.96</v>
      </c>
      <c r="AW260" s="251">
        <f t="shared" si="18"/>
        <v>-6.96</v>
      </c>
      <c r="AX260" s="218">
        <v>0.47</v>
      </c>
      <c r="AY260" s="218">
        <v>0.16</v>
      </c>
      <c r="AZ260" s="218">
        <v>2.91</v>
      </c>
      <c r="BL260" s="218">
        <v>6.88</v>
      </c>
      <c r="BM260" s="251">
        <f t="shared" si="19"/>
        <v>-6.88</v>
      </c>
      <c r="BN260" s="218">
        <v>0.23</v>
      </c>
      <c r="BO260" s="218">
        <v>0.16</v>
      </c>
      <c r="BP260" s="218">
        <v>1.45</v>
      </c>
    </row>
    <row r="261" spans="2:68">
      <c r="B261" s="218">
        <v>7.02</v>
      </c>
      <c r="C261" s="218">
        <f t="shared" si="15"/>
        <v>-7.02</v>
      </c>
      <c r="D261" s="218">
        <v>0.28000000000000003</v>
      </c>
      <c r="E261" s="218">
        <v>0.16</v>
      </c>
      <c r="F261" s="218">
        <v>1.73</v>
      </c>
      <c r="Q261" s="218">
        <v>7.07</v>
      </c>
      <c r="R261" s="251">
        <f t="shared" si="16"/>
        <v>-7.07</v>
      </c>
      <c r="S261" s="218">
        <v>0.39</v>
      </c>
      <c r="T261" s="218">
        <v>0.16</v>
      </c>
      <c r="U261" s="218">
        <v>2.38</v>
      </c>
      <c r="AF261" s="218">
        <v>6.99</v>
      </c>
      <c r="AG261" s="251">
        <f t="shared" si="17"/>
        <v>-6.99</v>
      </c>
      <c r="AH261" s="218">
        <v>0.18</v>
      </c>
      <c r="AI261" s="218">
        <v>0.16</v>
      </c>
      <c r="AJ261" s="218">
        <v>1.1100000000000001</v>
      </c>
      <c r="AV261" s="218">
        <v>6.98</v>
      </c>
      <c r="AW261" s="251">
        <f t="shared" si="18"/>
        <v>-6.98</v>
      </c>
      <c r="AX261" s="218">
        <v>0.48</v>
      </c>
      <c r="AY261" s="218">
        <v>0.16</v>
      </c>
      <c r="AZ261" s="218">
        <v>2.96</v>
      </c>
      <c r="BL261" s="218">
        <v>6.9</v>
      </c>
      <c r="BM261" s="251">
        <f t="shared" si="19"/>
        <v>-6.9</v>
      </c>
      <c r="BN261" s="218">
        <v>0.23</v>
      </c>
      <c r="BO261" s="218">
        <v>0.16</v>
      </c>
      <c r="BP261" s="218">
        <v>1.44</v>
      </c>
    </row>
    <row r="262" spans="2:68">
      <c r="B262" s="218">
        <v>7.05</v>
      </c>
      <c r="C262" s="218">
        <f t="shared" ref="C262:C325" si="20">$F$2-B262</f>
        <v>-7.05</v>
      </c>
      <c r="D262" s="218">
        <v>0.28000000000000003</v>
      </c>
      <c r="E262" s="218">
        <v>0.16</v>
      </c>
      <c r="F262" s="218">
        <v>1.74</v>
      </c>
      <c r="Q262" s="218">
        <v>7.1</v>
      </c>
      <c r="R262" s="251">
        <f t="shared" ref="R262:R325" si="21">$U$2-Q262</f>
        <v>-7.1</v>
      </c>
      <c r="S262" s="218">
        <v>0.4</v>
      </c>
      <c r="T262" s="218">
        <v>0.16</v>
      </c>
      <c r="U262" s="218">
        <v>2.4500000000000002</v>
      </c>
      <c r="AF262" s="218">
        <v>7.02</v>
      </c>
      <c r="AG262" s="251">
        <f t="shared" ref="AG262:AG325" si="22">$AJ$2-AF262</f>
        <v>-7.02</v>
      </c>
      <c r="AH262" s="218">
        <v>0.18</v>
      </c>
      <c r="AI262" s="218">
        <v>0.16</v>
      </c>
      <c r="AJ262" s="218">
        <v>1.1299999999999999</v>
      </c>
      <c r="AV262" s="218">
        <v>7.01</v>
      </c>
      <c r="AW262" s="251">
        <f t="shared" ref="AW262:AW325" si="23">$AZ$2-AV262</f>
        <v>-7.01</v>
      </c>
      <c r="AX262" s="218">
        <v>0.48</v>
      </c>
      <c r="AY262" s="218">
        <v>0.16</v>
      </c>
      <c r="AZ262" s="218">
        <v>3</v>
      </c>
      <c r="BL262" s="218">
        <v>6.93</v>
      </c>
      <c r="BM262" s="251">
        <f t="shared" ref="BM262:BM325" si="24">$AZ$2-BL262</f>
        <v>-6.93</v>
      </c>
      <c r="BN262" s="218">
        <v>0.23</v>
      </c>
      <c r="BO262" s="218">
        <v>0.16</v>
      </c>
      <c r="BP262" s="218">
        <v>1.43</v>
      </c>
    </row>
    <row r="263" spans="2:68">
      <c r="B263" s="218">
        <v>7.07</v>
      </c>
      <c r="C263" s="218">
        <f t="shared" si="20"/>
        <v>-7.07</v>
      </c>
      <c r="D263" s="218">
        <v>0.28000000000000003</v>
      </c>
      <c r="E263" s="218">
        <v>0.16</v>
      </c>
      <c r="F263" s="218">
        <v>1.75</v>
      </c>
      <c r="Q263" s="218">
        <v>7.12</v>
      </c>
      <c r="R263" s="251">
        <f t="shared" si="21"/>
        <v>-7.12</v>
      </c>
      <c r="S263" s="218">
        <v>0.41</v>
      </c>
      <c r="T263" s="218">
        <v>0.16</v>
      </c>
      <c r="U263" s="218">
        <v>2.52</v>
      </c>
      <c r="AF263" s="218">
        <v>7.04</v>
      </c>
      <c r="AG263" s="251">
        <f t="shared" si="22"/>
        <v>-7.04</v>
      </c>
      <c r="AH263" s="218">
        <v>0.18</v>
      </c>
      <c r="AI263" s="218">
        <v>0.16</v>
      </c>
      <c r="AJ263" s="218">
        <v>1.1499999999999999</v>
      </c>
      <c r="AV263" s="218">
        <v>7.03</v>
      </c>
      <c r="AW263" s="251">
        <f t="shared" si="23"/>
        <v>-7.03</v>
      </c>
      <c r="AX263" s="218">
        <v>0.49</v>
      </c>
      <c r="AY263" s="218">
        <v>0.16</v>
      </c>
      <c r="AZ263" s="218">
        <v>3.06</v>
      </c>
      <c r="BL263" s="218">
        <v>6.95</v>
      </c>
      <c r="BM263" s="251">
        <f t="shared" si="24"/>
        <v>-6.95</v>
      </c>
      <c r="BN263" s="218">
        <v>0.23</v>
      </c>
      <c r="BO263" s="218">
        <v>0.16</v>
      </c>
      <c r="BP263" s="218">
        <v>1.42</v>
      </c>
    </row>
    <row r="264" spans="2:68">
      <c r="B264" s="218">
        <v>7.1</v>
      </c>
      <c r="C264" s="218">
        <f t="shared" si="20"/>
        <v>-7.1</v>
      </c>
      <c r="D264" s="218">
        <v>0.28999999999999998</v>
      </c>
      <c r="E264" s="218">
        <v>0.16</v>
      </c>
      <c r="F264" s="218">
        <v>1.76</v>
      </c>
      <c r="Q264" s="218">
        <v>7.15</v>
      </c>
      <c r="R264" s="251">
        <f t="shared" si="21"/>
        <v>-7.15</v>
      </c>
      <c r="S264" s="218">
        <v>0.43</v>
      </c>
      <c r="T264" s="218">
        <v>0.16</v>
      </c>
      <c r="U264" s="218">
        <v>2.6</v>
      </c>
      <c r="AF264" s="218">
        <v>7.07</v>
      </c>
      <c r="AG264" s="251">
        <f t="shared" si="22"/>
        <v>-7.07</v>
      </c>
      <c r="AH264" s="218">
        <v>0.19</v>
      </c>
      <c r="AI264" s="218">
        <v>0.16</v>
      </c>
      <c r="AJ264" s="218">
        <v>1.17</v>
      </c>
      <c r="AV264" s="218">
        <v>7.06</v>
      </c>
      <c r="AW264" s="251">
        <f t="shared" si="23"/>
        <v>-7.06</v>
      </c>
      <c r="AX264" s="218">
        <v>0.5</v>
      </c>
      <c r="AY264" s="218">
        <v>0.16</v>
      </c>
      <c r="AZ264" s="218">
        <v>3.11</v>
      </c>
      <c r="BL264" s="218">
        <v>6.98</v>
      </c>
      <c r="BM264" s="251">
        <f t="shared" si="24"/>
        <v>-6.98</v>
      </c>
      <c r="BN264" s="218">
        <v>0.23</v>
      </c>
      <c r="BO264" s="218">
        <v>0.16</v>
      </c>
      <c r="BP264" s="218">
        <v>1.41</v>
      </c>
    </row>
    <row r="265" spans="2:68">
      <c r="B265" s="218">
        <v>7.12</v>
      </c>
      <c r="C265" s="218">
        <f t="shared" si="20"/>
        <v>-7.12</v>
      </c>
      <c r="D265" s="218">
        <v>0.28999999999999998</v>
      </c>
      <c r="E265" s="218">
        <v>0.16</v>
      </c>
      <c r="F265" s="218">
        <v>1.77</v>
      </c>
      <c r="Q265" s="218">
        <v>7.17</v>
      </c>
      <c r="R265" s="251">
        <f t="shared" si="21"/>
        <v>-7.17</v>
      </c>
      <c r="S265" s="218">
        <v>0.44</v>
      </c>
      <c r="T265" s="218">
        <v>0.16</v>
      </c>
      <c r="U265" s="218">
        <v>2.68</v>
      </c>
      <c r="AF265" s="218">
        <v>7.09</v>
      </c>
      <c r="AG265" s="251">
        <f t="shared" si="22"/>
        <v>-7.09</v>
      </c>
      <c r="AH265" s="218">
        <v>0.19</v>
      </c>
      <c r="AI265" s="218">
        <v>0.16</v>
      </c>
      <c r="AJ265" s="218">
        <v>1.19</v>
      </c>
      <c r="AV265" s="218">
        <v>7.08</v>
      </c>
      <c r="AW265" s="251">
        <f t="shared" si="23"/>
        <v>-7.08</v>
      </c>
      <c r="AX265" s="218">
        <v>0.51</v>
      </c>
      <c r="AY265" s="218">
        <v>0.16</v>
      </c>
      <c r="AZ265" s="218">
        <v>3.16</v>
      </c>
      <c r="BL265" s="218">
        <v>7</v>
      </c>
      <c r="BM265" s="251">
        <f t="shared" si="24"/>
        <v>-7</v>
      </c>
      <c r="BN265" s="218">
        <v>0.23</v>
      </c>
      <c r="BO265" s="218">
        <v>0.16</v>
      </c>
      <c r="BP265" s="218">
        <v>1.4</v>
      </c>
    </row>
    <row r="266" spans="2:68">
      <c r="B266" s="218">
        <v>7.15</v>
      </c>
      <c r="C266" s="218">
        <f t="shared" si="20"/>
        <v>-7.15</v>
      </c>
      <c r="D266" s="218">
        <v>0.28999999999999998</v>
      </c>
      <c r="E266" s="218">
        <v>0.16</v>
      </c>
      <c r="F266" s="218">
        <v>1.8</v>
      </c>
      <c r="Q266" s="218">
        <v>7.2</v>
      </c>
      <c r="R266" s="251">
        <f t="shared" si="21"/>
        <v>-7.2</v>
      </c>
      <c r="S266" s="218">
        <v>0.46</v>
      </c>
      <c r="T266" s="218">
        <v>0.16</v>
      </c>
      <c r="U266" s="218">
        <v>2.77</v>
      </c>
      <c r="AF266" s="218">
        <v>7.12</v>
      </c>
      <c r="AG266" s="251">
        <f t="shared" si="22"/>
        <v>-7.12</v>
      </c>
      <c r="AH266" s="218">
        <v>0.19</v>
      </c>
      <c r="AI266" s="218">
        <v>0.16</v>
      </c>
      <c r="AJ266" s="218">
        <v>1.21</v>
      </c>
      <c r="AV266" s="218">
        <v>7.11</v>
      </c>
      <c r="AW266" s="251">
        <f t="shared" si="23"/>
        <v>-7.11</v>
      </c>
      <c r="AX266" s="218">
        <v>0.52</v>
      </c>
      <c r="AY266" s="218">
        <v>0.16</v>
      </c>
      <c r="AZ266" s="218">
        <v>3.21</v>
      </c>
      <c r="BL266" s="218">
        <v>7.03</v>
      </c>
      <c r="BM266" s="251">
        <f t="shared" si="24"/>
        <v>-7.03</v>
      </c>
      <c r="BN266" s="218">
        <v>0.23</v>
      </c>
      <c r="BO266" s="218">
        <v>0.16</v>
      </c>
      <c r="BP266" s="218">
        <v>1.42</v>
      </c>
    </row>
    <row r="267" spans="2:68">
      <c r="B267" s="218">
        <v>7.17</v>
      </c>
      <c r="C267" s="218">
        <f t="shared" si="20"/>
        <v>-7.17</v>
      </c>
      <c r="D267" s="218">
        <v>0.3</v>
      </c>
      <c r="E267" s="218">
        <v>0.16</v>
      </c>
      <c r="F267" s="218">
        <v>1.84</v>
      </c>
      <c r="Q267" s="218">
        <v>7.22</v>
      </c>
      <c r="R267" s="251">
        <f t="shared" si="21"/>
        <v>-7.22</v>
      </c>
      <c r="S267" s="218">
        <v>0.47</v>
      </c>
      <c r="T267" s="218">
        <v>0.16</v>
      </c>
      <c r="U267" s="218">
        <v>2.86</v>
      </c>
      <c r="AF267" s="218">
        <v>7.14</v>
      </c>
      <c r="AG267" s="251">
        <f t="shared" si="22"/>
        <v>-7.14</v>
      </c>
      <c r="AH267" s="218">
        <v>0.2</v>
      </c>
      <c r="AI267" s="218">
        <v>0.16</v>
      </c>
      <c r="AJ267" s="218">
        <v>1.23</v>
      </c>
      <c r="AV267" s="218">
        <v>7.13</v>
      </c>
      <c r="AW267" s="251">
        <f t="shared" si="23"/>
        <v>-7.13</v>
      </c>
      <c r="AX267" s="218">
        <v>0.52</v>
      </c>
      <c r="AY267" s="218">
        <v>0.16</v>
      </c>
      <c r="AZ267" s="218">
        <v>3.22</v>
      </c>
      <c r="BL267" s="218">
        <v>7.05</v>
      </c>
      <c r="BM267" s="251">
        <f t="shared" si="24"/>
        <v>-7.05</v>
      </c>
      <c r="BN267" s="218">
        <v>0.24</v>
      </c>
      <c r="BO267" s="218">
        <v>0.16</v>
      </c>
      <c r="BP267" s="218">
        <v>1.45</v>
      </c>
    </row>
    <row r="268" spans="2:68">
      <c r="B268" s="218">
        <v>7.2</v>
      </c>
      <c r="C268" s="218">
        <f t="shared" si="20"/>
        <v>-7.2</v>
      </c>
      <c r="D268" s="218">
        <v>0.31</v>
      </c>
      <c r="E268" s="218">
        <v>0.16</v>
      </c>
      <c r="F268" s="218">
        <v>1.87</v>
      </c>
      <c r="Q268" s="218">
        <v>7.25</v>
      </c>
      <c r="R268" s="251">
        <f t="shared" si="21"/>
        <v>-7.25</v>
      </c>
      <c r="S268" s="218">
        <v>0.49</v>
      </c>
      <c r="T268" s="218">
        <v>0.16</v>
      </c>
      <c r="U268" s="218">
        <v>2.96</v>
      </c>
      <c r="AF268" s="218">
        <v>7.17</v>
      </c>
      <c r="AG268" s="251">
        <f t="shared" si="22"/>
        <v>-7.17</v>
      </c>
      <c r="AH268" s="218">
        <v>0.2</v>
      </c>
      <c r="AI268" s="218">
        <v>0.16</v>
      </c>
      <c r="AJ268" s="218">
        <v>1.25</v>
      </c>
      <c r="AV268" s="218">
        <v>7.16</v>
      </c>
      <c r="AW268" s="251">
        <f t="shared" si="23"/>
        <v>-7.16</v>
      </c>
      <c r="AX268" s="218">
        <v>0.53</v>
      </c>
      <c r="AY268" s="218">
        <v>0.16</v>
      </c>
      <c r="AZ268" s="218">
        <v>3.23</v>
      </c>
      <c r="BL268" s="218">
        <v>7.08</v>
      </c>
      <c r="BM268" s="251">
        <f t="shared" si="24"/>
        <v>-7.08</v>
      </c>
      <c r="BN268" s="218">
        <v>0.24</v>
      </c>
      <c r="BO268" s="218">
        <v>0.16</v>
      </c>
      <c r="BP268" s="218">
        <v>1.48</v>
      </c>
    </row>
    <row r="269" spans="2:68">
      <c r="B269" s="218">
        <v>7.22</v>
      </c>
      <c r="C269" s="218">
        <f t="shared" si="20"/>
        <v>-7.22</v>
      </c>
      <c r="D269" s="218">
        <v>0.31</v>
      </c>
      <c r="E269" s="218">
        <v>0.16</v>
      </c>
      <c r="F269" s="218">
        <v>1.91</v>
      </c>
      <c r="Q269" s="218">
        <v>7.27</v>
      </c>
      <c r="R269" s="251">
        <f t="shared" si="21"/>
        <v>-7.27</v>
      </c>
      <c r="S269" s="218">
        <v>0.51</v>
      </c>
      <c r="T269" s="218">
        <v>0.17</v>
      </c>
      <c r="U269" s="218">
        <v>3.06</v>
      </c>
      <c r="AF269" s="218">
        <v>7.19</v>
      </c>
      <c r="AG269" s="251">
        <f t="shared" si="22"/>
        <v>-7.19</v>
      </c>
      <c r="AH269" s="218">
        <v>0.2</v>
      </c>
      <c r="AI269" s="218">
        <v>0.16</v>
      </c>
      <c r="AJ269" s="218">
        <v>1.27</v>
      </c>
      <c r="AV269" s="218">
        <v>7.18</v>
      </c>
      <c r="AW269" s="251">
        <f t="shared" si="23"/>
        <v>-7.18</v>
      </c>
      <c r="AX269" s="218">
        <v>0.53</v>
      </c>
      <c r="AY269" s="218">
        <v>0.16</v>
      </c>
      <c r="AZ269" s="218">
        <v>3.24</v>
      </c>
      <c r="BL269" s="218">
        <v>7.1</v>
      </c>
      <c r="BM269" s="251">
        <f t="shared" si="24"/>
        <v>-7.1</v>
      </c>
      <c r="BN269" s="218">
        <v>0.25</v>
      </c>
      <c r="BO269" s="218">
        <v>0.16</v>
      </c>
      <c r="BP269" s="218">
        <v>1.51</v>
      </c>
    </row>
    <row r="270" spans="2:68">
      <c r="B270" s="218">
        <v>7.25</v>
      </c>
      <c r="C270" s="218">
        <f t="shared" si="20"/>
        <v>-7.25</v>
      </c>
      <c r="D270" s="218">
        <v>0.32</v>
      </c>
      <c r="E270" s="218">
        <v>0.16</v>
      </c>
      <c r="F270" s="218">
        <v>1.95</v>
      </c>
      <c r="Q270" s="218">
        <v>7.3</v>
      </c>
      <c r="R270" s="251">
        <f t="shared" si="21"/>
        <v>-7.3</v>
      </c>
      <c r="S270" s="218">
        <v>0.53</v>
      </c>
      <c r="T270" s="218">
        <v>0.17</v>
      </c>
      <c r="U270" s="218">
        <v>3.18</v>
      </c>
      <c r="AF270" s="218">
        <v>7.22</v>
      </c>
      <c r="AG270" s="251">
        <f t="shared" si="22"/>
        <v>-7.22</v>
      </c>
      <c r="AH270" s="218">
        <v>0.21</v>
      </c>
      <c r="AI270" s="218">
        <v>0.16</v>
      </c>
      <c r="AJ270" s="218">
        <v>1.29</v>
      </c>
      <c r="AV270" s="218">
        <v>7.21</v>
      </c>
      <c r="AW270" s="251">
        <f t="shared" si="23"/>
        <v>-7.21</v>
      </c>
      <c r="AX270" s="218">
        <v>0.53</v>
      </c>
      <c r="AY270" s="218">
        <v>0.16</v>
      </c>
      <c r="AZ270" s="218">
        <v>3.25</v>
      </c>
      <c r="BL270" s="218">
        <v>7.13</v>
      </c>
      <c r="BM270" s="251">
        <f t="shared" si="24"/>
        <v>-7.13</v>
      </c>
      <c r="BN270" s="218">
        <v>0.25</v>
      </c>
      <c r="BO270" s="218">
        <v>0.16</v>
      </c>
      <c r="BP270" s="218">
        <v>1.54</v>
      </c>
    </row>
    <row r="271" spans="2:68">
      <c r="B271" s="218">
        <v>7.27</v>
      </c>
      <c r="C271" s="218">
        <f t="shared" si="20"/>
        <v>-7.27</v>
      </c>
      <c r="D271" s="218">
        <v>0.33</v>
      </c>
      <c r="E271" s="218">
        <v>0.16</v>
      </c>
      <c r="F271" s="218">
        <v>1.98</v>
      </c>
      <c r="Q271" s="218">
        <v>7.32</v>
      </c>
      <c r="R271" s="251">
        <f t="shared" si="21"/>
        <v>-7.32</v>
      </c>
      <c r="S271" s="218">
        <v>0.55000000000000004</v>
      </c>
      <c r="T271" s="218">
        <v>0.17</v>
      </c>
      <c r="U271" s="218">
        <v>3.31</v>
      </c>
      <c r="AF271" s="218">
        <v>7.24</v>
      </c>
      <c r="AG271" s="251">
        <f t="shared" si="22"/>
        <v>-7.24</v>
      </c>
      <c r="AH271" s="218">
        <v>0.21</v>
      </c>
      <c r="AI271" s="218">
        <v>0.16</v>
      </c>
      <c r="AJ271" s="218">
        <v>1.3</v>
      </c>
      <c r="AV271" s="218">
        <v>7.23</v>
      </c>
      <c r="AW271" s="251">
        <f t="shared" si="23"/>
        <v>-7.23</v>
      </c>
      <c r="AX271" s="218">
        <v>0.53</v>
      </c>
      <c r="AY271" s="218">
        <v>0.16</v>
      </c>
      <c r="AZ271" s="218">
        <v>3.26</v>
      </c>
      <c r="BL271" s="218">
        <v>7.15</v>
      </c>
      <c r="BM271" s="251">
        <f t="shared" si="24"/>
        <v>-7.15</v>
      </c>
      <c r="BN271" s="218">
        <v>0.26</v>
      </c>
      <c r="BO271" s="218">
        <v>0.16</v>
      </c>
      <c r="BP271" s="218">
        <v>1.57</v>
      </c>
    </row>
    <row r="272" spans="2:68">
      <c r="B272" s="218">
        <v>7.3</v>
      </c>
      <c r="C272" s="218">
        <f t="shared" si="20"/>
        <v>-7.3</v>
      </c>
      <c r="D272" s="218">
        <v>0.33</v>
      </c>
      <c r="E272" s="218">
        <v>0.16</v>
      </c>
      <c r="F272" s="218">
        <v>2.02</v>
      </c>
      <c r="Q272" s="218">
        <v>7.35</v>
      </c>
      <c r="R272" s="251">
        <f t="shared" si="21"/>
        <v>-7.35</v>
      </c>
      <c r="S272" s="218">
        <v>0.56999999999999995</v>
      </c>
      <c r="T272" s="218">
        <v>0.17</v>
      </c>
      <c r="U272" s="218">
        <v>3.45</v>
      </c>
      <c r="AF272" s="218">
        <v>7.27</v>
      </c>
      <c r="AG272" s="251">
        <f t="shared" si="22"/>
        <v>-7.27</v>
      </c>
      <c r="AH272" s="218">
        <v>0.21</v>
      </c>
      <c r="AI272" s="218">
        <v>0.16</v>
      </c>
      <c r="AJ272" s="218">
        <v>1.32</v>
      </c>
      <c r="AV272" s="218">
        <v>7.26</v>
      </c>
      <c r="AW272" s="251">
        <f t="shared" si="23"/>
        <v>-7.26</v>
      </c>
      <c r="AX272" s="218">
        <v>0.54</v>
      </c>
      <c r="AY272" s="218">
        <v>0.16</v>
      </c>
      <c r="AZ272" s="218">
        <v>3.27</v>
      </c>
      <c r="BL272" s="218">
        <v>7.18</v>
      </c>
      <c r="BM272" s="251">
        <f t="shared" si="24"/>
        <v>-7.18</v>
      </c>
      <c r="BN272" s="218">
        <v>0.26</v>
      </c>
      <c r="BO272" s="218">
        <v>0.16</v>
      </c>
      <c r="BP272" s="218">
        <v>1.59</v>
      </c>
    </row>
    <row r="273" spans="2:68">
      <c r="B273" s="218">
        <v>7.32</v>
      </c>
      <c r="C273" s="218">
        <f t="shared" si="20"/>
        <v>-7.32</v>
      </c>
      <c r="D273" s="218">
        <v>0.34</v>
      </c>
      <c r="E273" s="218">
        <v>0.16</v>
      </c>
      <c r="F273" s="218">
        <v>2.06</v>
      </c>
      <c r="Q273" s="218">
        <v>7.37</v>
      </c>
      <c r="R273" s="251">
        <f t="shared" si="21"/>
        <v>-7.37</v>
      </c>
      <c r="S273" s="218">
        <v>0.6</v>
      </c>
      <c r="T273" s="218">
        <v>0.17</v>
      </c>
      <c r="U273" s="218">
        <v>3.64</v>
      </c>
      <c r="AF273" s="218">
        <v>7.29</v>
      </c>
      <c r="AG273" s="251">
        <f t="shared" si="22"/>
        <v>-7.29</v>
      </c>
      <c r="AH273" s="218">
        <v>0.22</v>
      </c>
      <c r="AI273" s="218">
        <v>0.16</v>
      </c>
      <c r="AJ273" s="218">
        <v>1.34</v>
      </c>
      <c r="AV273" s="218">
        <v>7.28</v>
      </c>
      <c r="AW273" s="251">
        <f t="shared" si="23"/>
        <v>-7.28</v>
      </c>
      <c r="AX273" s="218">
        <v>0.54</v>
      </c>
      <c r="AY273" s="218">
        <v>0.16</v>
      </c>
      <c r="AZ273" s="218">
        <v>3.28</v>
      </c>
      <c r="BL273" s="218">
        <v>7.2</v>
      </c>
      <c r="BM273" s="251">
        <f t="shared" si="24"/>
        <v>-7.2</v>
      </c>
      <c r="BN273" s="218">
        <v>0.27</v>
      </c>
      <c r="BO273" s="218">
        <v>0.16</v>
      </c>
      <c r="BP273" s="218">
        <v>1.62</v>
      </c>
    </row>
    <row r="274" spans="2:68">
      <c r="B274" s="218">
        <v>7.35</v>
      </c>
      <c r="C274" s="218">
        <f t="shared" si="20"/>
        <v>-7.35</v>
      </c>
      <c r="D274" s="218">
        <v>0.35</v>
      </c>
      <c r="E274" s="218">
        <v>0.16</v>
      </c>
      <c r="F274" s="218">
        <v>2.1</v>
      </c>
      <c r="Q274" s="218">
        <v>7.4</v>
      </c>
      <c r="R274" s="251">
        <f t="shared" si="21"/>
        <v>-7.4</v>
      </c>
      <c r="S274" s="218">
        <v>0.65</v>
      </c>
      <c r="T274" s="218">
        <v>0.17</v>
      </c>
      <c r="U274" s="218">
        <v>3.9</v>
      </c>
      <c r="AF274" s="218">
        <v>7.32</v>
      </c>
      <c r="AG274" s="251">
        <f t="shared" si="22"/>
        <v>-7.32</v>
      </c>
      <c r="AH274" s="218">
        <v>0.22</v>
      </c>
      <c r="AI274" s="218">
        <v>0.16</v>
      </c>
      <c r="AJ274" s="218">
        <v>1.36</v>
      </c>
      <c r="AV274" s="218">
        <v>7.31</v>
      </c>
      <c r="AW274" s="251">
        <f t="shared" si="23"/>
        <v>-7.31</v>
      </c>
      <c r="AX274" s="218">
        <v>0.54</v>
      </c>
      <c r="AY274" s="218">
        <v>0.16</v>
      </c>
      <c r="AZ274" s="218">
        <v>3.29</v>
      </c>
      <c r="BL274" s="218">
        <v>7.23</v>
      </c>
      <c r="BM274" s="251">
        <f t="shared" si="24"/>
        <v>-7.23</v>
      </c>
      <c r="BN274" s="218">
        <v>0.27</v>
      </c>
      <c r="BO274" s="218">
        <v>0.16</v>
      </c>
      <c r="BP274" s="218">
        <v>1.65</v>
      </c>
    </row>
    <row r="275" spans="2:68">
      <c r="B275" s="218">
        <v>7.37</v>
      </c>
      <c r="C275" s="218">
        <f t="shared" si="20"/>
        <v>-7.37</v>
      </c>
      <c r="D275" s="218">
        <v>0.35</v>
      </c>
      <c r="E275" s="218">
        <v>0.16</v>
      </c>
      <c r="F275" s="218">
        <v>2.13</v>
      </c>
      <c r="Q275" s="218">
        <v>7.42</v>
      </c>
      <c r="R275" s="251">
        <f t="shared" si="21"/>
        <v>-7.42</v>
      </c>
      <c r="S275" s="218">
        <v>0.77</v>
      </c>
      <c r="T275" s="218">
        <v>0.17</v>
      </c>
      <c r="U275" s="218">
        <v>4.62</v>
      </c>
      <c r="AF275" s="218">
        <v>7.34</v>
      </c>
      <c r="AG275" s="251">
        <f t="shared" si="22"/>
        <v>-7.34</v>
      </c>
      <c r="AH275" s="218">
        <v>0.22</v>
      </c>
      <c r="AI275" s="218">
        <v>0.16</v>
      </c>
      <c r="AJ275" s="218">
        <v>1.38</v>
      </c>
      <c r="AV275" s="218">
        <v>7.33</v>
      </c>
      <c r="AW275" s="251">
        <f t="shared" si="23"/>
        <v>-7.33</v>
      </c>
      <c r="AX275" s="218">
        <v>0.54</v>
      </c>
      <c r="AY275" s="218">
        <v>0.16</v>
      </c>
      <c r="AZ275" s="218">
        <v>3.31</v>
      </c>
      <c r="BL275" s="218">
        <v>7.25</v>
      </c>
      <c r="BM275" s="251">
        <f t="shared" si="24"/>
        <v>-7.25</v>
      </c>
      <c r="BN275" s="218">
        <v>0.27</v>
      </c>
      <c r="BO275" s="218">
        <v>0.16</v>
      </c>
      <c r="BP275" s="218">
        <v>1.68</v>
      </c>
    </row>
    <row r="276" spans="2:68">
      <c r="B276" s="218">
        <v>7.4</v>
      </c>
      <c r="C276" s="218">
        <f t="shared" si="20"/>
        <v>-7.4</v>
      </c>
      <c r="D276" s="218">
        <v>0.36</v>
      </c>
      <c r="E276" s="218">
        <v>0.17</v>
      </c>
      <c r="F276" s="218">
        <v>2.17</v>
      </c>
      <c r="Q276" s="218">
        <v>7.45</v>
      </c>
      <c r="R276" s="251">
        <f t="shared" si="21"/>
        <v>-7.45</v>
      </c>
      <c r="S276" s="218">
        <v>0.81</v>
      </c>
      <c r="T276" s="218">
        <v>0.17</v>
      </c>
      <c r="U276" s="218">
        <v>4.88</v>
      </c>
      <c r="AF276" s="218">
        <v>7.37</v>
      </c>
      <c r="AG276" s="251">
        <f t="shared" si="22"/>
        <v>-7.37</v>
      </c>
      <c r="AH276" s="218">
        <v>0.23</v>
      </c>
      <c r="AI276" s="218">
        <v>0.16</v>
      </c>
      <c r="AJ276" s="218">
        <v>1.4</v>
      </c>
      <c r="AV276" s="218">
        <v>7.36</v>
      </c>
      <c r="AW276" s="251">
        <f t="shared" si="23"/>
        <v>-7.36</v>
      </c>
      <c r="AX276" s="218">
        <v>0.55000000000000004</v>
      </c>
      <c r="AY276" s="218">
        <v>0.16</v>
      </c>
      <c r="AZ276" s="218">
        <v>3.32</v>
      </c>
      <c r="BL276" s="218">
        <v>7.28</v>
      </c>
      <c r="BM276" s="251">
        <f t="shared" si="24"/>
        <v>-7.28</v>
      </c>
      <c r="BN276" s="218">
        <v>0.28000000000000003</v>
      </c>
      <c r="BO276" s="218">
        <v>0.16</v>
      </c>
      <c r="BP276" s="218">
        <v>1.7</v>
      </c>
    </row>
    <row r="277" spans="2:68">
      <c r="B277" s="218">
        <v>7.42</v>
      </c>
      <c r="C277" s="218">
        <f t="shared" si="20"/>
        <v>-7.42</v>
      </c>
      <c r="D277" s="218">
        <v>0.37</v>
      </c>
      <c r="E277" s="218">
        <v>0.17</v>
      </c>
      <c r="F277" s="218">
        <v>2.21</v>
      </c>
      <c r="Q277" s="218">
        <v>7.47</v>
      </c>
      <c r="R277" s="251">
        <f t="shared" si="21"/>
        <v>-7.47</v>
      </c>
      <c r="S277" s="218">
        <v>0.81</v>
      </c>
      <c r="T277" s="218">
        <v>0.17</v>
      </c>
      <c r="U277" s="218">
        <v>4.88</v>
      </c>
      <c r="AF277" s="218">
        <v>7.39</v>
      </c>
      <c r="AG277" s="251">
        <f t="shared" si="22"/>
        <v>-7.39</v>
      </c>
      <c r="AH277" s="218">
        <v>0.23</v>
      </c>
      <c r="AI277" s="218">
        <v>0.16</v>
      </c>
      <c r="AJ277" s="218">
        <v>1.42</v>
      </c>
      <c r="AV277" s="218">
        <v>7.38</v>
      </c>
      <c r="AW277" s="251">
        <f t="shared" si="23"/>
        <v>-7.38</v>
      </c>
      <c r="AX277" s="218">
        <v>0.55000000000000004</v>
      </c>
      <c r="AY277" s="218">
        <v>0.16</v>
      </c>
      <c r="AZ277" s="218">
        <v>3.33</v>
      </c>
      <c r="BL277" s="218">
        <v>7.3</v>
      </c>
      <c r="BM277" s="251">
        <f t="shared" si="24"/>
        <v>-7.3</v>
      </c>
      <c r="BN277" s="218">
        <v>0.28000000000000003</v>
      </c>
      <c r="BO277" s="218">
        <v>0.16</v>
      </c>
      <c r="BP277" s="218">
        <v>1.73</v>
      </c>
    </row>
    <row r="278" spans="2:68">
      <c r="B278" s="218">
        <v>7.45</v>
      </c>
      <c r="C278" s="218">
        <f t="shared" si="20"/>
        <v>-7.45</v>
      </c>
      <c r="D278" s="218">
        <v>0.37</v>
      </c>
      <c r="E278" s="218">
        <v>0.17</v>
      </c>
      <c r="F278" s="218">
        <v>2.25</v>
      </c>
      <c r="Q278" s="218">
        <v>7.5</v>
      </c>
      <c r="R278" s="251">
        <f t="shared" si="21"/>
        <v>-7.5</v>
      </c>
      <c r="S278" s="218">
        <v>0.81</v>
      </c>
      <c r="T278" s="218">
        <v>0.17</v>
      </c>
      <c r="U278" s="218">
        <v>4.87</v>
      </c>
      <c r="AF278" s="218">
        <v>7.42</v>
      </c>
      <c r="AG278" s="251">
        <f t="shared" si="22"/>
        <v>-7.42</v>
      </c>
      <c r="AH278" s="218">
        <v>0.23</v>
      </c>
      <c r="AI278" s="218">
        <v>0.16</v>
      </c>
      <c r="AJ278" s="218">
        <v>1.44</v>
      </c>
      <c r="AV278" s="218">
        <v>7.41</v>
      </c>
      <c r="AW278" s="251">
        <f t="shared" si="23"/>
        <v>-7.41</v>
      </c>
      <c r="AX278" s="218">
        <v>0.55000000000000004</v>
      </c>
      <c r="AY278" s="218">
        <v>0.17</v>
      </c>
      <c r="AZ278" s="218">
        <v>3.34</v>
      </c>
      <c r="BL278" s="218">
        <v>7.33</v>
      </c>
      <c r="BM278" s="251">
        <f t="shared" si="24"/>
        <v>-7.33</v>
      </c>
      <c r="BN278" s="218">
        <v>0.28999999999999998</v>
      </c>
      <c r="BO278" s="218">
        <v>0.16</v>
      </c>
      <c r="BP278" s="218">
        <v>1.76</v>
      </c>
    </row>
    <row r="279" spans="2:68">
      <c r="B279" s="218">
        <v>7.47</v>
      </c>
      <c r="C279" s="218">
        <f t="shared" si="20"/>
        <v>-7.47</v>
      </c>
      <c r="D279" s="218">
        <v>0.38</v>
      </c>
      <c r="E279" s="218">
        <v>0.17</v>
      </c>
      <c r="F279" s="218">
        <v>2.29</v>
      </c>
      <c r="Q279" s="218">
        <v>7.52</v>
      </c>
      <c r="R279" s="251">
        <f t="shared" si="21"/>
        <v>-7.52</v>
      </c>
      <c r="S279" s="218">
        <v>0.81</v>
      </c>
      <c r="T279" s="218">
        <v>0.17</v>
      </c>
      <c r="U279" s="218">
        <v>4.87</v>
      </c>
      <c r="AF279" s="218">
        <v>7.44</v>
      </c>
      <c r="AG279" s="251">
        <f t="shared" si="22"/>
        <v>-7.44</v>
      </c>
      <c r="AH279" s="218">
        <v>0.24</v>
      </c>
      <c r="AI279" s="218">
        <v>0.16</v>
      </c>
      <c r="AJ279" s="218">
        <v>1.45</v>
      </c>
      <c r="AV279" s="218">
        <v>7.43</v>
      </c>
      <c r="AW279" s="251">
        <f t="shared" si="23"/>
        <v>-7.43</v>
      </c>
      <c r="AX279" s="218">
        <v>0.55000000000000004</v>
      </c>
      <c r="AY279" s="218">
        <v>0.17</v>
      </c>
      <c r="AZ279" s="218">
        <v>3.35</v>
      </c>
      <c r="BL279" s="218">
        <v>7.35</v>
      </c>
      <c r="BM279" s="251">
        <f t="shared" si="24"/>
        <v>-7.35</v>
      </c>
      <c r="BN279" s="218">
        <v>0.28999999999999998</v>
      </c>
      <c r="BO279" s="218">
        <v>0.16</v>
      </c>
      <c r="BP279" s="218">
        <v>1.78</v>
      </c>
    </row>
    <row r="280" spans="2:68">
      <c r="B280" s="218">
        <v>7.5</v>
      </c>
      <c r="C280" s="218">
        <f t="shared" si="20"/>
        <v>-7.5</v>
      </c>
      <c r="D280" s="218">
        <v>0.39</v>
      </c>
      <c r="E280" s="218">
        <v>0.17</v>
      </c>
      <c r="F280" s="218">
        <v>2.33</v>
      </c>
      <c r="Q280" s="218">
        <v>7.55</v>
      </c>
      <c r="R280" s="251">
        <f t="shared" si="21"/>
        <v>-7.55</v>
      </c>
      <c r="S280" s="218">
        <v>0.81</v>
      </c>
      <c r="T280" s="218">
        <v>0.17</v>
      </c>
      <c r="U280" s="218">
        <v>4.8600000000000003</v>
      </c>
      <c r="AF280" s="218">
        <v>7.47</v>
      </c>
      <c r="AG280" s="251">
        <f t="shared" si="22"/>
        <v>-7.47</v>
      </c>
      <c r="AH280" s="218">
        <v>0.24</v>
      </c>
      <c r="AI280" s="218">
        <v>0.16</v>
      </c>
      <c r="AJ280" s="218">
        <v>1.47</v>
      </c>
      <c r="AV280" s="218">
        <v>7.46</v>
      </c>
      <c r="AW280" s="251">
        <f t="shared" si="23"/>
        <v>-7.46</v>
      </c>
      <c r="AX280" s="218">
        <v>0.56000000000000005</v>
      </c>
      <c r="AY280" s="218">
        <v>0.17</v>
      </c>
      <c r="AZ280" s="218">
        <v>3.37</v>
      </c>
      <c r="BL280" s="218">
        <v>7.38</v>
      </c>
      <c r="BM280" s="251">
        <f t="shared" si="24"/>
        <v>-7.38</v>
      </c>
      <c r="BN280" s="218">
        <v>0.3</v>
      </c>
      <c r="BO280" s="218">
        <v>0.17</v>
      </c>
      <c r="BP280" s="218">
        <v>1.81</v>
      </c>
    </row>
    <row r="281" spans="2:68">
      <c r="B281" s="218">
        <v>7.52</v>
      </c>
      <c r="C281" s="218">
        <f t="shared" si="20"/>
        <v>-7.52</v>
      </c>
      <c r="D281" s="218">
        <v>0.39</v>
      </c>
      <c r="E281" s="218">
        <v>0.17</v>
      </c>
      <c r="F281" s="218">
        <v>2.37</v>
      </c>
      <c r="Q281" s="218">
        <v>7.57</v>
      </c>
      <c r="R281" s="251">
        <f t="shared" si="21"/>
        <v>-7.57</v>
      </c>
      <c r="S281" s="218">
        <v>0.81</v>
      </c>
      <c r="T281" s="218">
        <v>0.17</v>
      </c>
      <c r="U281" s="218">
        <v>4.8499999999999996</v>
      </c>
      <c r="AF281" s="218">
        <v>7.49</v>
      </c>
      <c r="AG281" s="251">
        <f t="shared" si="22"/>
        <v>-7.49</v>
      </c>
      <c r="AH281" s="218">
        <v>0.24</v>
      </c>
      <c r="AI281" s="218">
        <v>0.16</v>
      </c>
      <c r="AJ281" s="218">
        <v>1.49</v>
      </c>
      <c r="AV281" s="218">
        <v>7.48</v>
      </c>
      <c r="AW281" s="251">
        <f t="shared" si="23"/>
        <v>-7.48</v>
      </c>
      <c r="AX281" s="218">
        <v>0.56000000000000005</v>
      </c>
      <c r="AY281" s="218">
        <v>0.17</v>
      </c>
      <c r="AZ281" s="218">
        <v>3.38</v>
      </c>
      <c r="BL281" s="218">
        <v>7.4</v>
      </c>
      <c r="BM281" s="251">
        <f t="shared" si="24"/>
        <v>-7.4</v>
      </c>
      <c r="BN281" s="218">
        <v>0.3</v>
      </c>
      <c r="BO281" s="218">
        <v>0.17</v>
      </c>
      <c r="BP281" s="218">
        <v>1.84</v>
      </c>
    </row>
    <row r="282" spans="2:68">
      <c r="B282" s="218">
        <v>7.55</v>
      </c>
      <c r="C282" s="218">
        <f t="shared" si="20"/>
        <v>-7.55</v>
      </c>
      <c r="D282" s="218">
        <v>0.4</v>
      </c>
      <c r="E282" s="218">
        <v>0.17</v>
      </c>
      <c r="F282" s="218">
        <v>2.41</v>
      </c>
      <c r="Q282" s="218">
        <v>7.6</v>
      </c>
      <c r="R282" s="251">
        <f t="shared" si="21"/>
        <v>-7.6</v>
      </c>
      <c r="S282" s="218">
        <v>0.81</v>
      </c>
      <c r="T282" s="218">
        <v>0.17</v>
      </c>
      <c r="U282" s="218">
        <v>4.8499999999999996</v>
      </c>
      <c r="AF282" s="218">
        <v>7.52</v>
      </c>
      <c r="AG282" s="251">
        <f t="shared" si="22"/>
        <v>-7.52</v>
      </c>
      <c r="AH282" s="218">
        <v>0.25</v>
      </c>
      <c r="AI282" s="218">
        <v>0.16</v>
      </c>
      <c r="AJ282" s="218">
        <v>1.51</v>
      </c>
      <c r="AV282" s="218">
        <v>7.51</v>
      </c>
      <c r="AW282" s="251">
        <f t="shared" si="23"/>
        <v>-7.51</v>
      </c>
      <c r="AX282" s="218">
        <v>0.56000000000000005</v>
      </c>
      <c r="AY282" s="218">
        <v>0.17</v>
      </c>
      <c r="AZ282" s="218">
        <v>3.39</v>
      </c>
      <c r="BL282" s="218">
        <v>7.43</v>
      </c>
      <c r="BM282" s="251">
        <f t="shared" si="24"/>
        <v>-7.43</v>
      </c>
      <c r="BN282" s="218">
        <v>0.31</v>
      </c>
      <c r="BO282" s="218">
        <v>0.17</v>
      </c>
      <c r="BP282" s="218">
        <v>1.86</v>
      </c>
    </row>
    <row r="283" spans="2:68">
      <c r="B283" s="218">
        <v>7.57</v>
      </c>
      <c r="C283" s="218">
        <f t="shared" si="20"/>
        <v>-7.57</v>
      </c>
      <c r="D283" s="218">
        <v>0.41</v>
      </c>
      <c r="E283" s="218">
        <v>0.17</v>
      </c>
      <c r="F283" s="218">
        <v>2.46</v>
      </c>
      <c r="Q283" s="218">
        <v>7.62</v>
      </c>
      <c r="R283" s="251">
        <f t="shared" si="21"/>
        <v>-7.62</v>
      </c>
      <c r="S283" s="218">
        <v>0.81</v>
      </c>
      <c r="T283" s="218">
        <v>0.17</v>
      </c>
      <c r="U283" s="218">
        <v>4.84</v>
      </c>
      <c r="AF283" s="218">
        <v>7.54</v>
      </c>
      <c r="AG283" s="251">
        <f t="shared" si="22"/>
        <v>-7.54</v>
      </c>
      <c r="AH283" s="218">
        <v>0.25</v>
      </c>
      <c r="AI283" s="218">
        <v>0.16</v>
      </c>
      <c r="AJ283" s="218">
        <v>1.53</v>
      </c>
      <c r="AV283" s="218">
        <v>7.53</v>
      </c>
      <c r="AW283" s="251">
        <f t="shared" si="23"/>
        <v>-7.53</v>
      </c>
      <c r="AX283" s="218">
        <v>0.56999999999999995</v>
      </c>
      <c r="AY283" s="218">
        <v>0.17</v>
      </c>
      <c r="AZ283" s="218">
        <v>3.4</v>
      </c>
      <c r="BL283" s="218">
        <v>7.45</v>
      </c>
      <c r="BM283" s="251">
        <f t="shared" si="24"/>
        <v>-7.45</v>
      </c>
      <c r="BN283" s="218">
        <v>0.31</v>
      </c>
      <c r="BO283" s="218">
        <v>0.17</v>
      </c>
      <c r="BP283" s="218">
        <v>1.89</v>
      </c>
    </row>
    <row r="284" spans="2:68">
      <c r="B284" s="218">
        <v>7.6</v>
      </c>
      <c r="C284" s="218">
        <f t="shared" si="20"/>
        <v>-7.6</v>
      </c>
      <c r="D284" s="218">
        <v>0.42</v>
      </c>
      <c r="E284" s="218">
        <v>0.17</v>
      </c>
      <c r="F284" s="218">
        <v>2.5</v>
      </c>
      <c r="Q284" s="218">
        <v>7.65</v>
      </c>
      <c r="R284" s="251">
        <f t="shared" si="21"/>
        <v>-7.65</v>
      </c>
      <c r="S284" s="218">
        <v>0.81</v>
      </c>
      <c r="T284" s="218">
        <v>0.17</v>
      </c>
      <c r="U284" s="218">
        <v>4.83</v>
      </c>
      <c r="AF284" s="218">
        <v>7.57</v>
      </c>
      <c r="AG284" s="251">
        <f t="shared" si="22"/>
        <v>-7.57</v>
      </c>
      <c r="AH284" s="218">
        <v>0.25</v>
      </c>
      <c r="AI284" s="218">
        <v>0.16</v>
      </c>
      <c r="AJ284" s="218">
        <v>1.54</v>
      </c>
      <c r="AV284" s="218">
        <v>7.56</v>
      </c>
      <c r="AW284" s="251">
        <f t="shared" si="23"/>
        <v>-7.56</v>
      </c>
      <c r="AX284" s="218">
        <v>0.56999999999999995</v>
      </c>
      <c r="AY284" s="218">
        <v>0.17</v>
      </c>
      <c r="AZ284" s="218">
        <v>3.42</v>
      </c>
      <c r="BL284" s="218">
        <v>7.48</v>
      </c>
      <c r="BM284" s="251">
        <f t="shared" si="24"/>
        <v>-7.48</v>
      </c>
      <c r="BN284" s="218">
        <v>0.32</v>
      </c>
      <c r="BO284" s="218">
        <v>0.17</v>
      </c>
      <c r="BP284" s="218">
        <v>1.92</v>
      </c>
    </row>
    <row r="285" spans="2:68">
      <c r="B285" s="218">
        <v>7.62</v>
      </c>
      <c r="C285" s="218">
        <f t="shared" si="20"/>
        <v>-7.62</v>
      </c>
      <c r="D285" s="218">
        <v>0.43</v>
      </c>
      <c r="E285" s="218">
        <v>0.17</v>
      </c>
      <c r="F285" s="218">
        <v>2.5499999999999998</v>
      </c>
      <c r="Q285" s="218">
        <v>7.67</v>
      </c>
      <c r="R285" s="251">
        <f t="shared" si="21"/>
        <v>-7.67</v>
      </c>
      <c r="S285" s="218">
        <v>0.81</v>
      </c>
      <c r="T285" s="218">
        <v>0.17</v>
      </c>
      <c r="U285" s="218">
        <v>4.83</v>
      </c>
      <c r="AF285" s="218">
        <v>7.59</v>
      </c>
      <c r="AG285" s="251">
        <f t="shared" si="22"/>
        <v>-7.59</v>
      </c>
      <c r="AH285" s="218">
        <v>0.26</v>
      </c>
      <c r="AI285" s="218">
        <v>0.16</v>
      </c>
      <c r="AJ285" s="218">
        <v>1.56</v>
      </c>
      <c r="AV285" s="218">
        <v>7.58</v>
      </c>
      <c r="AW285" s="251">
        <f t="shared" si="23"/>
        <v>-7.58</v>
      </c>
      <c r="AX285" s="218">
        <v>0.56999999999999995</v>
      </c>
      <c r="AY285" s="218">
        <v>0.17</v>
      </c>
      <c r="AZ285" s="218">
        <v>3.43</v>
      </c>
      <c r="BL285" s="218">
        <v>7.5</v>
      </c>
      <c r="BM285" s="251">
        <f t="shared" si="24"/>
        <v>-7.5</v>
      </c>
      <c r="BN285" s="218">
        <v>0.32</v>
      </c>
      <c r="BO285" s="218">
        <v>0.17</v>
      </c>
      <c r="BP285" s="218">
        <v>1.94</v>
      </c>
    </row>
    <row r="286" spans="2:68">
      <c r="B286" s="218">
        <v>7.65</v>
      </c>
      <c r="C286" s="218">
        <f t="shared" si="20"/>
        <v>-7.65</v>
      </c>
      <c r="D286" s="218">
        <v>0.43</v>
      </c>
      <c r="E286" s="218">
        <v>0.17</v>
      </c>
      <c r="F286" s="218">
        <v>2.59</v>
      </c>
      <c r="Q286" s="218">
        <v>7.7</v>
      </c>
      <c r="R286" s="251">
        <f t="shared" si="21"/>
        <v>-7.7</v>
      </c>
      <c r="S286" s="218">
        <v>0.81</v>
      </c>
      <c r="T286" s="218">
        <v>0.17</v>
      </c>
      <c r="U286" s="218">
        <v>4.82</v>
      </c>
      <c r="AF286" s="218">
        <v>7.62</v>
      </c>
      <c r="AG286" s="251">
        <f t="shared" si="22"/>
        <v>-7.62</v>
      </c>
      <c r="AH286" s="218">
        <v>0.26</v>
      </c>
      <c r="AI286" s="218">
        <v>0.16</v>
      </c>
      <c r="AJ286" s="218">
        <v>1.58</v>
      </c>
      <c r="AV286" s="218">
        <v>7.61</v>
      </c>
      <c r="AW286" s="251">
        <f t="shared" si="23"/>
        <v>-7.61</v>
      </c>
      <c r="AX286" s="218">
        <v>0.56999999999999995</v>
      </c>
      <c r="AY286" s="218">
        <v>0.17</v>
      </c>
      <c r="AZ286" s="218">
        <v>3.45</v>
      </c>
      <c r="BL286" s="218">
        <v>7.53</v>
      </c>
      <c r="BM286" s="251">
        <f t="shared" si="24"/>
        <v>-7.53</v>
      </c>
      <c r="BN286" s="218">
        <v>0.33</v>
      </c>
      <c r="BO286" s="218">
        <v>0.17</v>
      </c>
      <c r="BP286" s="218">
        <v>1.97</v>
      </c>
    </row>
    <row r="287" spans="2:68">
      <c r="B287" s="218">
        <v>7.67</v>
      </c>
      <c r="C287" s="218">
        <f t="shared" si="20"/>
        <v>-7.67</v>
      </c>
      <c r="D287" s="218">
        <v>0.44</v>
      </c>
      <c r="E287" s="218">
        <v>0.17</v>
      </c>
      <c r="F287" s="218">
        <v>2.64</v>
      </c>
      <c r="Q287" s="218">
        <v>7.72</v>
      </c>
      <c r="R287" s="251">
        <f t="shared" si="21"/>
        <v>-7.72</v>
      </c>
      <c r="S287" s="218">
        <v>0.81</v>
      </c>
      <c r="T287" s="218">
        <v>0.17</v>
      </c>
      <c r="U287" s="218">
        <v>4.82</v>
      </c>
      <c r="AF287" s="218">
        <v>7.64</v>
      </c>
      <c r="AG287" s="251">
        <f t="shared" si="22"/>
        <v>-7.64</v>
      </c>
      <c r="AH287" s="218">
        <v>0.26</v>
      </c>
      <c r="AI287" s="218">
        <v>0.16</v>
      </c>
      <c r="AJ287" s="218">
        <v>1.6</v>
      </c>
      <c r="AV287" s="218">
        <v>7.63</v>
      </c>
      <c r="AW287" s="251">
        <f t="shared" si="23"/>
        <v>-7.63</v>
      </c>
      <c r="AX287" s="218">
        <v>0.57999999999999996</v>
      </c>
      <c r="AY287" s="218">
        <v>0.17</v>
      </c>
      <c r="AZ287" s="218">
        <v>3.46</v>
      </c>
      <c r="BL287" s="218">
        <v>7.55</v>
      </c>
      <c r="BM287" s="251">
        <f t="shared" si="24"/>
        <v>-7.55</v>
      </c>
      <c r="BN287" s="218">
        <v>0.33</v>
      </c>
      <c r="BO287" s="218">
        <v>0.17</v>
      </c>
      <c r="BP287" s="218">
        <v>2</v>
      </c>
    </row>
    <row r="288" spans="2:68">
      <c r="B288" s="218">
        <v>7.7</v>
      </c>
      <c r="C288" s="218">
        <f t="shared" si="20"/>
        <v>-7.7</v>
      </c>
      <c r="D288" s="218">
        <v>0.45</v>
      </c>
      <c r="E288" s="218">
        <v>0.17</v>
      </c>
      <c r="F288" s="218">
        <v>2.69</v>
      </c>
      <c r="Q288" s="218">
        <v>7.75</v>
      </c>
      <c r="R288" s="251">
        <f t="shared" si="21"/>
        <v>-7.75</v>
      </c>
      <c r="S288" s="218">
        <v>0.81</v>
      </c>
      <c r="T288" s="218">
        <v>0.17</v>
      </c>
      <c r="U288" s="218">
        <v>4.8099999999999996</v>
      </c>
      <c r="AF288" s="218">
        <v>7.67</v>
      </c>
      <c r="AG288" s="251">
        <f t="shared" si="22"/>
        <v>-7.67</v>
      </c>
      <c r="AH288" s="218">
        <v>0.27</v>
      </c>
      <c r="AI288" s="218">
        <v>0.16</v>
      </c>
      <c r="AJ288" s="218">
        <v>1.62</v>
      </c>
      <c r="AV288" s="218">
        <v>7.66</v>
      </c>
      <c r="AW288" s="251">
        <f t="shared" si="23"/>
        <v>-7.66</v>
      </c>
      <c r="AX288" s="218">
        <v>0.57999999999999996</v>
      </c>
      <c r="AY288" s="218">
        <v>0.17</v>
      </c>
      <c r="AZ288" s="218">
        <v>3.47</v>
      </c>
      <c r="BL288" s="218">
        <v>7.58</v>
      </c>
      <c r="BM288" s="251">
        <f t="shared" si="24"/>
        <v>-7.58</v>
      </c>
      <c r="BN288" s="218">
        <v>0.34</v>
      </c>
      <c r="BO288" s="218">
        <v>0.17</v>
      </c>
      <c r="BP288" s="218">
        <v>2.02</v>
      </c>
    </row>
    <row r="289" spans="2:68">
      <c r="B289" s="218">
        <v>7.72</v>
      </c>
      <c r="C289" s="218">
        <f t="shared" si="20"/>
        <v>-7.72</v>
      </c>
      <c r="D289" s="218">
        <v>0.46</v>
      </c>
      <c r="E289" s="218">
        <v>0.17</v>
      </c>
      <c r="F289" s="218">
        <v>2.74</v>
      </c>
      <c r="Q289" s="218">
        <v>7.77</v>
      </c>
      <c r="R289" s="251">
        <f t="shared" si="21"/>
        <v>-7.77</v>
      </c>
      <c r="S289" s="218">
        <v>0.81</v>
      </c>
      <c r="T289" s="218">
        <v>0.17</v>
      </c>
      <c r="U289" s="218">
        <v>4.8</v>
      </c>
      <c r="AF289" s="218">
        <v>7.69</v>
      </c>
      <c r="AG289" s="251">
        <f t="shared" si="22"/>
        <v>-7.69</v>
      </c>
      <c r="AH289" s="218">
        <v>0.27</v>
      </c>
      <c r="AI289" s="218">
        <v>0.16</v>
      </c>
      <c r="AJ289" s="218">
        <v>1.63</v>
      </c>
      <c r="AV289" s="218">
        <v>7.68</v>
      </c>
      <c r="AW289" s="251">
        <f t="shared" si="23"/>
        <v>-7.68</v>
      </c>
      <c r="AX289" s="218">
        <v>0.57999999999999996</v>
      </c>
      <c r="AY289" s="218">
        <v>0.17</v>
      </c>
      <c r="AZ289" s="218">
        <v>3.49</v>
      </c>
      <c r="BL289" s="218">
        <v>7.6</v>
      </c>
      <c r="BM289" s="251">
        <f t="shared" si="24"/>
        <v>-7.6</v>
      </c>
      <c r="BN289" s="218">
        <v>0.34</v>
      </c>
      <c r="BO289" s="218">
        <v>0.17</v>
      </c>
      <c r="BP289" s="218">
        <v>2.0499999999999998</v>
      </c>
    </row>
    <row r="290" spans="2:68">
      <c r="B290" s="218">
        <v>7.75</v>
      </c>
      <c r="C290" s="218">
        <f t="shared" si="20"/>
        <v>-7.75</v>
      </c>
      <c r="D290" s="218">
        <v>0.47</v>
      </c>
      <c r="E290" s="218">
        <v>0.17</v>
      </c>
      <c r="F290" s="218">
        <v>2.8</v>
      </c>
      <c r="Q290" s="218">
        <v>7.8</v>
      </c>
      <c r="R290" s="251">
        <f t="shared" si="21"/>
        <v>-7.8</v>
      </c>
      <c r="S290" s="218">
        <v>0.81</v>
      </c>
      <c r="T290" s="218">
        <v>0.17</v>
      </c>
      <c r="U290" s="218">
        <v>4.8</v>
      </c>
      <c r="AF290" s="218">
        <v>7.72</v>
      </c>
      <c r="AG290" s="251">
        <f t="shared" si="22"/>
        <v>-7.72</v>
      </c>
      <c r="AH290" s="218">
        <v>0.27</v>
      </c>
      <c r="AI290" s="218">
        <v>0.16</v>
      </c>
      <c r="AJ290" s="218">
        <v>1.65</v>
      </c>
      <c r="AV290" s="218">
        <v>7.71</v>
      </c>
      <c r="AW290" s="251">
        <f t="shared" si="23"/>
        <v>-7.71</v>
      </c>
      <c r="AX290" s="218">
        <v>0.59</v>
      </c>
      <c r="AY290" s="218">
        <v>0.17</v>
      </c>
      <c r="AZ290" s="218">
        <v>3.51</v>
      </c>
      <c r="BL290" s="218">
        <v>7.63</v>
      </c>
      <c r="BM290" s="251">
        <f t="shared" si="24"/>
        <v>-7.63</v>
      </c>
      <c r="BN290" s="218">
        <v>0.35</v>
      </c>
      <c r="BO290" s="218">
        <v>0.17</v>
      </c>
      <c r="BP290" s="218">
        <v>2.08</v>
      </c>
    </row>
    <row r="291" spans="2:68">
      <c r="B291" s="218">
        <v>7.77</v>
      </c>
      <c r="C291" s="218">
        <f t="shared" si="20"/>
        <v>-7.77</v>
      </c>
      <c r="D291" s="218">
        <v>0.48</v>
      </c>
      <c r="E291" s="218">
        <v>0.17</v>
      </c>
      <c r="F291" s="218">
        <v>2.85</v>
      </c>
      <c r="Q291" s="218">
        <v>7.82</v>
      </c>
      <c r="R291" s="251">
        <f t="shared" si="21"/>
        <v>-7.82</v>
      </c>
      <c r="S291" s="218">
        <v>0.81</v>
      </c>
      <c r="T291" s="218">
        <v>0.17</v>
      </c>
      <c r="U291" s="218">
        <v>4.79</v>
      </c>
      <c r="AF291" s="218">
        <v>7.74</v>
      </c>
      <c r="AG291" s="251">
        <f t="shared" si="22"/>
        <v>-7.74</v>
      </c>
      <c r="AH291" s="218">
        <v>0.28000000000000003</v>
      </c>
      <c r="AI291" s="218">
        <v>0.16</v>
      </c>
      <c r="AJ291" s="218">
        <v>1.67</v>
      </c>
      <c r="AV291" s="218">
        <v>7.73</v>
      </c>
      <c r="AW291" s="251">
        <f t="shared" si="23"/>
        <v>-7.73</v>
      </c>
      <c r="AX291" s="218">
        <v>0.59</v>
      </c>
      <c r="AY291" s="218">
        <v>0.17</v>
      </c>
      <c r="AZ291" s="218">
        <v>3.52</v>
      </c>
      <c r="BL291" s="218">
        <v>7.65</v>
      </c>
      <c r="BM291" s="251">
        <f t="shared" si="24"/>
        <v>-7.65</v>
      </c>
      <c r="BN291" s="218">
        <v>0.35</v>
      </c>
      <c r="BO291" s="218">
        <v>0.17</v>
      </c>
      <c r="BP291" s="218">
        <v>2.11</v>
      </c>
    </row>
    <row r="292" spans="2:68">
      <c r="B292" s="218">
        <v>7.8</v>
      </c>
      <c r="C292" s="218">
        <f t="shared" si="20"/>
        <v>-7.8</v>
      </c>
      <c r="D292" s="218">
        <v>0.49</v>
      </c>
      <c r="E292" s="218">
        <v>0.17</v>
      </c>
      <c r="F292" s="218">
        <v>2.91</v>
      </c>
      <c r="Q292" s="218">
        <v>7.85</v>
      </c>
      <c r="R292" s="251">
        <f t="shared" si="21"/>
        <v>-7.85</v>
      </c>
      <c r="S292" s="218">
        <v>0.81</v>
      </c>
      <c r="T292" s="218">
        <v>0.17</v>
      </c>
      <c r="U292" s="218">
        <v>4.79</v>
      </c>
      <c r="AF292" s="218">
        <v>7.77</v>
      </c>
      <c r="AG292" s="251">
        <f t="shared" si="22"/>
        <v>-7.77</v>
      </c>
      <c r="AH292" s="218">
        <v>0.28000000000000003</v>
      </c>
      <c r="AI292" s="218">
        <v>0.17</v>
      </c>
      <c r="AJ292" s="218">
        <v>1.68</v>
      </c>
      <c r="AV292" s="218">
        <v>7.76</v>
      </c>
      <c r="AW292" s="251">
        <f t="shared" si="23"/>
        <v>-7.76</v>
      </c>
      <c r="AX292" s="218">
        <v>0.59</v>
      </c>
      <c r="AY292" s="218">
        <v>0.17</v>
      </c>
      <c r="AZ292" s="218">
        <v>3.54</v>
      </c>
      <c r="BL292" s="218">
        <v>7.68</v>
      </c>
      <c r="BM292" s="251">
        <f t="shared" si="24"/>
        <v>-7.68</v>
      </c>
      <c r="BN292" s="218">
        <v>0.36</v>
      </c>
      <c r="BO292" s="218">
        <v>0.17</v>
      </c>
      <c r="BP292" s="218">
        <v>2.13</v>
      </c>
    </row>
    <row r="293" spans="2:68">
      <c r="B293" s="218">
        <v>7.82</v>
      </c>
      <c r="C293" s="218">
        <f t="shared" si="20"/>
        <v>-7.82</v>
      </c>
      <c r="D293" s="218">
        <v>0.5</v>
      </c>
      <c r="E293" s="218">
        <v>0.17</v>
      </c>
      <c r="F293" s="218">
        <v>2.97</v>
      </c>
      <c r="Q293" s="218">
        <v>7.87</v>
      </c>
      <c r="R293" s="251">
        <f t="shared" si="21"/>
        <v>-7.87</v>
      </c>
      <c r="S293" s="218">
        <v>0.81</v>
      </c>
      <c r="T293" s="218">
        <v>0.17</v>
      </c>
      <c r="U293" s="218">
        <v>4.78</v>
      </c>
      <c r="AF293" s="218">
        <v>7.79</v>
      </c>
      <c r="AG293" s="251">
        <f t="shared" si="22"/>
        <v>-7.79</v>
      </c>
      <c r="AH293" s="218">
        <v>0.28000000000000003</v>
      </c>
      <c r="AI293" s="218">
        <v>0.17</v>
      </c>
      <c r="AJ293" s="218">
        <v>1.7</v>
      </c>
      <c r="AV293" s="218">
        <v>7.78</v>
      </c>
      <c r="AW293" s="251">
        <f t="shared" si="23"/>
        <v>-7.78</v>
      </c>
      <c r="AX293" s="218">
        <v>0.6</v>
      </c>
      <c r="AY293" s="218">
        <v>0.17</v>
      </c>
      <c r="AZ293" s="218">
        <v>3.56</v>
      </c>
      <c r="BL293" s="218">
        <v>7.7</v>
      </c>
      <c r="BM293" s="251">
        <f t="shared" si="24"/>
        <v>-7.7</v>
      </c>
      <c r="BN293" s="218">
        <v>0.36</v>
      </c>
      <c r="BO293" s="218">
        <v>0.17</v>
      </c>
      <c r="BP293" s="218">
        <v>2.16</v>
      </c>
    </row>
    <row r="294" spans="2:68">
      <c r="B294" s="218">
        <v>7.85</v>
      </c>
      <c r="C294" s="218">
        <f t="shared" si="20"/>
        <v>-7.85</v>
      </c>
      <c r="D294" s="218">
        <v>0.51</v>
      </c>
      <c r="E294" s="218">
        <v>0.17</v>
      </c>
      <c r="F294" s="218">
        <v>3.04</v>
      </c>
      <c r="Q294" s="218">
        <v>7.9</v>
      </c>
      <c r="R294" s="251">
        <f t="shared" si="21"/>
        <v>-7.9</v>
      </c>
      <c r="S294" s="218">
        <v>0.81</v>
      </c>
      <c r="T294" s="218">
        <v>0.17</v>
      </c>
      <c r="U294" s="218">
        <v>4.7699999999999996</v>
      </c>
      <c r="AF294" s="218">
        <v>7.82</v>
      </c>
      <c r="AG294" s="251">
        <f t="shared" si="22"/>
        <v>-7.82</v>
      </c>
      <c r="AH294" s="218">
        <v>0.28000000000000003</v>
      </c>
      <c r="AI294" s="218">
        <v>0.17</v>
      </c>
      <c r="AJ294" s="218">
        <v>1.72</v>
      </c>
      <c r="AV294" s="218">
        <v>7.81</v>
      </c>
      <c r="AW294" s="251">
        <f t="shared" si="23"/>
        <v>-7.81</v>
      </c>
      <c r="AX294" s="218">
        <v>0.6</v>
      </c>
      <c r="AY294" s="218">
        <v>0.17</v>
      </c>
      <c r="AZ294" s="218">
        <v>3.58</v>
      </c>
      <c r="BL294" s="218">
        <v>7.73</v>
      </c>
      <c r="BM294" s="251">
        <f t="shared" si="24"/>
        <v>-7.73</v>
      </c>
      <c r="BN294" s="218">
        <v>0.37</v>
      </c>
      <c r="BO294" s="218">
        <v>0.17</v>
      </c>
      <c r="BP294" s="218">
        <v>2.19</v>
      </c>
    </row>
    <row r="295" spans="2:68">
      <c r="B295" s="218">
        <v>7.87</v>
      </c>
      <c r="C295" s="218">
        <f t="shared" si="20"/>
        <v>-7.87</v>
      </c>
      <c r="D295" s="218">
        <v>0.52</v>
      </c>
      <c r="E295" s="218">
        <v>0.17</v>
      </c>
      <c r="F295" s="218">
        <v>3.1</v>
      </c>
      <c r="Q295" s="218">
        <v>7.92</v>
      </c>
      <c r="R295" s="251">
        <f t="shared" si="21"/>
        <v>-7.92</v>
      </c>
      <c r="S295" s="218">
        <v>0.81</v>
      </c>
      <c r="T295" s="218">
        <v>0.17</v>
      </c>
      <c r="U295" s="218">
        <v>4.7699999999999996</v>
      </c>
      <c r="AF295" s="218">
        <v>7.84</v>
      </c>
      <c r="AG295" s="251">
        <f t="shared" si="22"/>
        <v>-7.84</v>
      </c>
      <c r="AH295" s="218">
        <v>0.28999999999999998</v>
      </c>
      <c r="AI295" s="218">
        <v>0.17</v>
      </c>
      <c r="AJ295" s="218">
        <v>1.74</v>
      </c>
      <c r="AV295" s="218">
        <v>7.83</v>
      </c>
      <c r="AW295" s="251">
        <f t="shared" si="23"/>
        <v>-7.83</v>
      </c>
      <c r="AX295" s="218">
        <v>0.61</v>
      </c>
      <c r="AY295" s="218">
        <v>0.17</v>
      </c>
      <c r="AZ295" s="218">
        <v>3.6</v>
      </c>
      <c r="BL295" s="218">
        <v>7.75</v>
      </c>
      <c r="BM295" s="251">
        <f t="shared" si="24"/>
        <v>-7.75</v>
      </c>
      <c r="BN295" s="218">
        <v>0.37</v>
      </c>
      <c r="BO295" s="218">
        <v>0.17</v>
      </c>
      <c r="BP295" s="218">
        <v>2.2200000000000002</v>
      </c>
    </row>
    <row r="296" spans="2:68">
      <c r="B296" s="218">
        <v>7.9</v>
      </c>
      <c r="C296" s="218">
        <f t="shared" si="20"/>
        <v>-7.9</v>
      </c>
      <c r="D296" s="218">
        <v>0.54</v>
      </c>
      <c r="E296" s="218">
        <v>0.17</v>
      </c>
      <c r="F296" s="218">
        <v>3.17</v>
      </c>
      <c r="Q296" s="218">
        <v>7.95</v>
      </c>
      <c r="R296" s="251">
        <f t="shared" si="21"/>
        <v>-7.95</v>
      </c>
      <c r="S296" s="218">
        <v>0.81</v>
      </c>
      <c r="T296" s="218">
        <v>0.17</v>
      </c>
      <c r="U296" s="218">
        <v>4.76</v>
      </c>
      <c r="AF296" s="218">
        <v>7.87</v>
      </c>
      <c r="AG296" s="251">
        <f t="shared" si="22"/>
        <v>-7.87</v>
      </c>
      <c r="AH296" s="218">
        <v>0.28999999999999998</v>
      </c>
      <c r="AI296" s="218">
        <v>0.17</v>
      </c>
      <c r="AJ296" s="218">
        <v>1.75</v>
      </c>
      <c r="AV296" s="218">
        <v>7.86</v>
      </c>
      <c r="AW296" s="251">
        <f t="shared" si="23"/>
        <v>-7.86</v>
      </c>
      <c r="AX296" s="218">
        <v>0.61</v>
      </c>
      <c r="AY296" s="218">
        <v>0.17</v>
      </c>
      <c r="AZ296" s="218">
        <v>3.62</v>
      </c>
      <c r="BL296" s="218">
        <v>7.78</v>
      </c>
      <c r="BM296" s="251">
        <f t="shared" si="24"/>
        <v>-7.78</v>
      </c>
      <c r="BN296" s="218">
        <v>0.38</v>
      </c>
      <c r="BO296" s="218">
        <v>0.17</v>
      </c>
      <c r="BP296" s="218">
        <v>2.25</v>
      </c>
    </row>
    <row r="297" spans="2:68">
      <c r="B297" s="218">
        <v>7.92</v>
      </c>
      <c r="C297" s="218">
        <f t="shared" si="20"/>
        <v>-7.92</v>
      </c>
      <c r="D297" s="218">
        <v>0.55000000000000004</v>
      </c>
      <c r="E297" s="218">
        <v>0.17</v>
      </c>
      <c r="F297" s="218">
        <v>3.25</v>
      </c>
      <c r="Q297" s="218">
        <v>7.97</v>
      </c>
      <c r="R297" s="251">
        <f t="shared" si="21"/>
        <v>-7.97</v>
      </c>
      <c r="S297" s="218">
        <v>0.81</v>
      </c>
      <c r="T297" s="218">
        <v>0.17</v>
      </c>
      <c r="U297" s="218">
        <v>4.76</v>
      </c>
      <c r="AF297" s="218">
        <v>7.89</v>
      </c>
      <c r="AG297" s="251">
        <f t="shared" si="22"/>
        <v>-7.89</v>
      </c>
      <c r="AH297" s="218">
        <v>0.28999999999999998</v>
      </c>
      <c r="AI297" s="218">
        <v>0.17</v>
      </c>
      <c r="AJ297" s="218">
        <v>1.77</v>
      </c>
      <c r="AV297" s="218">
        <v>7.88</v>
      </c>
      <c r="AW297" s="251">
        <f t="shared" si="23"/>
        <v>-7.88</v>
      </c>
      <c r="AX297" s="218">
        <v>0.62</v>
      </c>
      <c r="AY297" s="218">
        <v>0.17</v>
      </c>
      <c r="AZ297" s="218">
        <v>3.64</v>
      </c>
      <c r="BL297" s="218">
        <v>7.8</v>
      </c>
      <c r="BM297" s="251">
        <f t="shared" si="24"/>
        <v>-7.8</v>
      </c>
      <c r="BN297" s="218">
        <v>0.38</v>
      </c>
      <c r="BO297" s="218">
        <v>0.17</v>
      </c>
      <c r="BP297" s="218">
        <v>2.27</v>
      </c>
    </row>
    <row r="298" spans="2:68">
      <c r="B298" s="218">
        <v>7.95</v>
      </c>
      <c r="C298" s="218">
        <f t="shared" si="20"/>
        <v>-7.95</v>
      </c>
      <c r="D298" s="218">
        <v>0.56999999999999995</v>
      </c>
      <c r="E298" s="218">
        <v>0.17</v>
      </c>
      <c r="F298" s="218">
        <v>3.34</v>
      </c>
      <c r="Q298" s="218">
        <v>8</v>
      </c>
      <c r="R298" s="251">
        <f t="shared" si="21"/>
        <v>-8</v>
      </c>
      <c r="S298" s="218">
        <v>0.81</v>
      </c>
      <c r="T298" s="218">
        <v>0.17</v>
      </c>
      <c r="U298" s="218">
        <v>4.75</v>
      </c>
      <c r="AF298" s="218">
        <v>7.92</v>
      </c>
      <c r="AG298" s="251">
        <f t="shared" si="22"/>
        <v>-7.92</v>
      </c>
      <c r="AH298" s="218">
        <v>0.3</v>
      </c>
      <c r="AI298" s="218">
        <v>0.17</v>
      </c>
      <c r="AJ298" s="218">
        <v>1.79</v>
      </c>
      <c r="AV298" s="218">
        <v>7.91</v>
      </c>
      <c r="AW298" s="251">
        <f t="shared" si="23"/>
        <v>-7.91</v>
      </c>
      <c r="AX298" s="218">
        <v>0.62</v>
      </c>
      <c r="AY298" s="218">
        <v>0.17</v>
      </c>
      <c r="AZ298" s="218">
        <v>3.66</v>
      </c>
      <c r="BL298" s="218">
        <v>7.83</v>
      </c>
      <c r="BM298" s="251">
        <f t="shared" si="24"/>
        <v>-7.83</v>
      </c>
      <c r="BN298" s="218">
        <v>0.39</v>
      </c>
      <c r="BO298" s="218">
        <v>0.17</v>
      </c>
      <c r="BP298" s="218">
        <v>2.2999999999999998</v>
      </c>
    </row>
    <row r="299" spans="2:68">
      <c r="B299" s="218">
        <v>7.97</v>
      </c>
      <c r="C299" s="218">
        <f t="shared" si="20"/>
        <v>-7.97</v>
      </c>
      <c r="D299" s="218">
        <v>0.57999999999999996</v>
      </c>
      <c r="E299" s="218">
        <v>0.17</v>
      </c>
      <c r="F299" s="218">
        <v>3.43</v>
      </c>
      <c r="Q299" s="218">
        <v>8.02</v>
      </c>
      <c r="R299" s="251">
        <f t="shared" si="21"/>
        <v>-8.02</v>
      </c>
      <c r="S299" s="218">
        <v>0.81</v>
      </c>
      <c r="T299" s="218">
        <v>0.17</v>
      </c>
      <c r="U299" s="218">
        <v>4.75</v>
      </c>
      <c r="AF299" s="218">
        <v>7.94</v>
      </c>
      <c r="AG299" s="251">
        <f t="shared" si="22"/>
        <v>-7.94</v>
      </c>
      <c r="AH299" s="218">
        <v>0.3</v>
      </c>
      <c r="AI299" s="218">
        <v>0.17</v>
      </c>
      <c r="AJ299" s="218">
        <v>1.8</v>
      </c>
      <c r="AV299" s="218">
        <v>7.93</v>
      </c>
      <c r="AW299" s="251">
        <f t="shared" si="23"/>
        <v>-7.93</v>
      </c>
      <c r="AX299" s="218">
        <v>0.62</v>
      </c>
      <c r="AY299" s="218">
        <v>0.17</v>
      </c>
      <c r="AZ299" s="218">
        <v>3.68</v>
      </c>
      <c r="BL299" s="218">
        <v>7.85</v>
      </c>
      <c r="BM299" s="251">
        <f t="shared" si="24"/>
        <v>-7.85</v>
      </c>
      <c r="BN299" s="218">
        <v>0.4</v>
      </c>
      <c r="BO299" s="218">
        <v>0.17</v>
      </c>
      <c r="BP299" s="218">
        <v>2.33</v>
      </c>
    </row>
    <row r="300" spans="2:68">
      <c r="B300" s="218">
        <v>8</v>
      </c>
      <c r="C300" s="218">
        <f t="shared" si="20"/>
        <v>-8</v>
      </c>
      <c r="D300" s="218">
        <v>0.6</v>
      </c>
      <c r="E300" s="218">
        <v>0.17</v>
      </c>
      <c r="F300" s="218">
        <v>3.54</v>
      </c>
      <c r="Q300" s="218">
        <v>8.0500000000000007</v>
      </c>
      <c r="R300" s="251">
        <f t="shared" si="21"/>
        <v>-8.0500000000000007</v>
      </c>
      <c r="S300" s="218">
        <v>0.81</v>
      </c>
      <c r="T300" s="218">
        <v>0.17</v>
      </c>
      <c r="U300" s="218">
        <v>4.74</v>
      </c>
      <c r="AF300" s="218">
        <v>7.97</v>
      </c>
      <c r="AG300" s="251">
        <f t="shared" si="22"/>
        <v>-7.97</v>
      </c>
      <c r="AH300" s="218">
        <v>0.3</v>
      </c>
      <c r="AI300" s="218">
        <v>0.17</v>
      </c>
      <c r="AJ300" s="218">
        <v>1.82</v>
      </c>
      <c r="AV300" s="218">
        <v>7.96</v>
      </c>
      <c r="AW300" s="251">
        <f t="shared" si="23"/>
        <v>-7.96</v>
      </c>
      <c r="AX300" s="218">
        <v>0.63</v>
      </c>
      <c r="AY300" s="218">
        <v>0.17</v>
      </c>
      <c r="AZ300" s="218">
        <v>3.71</v>
      </c>
      <c r="BL300" s="218">
        <v>7.88</v>
      </c>
      <c r="BM300" s="251">
        <f t="shared" si="24"/>
        <v>-7.88</v>
      </c>
      <c r="BN300" s="218">
        <v>0.4</v>
      </c>
      <c r="BO300" s="218">
        <v>0.17</v>
      </c>
      <c r="BP300" s="218">
        <v>2.36</v>
      </c>
    </row>
    <row r="301" spans="2:68">
      <c r="B301" s="218">
        <v>8.02</v>
      </c>
      <c r="C301" s="218">
        <f t="shared" si="20"/>
        <v>-8.02</v>
      </c>
      <c r="D301" s="218">
        <v>0.63</v>
      </c>
      <c r="E301" s="218">
        <v>0.17</v>
      </c>
      <c r="F301" s="218">
        <v>3.68</v>
      </c>
      <c r="Q301" s="218">
        <v>8.07</v>
      </c>
      <c r="R301" s="251">
        <f t="shared" si="21"/>
        <v>-8.07</v>
      </c>
      <c r="S301" s="218">
        <v>0.81</v>
      </c>
      <c r="T301" s="218">
        <v>0.17</v>
      </c>
      <c r="U301" s="218">
        <v>4.74</v>
      </c>
      <c r="AF301" s="218">
        <v>7.99</v>
      </c>
      <c r="AG301" s="251">
        <f t="shared" si="22"/>
        <v>-7.99</v>
      </c>
      <c r="AH301" s="218">
        <v>0.31</v>
      </c>
      <c r="AI301" s="218">
        <v>0.17</v>
      </c>
      <c r="AJ301" s="218">
        <v>1.84</v>
      </c>
      <c r="AV301" s="218">
        <v>7.98</v>
      </c>
      <c r="AW301" s="251">
        <f t="shared" si="23"/>
        <v>-7.98</v>
      </c>
      <c r="AX301" s="218">
        <v>0.64</v>
      </c>
      <c r="AY301" s="218">
        <v>0.17</v>
      </c>
      <c r="AZ301" s="218">
        <v>3.74</v>
      </c>
      <c r="BL301" s="218">
        <v>7.9</v>
      </c>
      <c r="BM301" s="251">
        <f t="shared" si="24"/>
        <v>-7.9</v>
      </c>
      <c r="BN301" s="218">
        <v>0.41</v>
      </c>
      <c r="BO301" s="218">
        <v>0.17</v>
      </c>
      <c r="BP301" s="218">
        <v>2.4</v>
      </c>
    </row>
    <row r="302" spans="2:68">
      <c r="B302" s="218">
        <v>8.0500000000000007</v>
      </c>
      <c r="C302" s="218">
        <f t="shared" si="20"/>
        <v>-8.0500000000000007</v>
      </c>
      <c r="D302" s="218">
        <v>0.66</v>
      </c>
      <c r="E302" s="218">
        <v>0.17</v>
      </c>
      <c r="F302" s="218">
        <v>3.87</v>
      </c>
      <c r="Q302" s="218">
        <v>8.1</v>
      </c>
      <c r="R302" s="251">
        <f t="shared" si="21"/>
        <v>-8.1</v>
      </c>
      <c r="S302" s="218">
        <v>0.81</v>
      </c>
      <c r="T302" s="218">
        <v>0.17</v>
      </c>
      <c r="U302" s="218">
        <v>4.7300000000000004</v>
      </c>
      <c r="AF302" s="218">
        <v>8.02</v>
      </c>
      <c r="AG302" s="251">
        <f t="shared" si="22"/>
        <v>-8.02</v>
      </c>
      <c r="AH302" s="218">
        <v>0.31</v>
      </c>
      <c r="AI302" s="218">
        <v>0.17</v>
      </c>
      <c r="AJ302" s="218">
        <v>1.85</v>
      </c>
      <c r="AV302" s="218">
        <v>8.01</v>
      </c>
      <c r="AW302" s="251">
        <f t="shared" si="23"/>
        <v>-8.01</v>
      </c>
      <c r="AX302" s="218">
        <v>0.64</v>
      </c>
      <c r="AY302" s="218">
        <v>0.17</v>
      </c>
      <c r="AZ302" s="218">
        <v>3.77</v>
      </c>
      <c r="BL302" s="218">
        <v>7.93</v>
      </c>
      <c r="BM302" s="251">
        <f t="shared" si="24"/>
        <v>-7.93</v>
      </c>
      <c r="BN302" s="218">
        <v>0.41</v>
      </c>
      <c r="BO302" s="218">
        <v>0.17</v>
      </c>
      <c r="BP302" s="218">
        <v>2.4300000000000002</v>
      </c>
    </row>
    <row r="303" spans="2:68">
      <c r="B303" s="218">
        <v>8.07</v>
      </c>
      <c r="C303" s="218">
        <f t="shared" si="20"/>
        <v>-8.07</v>
      </c>
      <c r="D303" s="218">
        <v>0.72</v>
      </c>
      <c r="E303" s="218">
        <v>0.17</v>
      </c>
      <c r="F303" s="218">
        <v>4.21</v>
      </c>
      <c r="Q303" s="218">
        <v>8.1199999999999992</v>
      </c>
      <c r="R303" s="251">
        <f t="shared" si="21"/>
        <v>-8.1199999999999992</v>
      </c>
      <c r="S303" s="218">
        <v>0.81</v>
      </c>
      <c r="T303" s="218">
        <v>0.17</v>
      </c>
      <c r="U303" s="218">
        <v>4.72</v>
      </c>
      <c r="AF303" s="218">
        <v>8.0399999999999991</v>
      </c>
      <c r="AG303" s="251">
        <f t="shared" si="22"/>
        <v>-8.0399999999999991</v>
      </c>
      <c r="AH303" s="218">
        <v>0.31</v>
      </c>
      <c r="AI303" s="218">
        <v>0.17</v>
      </c>
      <c r="AJ303" s="218">
        <v>1.87</v>
      </c>
      <c r="AV303" s="218">
        <v>8.0299999999999994</v>
      </c>
      <c r="AW303" s="251">
        <f t="shared" si="23"/>
        <v>-8.0299999999999994</v>
      </c>
      <c r="AX303" s="218">
        <v>0.65</v>
      </c>
      <c r="AY303" s="218">
        <v>0.17</v>
      </c>
      <c r="AZ303" s="218">
        <v>3.8</v>
      </c>
      <c r="BL303" s="218">
        <v>7.95</v>
      </c>
      <c r="BM303" s="251">
        <f t="shared" si="24"/>
        <v>-7.95</v>
      </c>
      <c r="BN303" s="218">
        <v>0.42</v>
      </c>
      <c r="BO303" s="218">
        <v>0.17</v>
      </c>
      <c r="BP303" s="218">
        <v>2.46</v>
      </c>
    </row>
    <row r="304" spans="2:68">
      <c r="B304" s="218">
        <v>8.1</v>
      </c>
      <c r="C304" s="218">
        <f t="shared" si="20"/>
        <v>-8.1</v>
      </c>
      <c r="D304" s="218">
        <v>0.81</v>
      </c>
      <c r="E304" s="218">
        <v>0.17</v>
      </c>
      <c r="F304" s="218">
        <v>4.76</v>
      </c>
      <c r="Q304" s="218">
        <v>8.15</v>
      </c>
      <c r="R304" s="251">
        <f t="shared" si="21"/>
        <v>-8.15</v>
      </c>
      <c r="S304" s="218">
        <v>0.81</v>
      </c>
      <c r="T304" s="218">
        <v>0.17</v>
      </c>
      <c r="U304" s="218">
        <v>4.72</v>
      </c>
      <c r="AF304" s="218">
        <v>8.07</v>
      </c>
      <c r="AG304" s="251">
        <f t="shared" si="22"/>
        <v>-8.07</v>
      </c>
      <c r="AH304" s="218">
        <v>0.32</v>
      </c>
      <c r="AI304" s="218">
        <v>0.17</v>
      </c>
      <c r="AJ304" s="218">
        <v>1.89</v>
      </c>
      <c r="AV304" s="218">
        <v>8.06</v>
      </c>
      <c r="AW304" s="251">
        <f t="shared" si="23"/>
        <v>-8.06</v>
      </c>
      <c r="AX304" s="218">
        <v>0.65</v>
      </c>
      <c r="AY304" s="218">
        <v>0.17</v>
      </c>
      <c r="AZ304" s="218">
        <v>3.84</v>
      </c>
      <c r="BL304" s="218">
        <v>7.98</v>
      </c>
      <c r="BM304" s="251">
        <f t="shared" si="24"/>
        <v>-7.98</v>
      </c>
      <c r="BN304" s="218">
        <v>0.42</v>
      </c>
      <c r="BO304" s="218">
        <v>0.17</v>
      </c>
      <c r="BP304" s="218">
        <v>2.4900000000000002</v>
      </c>
    </row>
    <row r="305" spans="2:68">
      <c r="B305" s="218">
        <v>8.1199999999999992</v>
      </c>
      <c r="C305" s="218">
        <f t="shared" si="20"/>
        <v>-8.1199999999999992</v>
      </c>
      <c r="D305" s="218">
        <v>0.81</v>
      </c>
      <c r="E305" s="218">
        <v>0.17</v>
      </c>
      <c r="F305" s="218">
        <v>4.76</v>
      </c>
      <c r="Q305" s="218">
        <v>8.17</v>
      </c>
      <c r="R305" s="251">
        <f t="shared" si="21"/>
        <v>-8.17</v>
      </c>
      <c r="S305" s="218">
        <v>0.81</v>
      </c>
      <c r="T305" s="218">
        <v>0.17</v>
      </c>
      <c r="U305" s="218">
        <v>4.71</v>
      </c>
      <c r="AF305" s="218">
        <v>8.09</v>
      </c>
      <c r="AG305" s="251">
        <f t="shared" si="22"/>
        <v>-8.09</v>
      </c>
      <c r="AH305" s="218">
        <v>0.32</v>
      </c>
      <c r="AI305" s="218">
        <v>0.17</v>
      </c>
      <c r="AJ305" s="218">
        <v>1.9</v>
      </c>
      <c r="AV305" s="218">
        <v>8.08</v>
      </c>
      <c r="AW305" s="251">
        <f t="shared" si="23"/>
        <v>-8.08</v>
      </c>
      <c r="AX305" s="218">
        <v>0.66</v>
      </c>
      <c r="AY305" s="218">
        <v>0.17</v>
      </c>
      <c r="AZ305" s="218">
        <v>3.87</v>
      </c>
      <c r="BL305" s="218">
        <v>8</v>
      </c>
      <c r="BM305" s="251">
        <f t="shared" si="24"/>
        <v>-8</v>
      </c>
      <c r="BN305" s="218">
        <v>0.43</v>
      </c>
      <c r="BO305" s="218">
        <v>0.17</v>
      </c>
      <c r="BP305" s="218">
        <v>2.5299999999999998</v>
      </c>
    </row>
    <row r="306" spans="2:68">
      <c r="B306" s="218">
        <v>8.15</v>
      </c>
      <c r="C306" s="218">
        <f t="shared" si="20"/>
        <v>-8.15</v>
      </c>
      <c r="D306" s="218">
        <v>0.81</v>
      </c>
      <c r="E306" s="218">
        <v>0.17</v>
      </c>
      <c r="F306" s="218">
        <v>4.75</v>
      </c>
      <c r="Q306" s="218">
        <v>8.1999999999999993</v>
      </c>
      <c r="R306" s="251">
        <f t="shared" si="21"/>
        <v>-8.1999999999999993</v>
      </c>
      <c r="S306" s="218">
        <v>0.81</v>
      </c>
      <c r="T306" s="218">
        <v>0.17</v>
      </c>
      <c r="U306" s="218">
        <v>4.71</v>
      </c>
      <c r="AF306" s="218">
        <v>8.1199999999999992</v>
      </c>
      <c r="AG306" s="251">
        <f t="shared" si="22"/>
        <v>-8.1199999999999992</v>
      </c>
      <c r="AH306" s="218">
        <v>0.32</v>
      </c>
      <c r="AI306" s="218">
        <v>0.17</v>
      </c>
      <c r="AJ306" s="218">
        <v>1.92</v>
      </c>
      <c r="AV306" s="218">
        <v>8.11</v>
      </c>
      <c r="AW306" s="251">
        <f t="shared" si="23"/>
        <v>-8.11</v>
      </c>
      <c r="AX306" s="218">
        <v>0.67</v>
      </c>
      <c r="AY306" s="218">
        <v>0.17</v>
      </c>
      <c r="AZ306" s="218">
        <v>3.91</v>
      </c>
      <c r="BL306" s="218">
        <v>8.0299999999999994</v>
      </c>
      <c r="BM306" s="251">
        <f t="shared" si="24"/>
        <v>-8.0299999999999994</v>
      </c>
      <c r="BN306" s="218">
        <v>0.43</v>
      </c>
      <c r="BO306" s="218">
        <v>0.17</v>
      </c>
      <c r="BP306" s="218">
        <v>2.54</v>
      </c>
    </row>
    <row r="307" spans="2:68">
      <c r="B307" s="218">
        <v>8.17</v>
      </c>
      <c r="C307" s="218">
        <f t="shared" si="20"/>
        <v>-8.17</v>
      </c>
      <c r="D307" s="218">
        <v>0.81</v>
      </c>
      <c r="E307" s="218">
        <v>0.17</v>
      </c>
      <c r="F307" s="218">
        <v>4.75</v>
      </c>
      <c r="Q307" s="218">
        <v>8.2200000000000006</v>
      </c>
      <c r="R307" s="251">
        <f t="shared" si="21"/>
        <v>-8.2200000000000006</v>
      </c>
      <c r="S307" s="218">
        <v>0.81</v>
      </c>
      <c r="T307" s="218">
        <v>0.17</v>
      </c>
      <c r="U307" s="218">
        <v>4.7</v>
      </c>
      <c r="AF307" s="218">
        <v>8.14</v>
      </c>
      <c r="AG307" s="251">
        <f t="shared" si="22"/>
        <v>-8.14</v>
      </c>
      <c r="AH307" s="218">
        <v>0.33</v>
      </c>
      <c r="AI307" s="218">
        <v>0.17</v>
      </c>
      <c r="AJ307" s="218">
        <v>1.94</v>
      </c>
      <c r="AV307" s="218">
        <v>8.1300000000000008</v>
      </c>
      <c r="AW307" s="251">
        <f t="shared" si="23"/>
        <v>-8.1300000000000008</v>
      </c>
      <c r="AX307" s="218">
        <v>0.67</v>
      </c>
      <c r="AY307" s="218">
        <v>0.17</v>
      </c>
      <c r="AZ307" s="218">
        <v>3.94</v>
      </c>
      <c r="BL307" s="218">
        <v>8.0500000000000007</v>
      </c>
      <c r="BM307" s="251">
        <f t="shared" si="24"/>
        <v>-8.0500000000000007</v>
      </c>
      <c r="BN307" s="218">
        <v>0.44</v>
      </c>
      <c r="BO307" s="218">
        <v>0.17</v>
      </c>
      <c r="BP307" s="218">
        <v>2.5499999999999998</v>
      </c>
    </row>
    <row r="308" spans="2:68">
      <c r="B308" s="218">
        <v>8.1999999999999993</v>
      </c>
      <c r="C308" s="218">
        <f t="shared" si="20"/>
        <v>-8.1999999999999993</v>
      </c>
      <c r="D308" s="218">
        <v>0.81</v>
      </c>
      <c r="E308" s="218">
        <v>0.17</v>
      </c>
      <c r="F308" s="218">
        <v>4.74</v>
      </c>
      <c r="Q308" s="218">
        <v>8.25</v>
      </c>
      <c r="R308" s="251">
        <f t="shared" si="21"/>
        <v>-8.25</v>
      </c>
      <c r="S308" s="218">
        <v>0.81</v>
      </c>
      <c r="T308" s="218">
        <v>0.17</v>
      </c>
      <c r="U308" s="218">
        <v>4.7</v>
      </c>
      <c r="AF308" s="218">
        <v>8.17</v>
      </c>
      <c r="AG308" s="251">
        <f t="shared" si="22"/>
        <v>-8.17</v>
      </c>
      <c r="AH308" s="218">
        <v>0.33</v>
      </c>
      <c r="AI308" s="218">
        <v>0.17</v>
      </c>
      <c r="AJ308" s="218">
        <v>1.95</v>
      </c>
      <c r="AV308" s="218">
        <v>8.16</v>
      </c>
      <c r="AW308" s="251">
        <f t="shared" si="23"/>
        <v>-8.16</v>
      </c>
      <c r="AX308" s="218">
        <v>0.68</v>
      </c>
      <c r="AY308" s="218">
        <v>0.17</v>
      </c>
      <c r="AZ308" s="218">
        <v>3.98</v>
      </c>
      <c r="BL308" s="218">
        <v>8.08</v>
      </c>
      <c r="BM308" s="251">
        <f t="shared" si="24"/>
        <v>-8.08</v>
      </c>
      <c r="BN308" s="218">
        <v>0.44</v>
      </c>
      <c r="BO308" s="218">
        <v>0.17</v>
      </c>
      <c r="BP308" s="218">
        <v>2.56</v>
      </c>
    </row>
    <row r="309" spans="2:68">
      <c r="B309" s="218">
        <v>8.2200000000000006</v>
      </c>
      <c r="C309" s="218">
        <f t="shared" si="20"/>
        <v>-8.2200000000000006</v>
      </c>
      <c r="D309" s="218">
        <v>0.81</v>
      </c>
      <c r="E309" s="218">
        <v>0.17</v>
      </c>
      <c r="F309" s="218">
        <v>4.74</v>
      </c>
      <c r="Q309" s="218">
        <v>8.27</v>
      </c>
      <c r="R309" s="251">
        <f t="shared" si="21"/>
        <v>-8.27</v>
      </c>
      <c r="S309" s="218">
        <v>0.81</v>
      </c>
      <c r="T309" s="218">
        <v>0.17</v>
      </c>
      <c r="U309" s="218">
        <v>4.6900000000000004</v>
      </c>
      <c r="AF309" s="218">
        <v>8.19</v>
      </c>
      <c r="AG309" s="251">
        <f t="shared" si="22"/>
        <v>-8.19</v>
      </c>
      <c r="AH309" s="218">
        <v>0.33</v>
      </c>
      <c r="AI309" s="218">
        <v>0.17</v>
      </c>
      <c r="AJ309" s="218">
        <v>1.97</v>
      </c>
      <c r="AV309" s="218">
        <v>8.18</v>
      </c>
      <c r="AW309" s="251">
        <f t="shared" si="23"/>
        <v>-8.18</v>
      </c>
      <c r="AX309" s="218">
        <v>0.69</v>
      </c>
      <c r="AY309" s="218">
        <v>0.17</v>
      </c>
      <c r="AZ309" s="218">
        <v>4.01</v>
      </c>
      <c r="BL309" s="218">
        <v>8.1</v>
      </c>
      <c r="BM309" s="251">
        <f t="shared" si="24"/>
        <v>-8.1</v>
      </c>
      <c r="BN309" s="218">
        <v>0.44</v>
      </c>
      <c r="BO309" s="218">
        <v>0.17</v>
      </c>
      <c r="BP309" s="218">
        <v>2.58</v>
      </c>
    </row>
    <row r="310" spans="2:68">
      <c r="B310" s="218">
        <v>8.25</v>
      </c>
      <c r="C310" s="218">
        <f t="shared" si="20"/>
        <v>-8.25</v>
      </c>
      <c r="D310" s="218">
        <v>0.81</v>
      </c>
      <c r="E310" s="218">
        <v>0.17</v>
      </c>
      <c r="F310" s="218">
        <v>4.7300000000000004</v>
      </c>
      <c r="Q310" s="218">
        <v>8.3000000000000007</v>
      </c>
      <c r="R310" s="251">
        <f t="shared" si="21"/>
        <v>-8.3000000000000007</v>
      </c>
      <c r="S310" s="218">
        <v>0.81</v>
      </c>
      <c r="T310" s="218">
        <v>0.17</v>
      </c>
      <c r="U310" s="218">
        <v>4.6900000000000004</v>
      </c>
      <c r="AF310" s="218">
        <v>8.2200000000000006</v>
      </c>
      <c r="AG310" s="251">
        <f t="shared" si="22"/>
        <v>-8.2200000000000006</v>
      </c>
      <c r="AH310" s="218">
        <v>0.34</v>
      </c>
      <c r="AI310" s="218">
        <v>0.17</v>
      </c>
      <c r="AJ310" s="218">
        <v>1.99</v>
      </c>
      <c r="AV310" s="218">
        <v>8.2100000000000009</v>
      </c>
      <c r="AW310" s="251">
        <f t="shared" si="23"/>
        <v>-8.2100000000000009</v>
      </c>
      <c r="AX310" s="218">
        <v>0.7</v>
      </c>
      <c r="AY310" s="218">
        <v>0.17</v>
      </c>
      <c r="AZ310" s="218">
        <v>4.05</v>
      </c>
      <c r="BL310" s="218">
        <v>8.1300000000000008</v>
      </c>
      <c r="BM310" s="251">
        <f t="shared" si="24"/>
        <v>-8.1300000000000008</v>
      </c>
      <c r="BN310" s="218">
        <v>0.44</v>
      </c>
      <c r="BO310" s="218">
        <v>0.17</v>
      </c>
      <c r="BP310" s="218">
        <v>2.59</v>
      </c>
    </row>
    <row r="311" spans="2:68">
      <c r="B311" s="218">
        <v>8.27</v>
      </c>
      <c r="C311" s="218">
        <f t="shared" si="20"/>
        <v>-8.27</v>
      </c>
      <c r="D311" s="218">
        <v>0.81</v>
      </c>
      <c r="E311" s="218">
        <v>0.17</v>
      </c>
      <c r="F311" s="218">
        <v>4.7300000000000004</v>
      </c>
      <c r="Q311" s="218">
        <v>8.32</v>
      </c>
      <c r="R311" s="251">
        <f t="shared" si="21"/>
        <v>-8.32</v>
      </c>
      <c r="S311" s="218">
        <v>0.81</v>
      </c>
      <c r="T311" s="218">
        <v>0.17</v>
      </c>
      <c r="U311" s="218">
        <v>4.68</v>
      </c>
      <c r="AF311" s="218">
        <v>8.24</v>
      </c>
      <c r="AG311" s="251">
        <f t="shared" si="22"/>
        <v>-8.24</v>
      </c>
      <c r="AH311" s="218">
        <v>0.34</v>
      </c>
      <c r="AI311" s="218">
        <v>0.17</v>
      </c>
      <c r="AJ311" s="218">
        <v>2</v>
      </c>
      <c r="AV311" s="218">
        <v>8.23</v>
      </c>
      <c r="AW311" s="251">
        <f t="shared" si="23"/>
        <v>-8.23</v>
      </c>
      <c r="AX311" s="218">
        <v>0.7</v>
      </c>
      <c r="AY311" s="218">
        <v>0.17</v>
      </c>
      <c r="AZ311" s="218">
        <v>4.0999999999999996</v>
      </c>
      <c r="BL311" s="218">
        <v>8.15</v>
      </c>
      <c r="BM311" s="251">
        <f t="shared" si="24"/>
        <v>-8.15</v>
      </c>
      <c r="BN311" s="218">
        <v>0.45</v>
      </c>
      <c r="BO311" s="218">
        <v>0.17</v>
      </c>
      <c r="BP311" s="218">
        <v>2.6</v>
      </c>
    </row>
    <row r="312" spans="2:68">
      <c r="B312" s="218">
        <v>8.3000000000000007</v>
      </c>
      <c r="C312" s="218">
        <f t="shared" si="20"/>
        <v>-8.3000000000000007</v>
      </c>
      <c r="D312" s="218">
        <v>0.81</v>
      </c>
      <c r="E312" s="218">
        <v>0.17</v>
      </c>
      <c r="F312" s="218">
        <v>4.72</v>
      </c>
      <c r="Q312" s="218">
        <v>8.35</v>
      </c>
      <c r="R312" s="251">
        <f t="shared" si="21"/>
        <v>-8.35</v>
      </c>
      <c r="S312" s="218">
        <v>0.81</v>
      </c>
      <c r="T312" s="218">
        <v>0.17</v>
      </c>
      <c r="U312" s="218">
        <v>4.68</v>
      </c>
      <c r="AF312" s="218">
        <v>8.27</v>
      </c>
      <c r="AG312" s="251">
        <f t="shared" si="22"/>
        <v>-8.27</v>
      </c>
      <c r="AH312" s="218">
        <v>0.34</v>
      </c>
      <c r="AI312" s="218">
        <v>0.17</v>
      </c>
      <c r="AJ312" s="218">
        <v>2.02</v>
      </c>
      <c r="AV312" s="218">
        <v>8.26</v>
      </c>
      <c r="AW312" s="251">
        <f t="shared" si="23"/>
        <v>-8.26</v>
      </c>
      <c r="AX312" s="218">
        <v>0.71</v>
      </c>
      <c r="AY312" s="218">
        <v>0.17</v>
      </c>
      <c r="AZ312" s="218">
        <v>4.1500000000000004</v>
      </c>
      <c r="BL312" s="218">
        <v>8.18</v>
      </c>
      <c r="BM312" s="251">
        <f t="shared" si="24"/>
        <v>-8.18</v>
      </c>
      <c r="BN312" s="218">
        <v>0.45</v>
      </c>
      <c r="BO312" s="218">
        <v>0.17</v>
      </c>
      <c r="BP312" s="218">
        <v>2.62</v>
      </c>
    </row>
    <row r="313" spans="2:68">
      <c r="B313" s="218">
        <v>8.32</v>
      </c>
      <c r="C313" s="218">
        <f t="shared" si="20"/>
        <v>-8.32</v>
      </c>
      <c r="D313" s="218">
        <v>0.81</v>
      </c>
      <c r="E313" s="218">
        <v>0.17</v>
      </c>
      <c r="F313" s="218">
        <v>4.72</v>
      </c>
      <c r="Q313" s="218">
        <v>8.3699999999999992</v>
      </c>
      <c r="R313" s="251">
        <f t="shared" si="21"/>
        <v>-8.3699999999999992</v>
      </c>
      <c r="S313" s="218">
        <v>0.81</v>
      </c>
      <c r="T313" s="218">
        <v>0.17</v>
      </c>
      <c r="U313" s="218">
        <v>4.67</v>
      </c>
      <c r="AF313" s="218">
        <v>8.2899999999999991</v>
      </c>
      <c r="AG313" s="251">
        <f t="shared" si="22"/>
        <v>-8.2899999999999991</v>
      </c>
      <c r="AH313" s="218">
        <v>0.35</v>
      </c>
      <c r="AI313" s="218">
        <v>0.17</v>
      </c>
      <c r="AJ313" s="218">
        <v>2.04</v>
      </c>
      <c r="AV313" s="218">
        <v>8.2799999999999994</v>
      </c>
      <c r="AW313" s="251">
        <f t="shared" si="23"/>
        <v>-8.2799999999999994</v>
      </c>
      <c r="AX313" s="218">
        <v>0.72</v>
      </c>
      <c r="AY313" s="218">
        <v>0.17</v>
      </c>
      <c r="AZ313" s="218">
        <v>4.21</v>
      </c>
      <c r="BL313" s="218">
        <v>8.1999999999999993</v>
      </c>
      <c r="BM313" s="251">
        <f t="shared" si="24"/>
        <v>-8.1999999999999993</v>
      </c>
      <c r="BN313" s="218">
        <v>0.45</v>
      </c>
      <c r="BO313" s="218">
        <v>0.17</v>
      </c>
      <c r="BP313" s="218">
        <v>2.63</v>
      </c>
    </row>
    <row r="314" spans="2:68">
      <c r="B314" s="218">
        <v>8.35</v>
      </c>
      <c r="C314" s="218">
        <f t="shared" si="20"/>
        <v>-8.35</v>
      </c>
      <c r="D314" s="218">
        <v>0.81</v>
      </c>
      <c r="E314" s="218">
        <v>0.17</v>
      </c>
      <c r="F314" s="218">
        <v>4.71</v>
      </c>
      <c r="Q314" s="218">
        <v>8.4</v>
      </c>
      <c r="R314" s="251">
        <f t="shared" si="21"/>
        <v>-8.4</v>
      </c>
      <c r="S314" s="218">
        <v>0.81</v>
      </c>
      <c r="T314" s="218">
        <v>0.17</v>
      </c>
      <c r="U314" s="218">
        <v>4.67</v>
      </c>
      <c r="AF314" s="218">
        <v>8.32</v>
      </c>
      <c r="AG314" s="251">
        <f t="shared" si="22"/>
        <v>-8.32</v>
      </c>
      <c r="AH314" s="218">
        <v>0.35</v>
      </c>
      <c r="AI314" s="218">
        <v>0.17</v>
      </c>
      <c r="AJ314" s="218">
        <v>2.0499999999999998</v>
      </c>
      <c r="AV314" s="218">
        <v>8.31</v>
      </c>
      <c r="AW314" s="251">
        <f t="shared" si="23"/>
        <v>-8.31</v>
      </c>
      <c r="AX314" s="218">
        <v>0.74</v>
      </c>
      <c r="AY314" s="218">
        <v>0.17</v>
      </c>
      <c r="AZ314" s="218">
        <v>4.2699999999999996</v>
      </c>
      <c r="BL314" s="218">
        <v>8.23</v>
      </c>
      <c r="BM314" s="251">
        <f t="shared" si="24"/>
        <v>-8.23</v>
      </c>
      <c r="BN314" s="218">
        <v>0.46</v>
      </c>
      <c r="BO314" s="218">
        <v>0.17</v>
      </c>
      <c r="BP314" s="218">
        <v>2.64</v>
      </c>
    </row>
    <row r="315" spans="2:68">
      <c r="B315" s="218">
        <v>8.3699999999999992</v>
      </c>
      <c r="C315" s="218">
        <f t="shared" si="20"/>
        <v>-8.3699999999999992</v>
      </c>
      <c r="D315" s="218">
        <v>0.81</v>
      </c>
      <c r="E315" s="218">
        <v>0.17</v>
      </c>
      <c r="F315" s="218">
        <v>4.71</v>
      </c>
      <c r="Q315" s="218">
        <v>8.42</v>
      </c>
      <c r="R315" s="251">
        <f t="shared" si="21"/>
        <v>-8.42</v>
      </c>
      <c r="S315" s="218">
        <v>0.81</v>
      </c>
      <c r="T315" s="218">
        <v>0.17</v>
      </c>
      <c r="U315" s="218">
        <v>4.66</v>
      </c>
      <c r="AF315" s="218">
        <v>8.34</v>
      </c>
      <c r="AG315" s="251">
        <f t="shared" si="22"/>
        <v>-8.34</v>
      </c>
      <c r="AH315" s="218">
        <v>0.35</v>
      </c>
      <c r="AI315" s="218">
        <v>0.17</v>
      </c>
      <c r="AJ315" s="218">
        <v>2.0699999999999998</v>
      </c>
      <c r="AV315" s="218">
        <v>8.33</v>
      </c>
      <c r="AW315" s="251">
        <f t="shared" si="23"/>
        <v>-8.33</v>
      </c>
      <c r="AX315" s="218">
        <v>0.75</v>
      </c>
      <c r="AY315" s="218">
        <v>0.17</v>
      </c>
      <c r="AZ315" s="218">
        <v>4.3499999999999996</v>
      </c>
      <c r="BL315" s="218">
        <v>8.25</v>
      </c>
      <c r="BM315" s="251">
        <f t="shared" si="24"/>
        <v>-8.25</v>
      </c>
      <c r="BN315" s="218">
        <v>0.46</v>
      </c>
      <c r="BO315" s="218">
        <v>0.17</v>
      </c>
      <c r="BP315" s="218">
        <v>2.66</v>
      </c>
    </row>
    <row r="316" spans="2:68">
      <c r="B316" s="218">
        <v>8.4</v>
      </c>
      <c r="C316" s="218">
        <f t="shared" si="20"/>
        <v>-8.4</v>
      </c>
      <c r="D316" s="218">
        <v>0.81</v>
      </c>
      <c r="E316" s="218">
        <v>0.17</v>
      </c>
      <c r="F316" s="218">
        <v>4.7</v>
      </c>
      <c r="Q316" s="218">
        <v>8.4499999999999993</v>
      </c>
      <c r="R316" s="251">
        <f t="shared" si="21"/>
        <v>-8.4499999999999993</v>
      </c>
      <c r="S316" s="218">
        <v>0.81</v>
      </c>
      <c r="T316" s="218">
        <v>0.17</v>
      </c>
      <c r="U316" s="218">
        <v>4.66</v>
      </c>
      <c r="AF316" s="218">
        <v>8.3699999999999992</v>
      </c>
      <c r="AG316" s="251">
        <f t="shared" si="22"/>
        <v>-8.3699999999999992</v>
      </c>
      <c r="AH316" s="218">
        <v>0.35</v>
      </c>
      <c r="AI316" s="218">
        <v>0.17</v>
      </c>
      <c r="AJ316" s="218">
        <v>2.09</v>
      </c>
      <c r="AV316" s="218">
        <v>8.36</v>
      </c>
      <c r="AW316" s="251">
        <f t="shared" si="23"/>
        <v>-8.36</v>
      </c>
      <c r="AX316" s="218">
        <v>0.77</v>
      </c>
      <c r="AY316" s="218">
        <v>0.17</v>
      </c>
      <c r="AZ316" s="218">
        <v>4.45</v>
      </c>
      <c r="BL316" s="218">
        <v>8.2799999999999994</v>
      </c>
      <c r="BM316" s="251">
        <f t="shared" si="24"/>
        <v>-8.2799999999999994</v>
      </c>
      <c r="BN316" s="218">
        <v>0.46</v>
      </c>
      <c r="BO316" s="218">
        <v>0.17</v>
      </c>
      <c r="BP316" s="218">
        <v>2.67</v>
      </c>
    </row>
    <row r="317" spans="2:68">
      <c r="B317" s="218">
        <v>8.42</v>
      </c>
      <c r="C317" s="218">
        <f t="shared" si="20"/>
        <v>-8.42</v>
      </c>
      <c r="D317" s="218">
        <v>0.81</v>
      </c>
      <c r="E317" s="218">
        <v>0.17</v>
      </c>
      <c r="F317" s="218">
        <v>4.7</v>
      </c>
      <c r="Q317" s="218">
        <v>8.4700000000000006</v>
      </c>
      <c r="R317" s="251">
        <f t="shared" si="21"/>
        <v>-8.4700000000000006</v>
      </c>
      <c r="S317" s="218">
        <v>0.81</v>
      </c>
      <c r="T317" s="218">
        <v>0.17</v>
      </c>
      <c r="U317" s="218">
        <v>4.6500000000000004</v>
      </c>
      <c r="AF317" s="218">
        <v>8.39</v>
      </c>
      <c r="AG317" s="251">
        <f t="shared" si="22"/>
        <v>-8.39</v>
      </c>
      <c r="AH317" s="218">
        <v>0.36</v>
      </c>
      <c r="AI317" s="218">
        <v>0.17</v>
      </c>
      <c r="AJ317" s="218">
        <v>2.11</v>
      </c>
      <c r="AV317" s="218">
        <v>8.3800000000000008</v>
      </c>
      <c r="AW317" s="251">
        <f t="shared" si="23"/>
        <v>-8.3800000000000008</v>
      </c>
      <c r="AX317" s="218">
        <v>0.79</v>
      </c>
      <c r="AY317" s="218">
        <v>0.17</v>
      </c>
      <c r="AZ317" s="218">
        <v>4.57</v>
      </c>
      <c r="BL317" s="218">
        <v>8.3000000000000007</v>
      </c>
      <c r="BM317" s="251">
        <f t="shared" si="24"/>
        <v>-8.3000000000000007</v>
      </c>
      <c r="BN317" s="218">
        <v>0.46</v>
      </c>
      <c r="BO317" s="218">
        <v>0.17</v>
      </c>
      <c r="BP317" s="218">
        <v>2.68</v>
      </c>
    </row>
    <row r="318" spans="2:68">
      <c r="B318" s="218">
        <v>8.4499999999999993</v>
      </c>
      <c r="C318" s="218">
        <f t="shared" si="20"/>
        <v>-8.4499999999999993</v>
      </c>
      <c r="D318" s="218">
        <v>0.81</v>
      </c>
      <c r="E318" s="218">
        <v>0.17</v>
      </c>
      <c r="F318" s="218">
        <v>4.6900000000000004</v>
      </c>
      <c r="Q318" s="218">
        <v>8.5</v>
      </c>
      <c r="R318" s="251">
        <f t="shared" si="21"/>
        <v>-8.5</v>
      </c>
      <c r="S318" s="218">
        <v>0.81</v>
      </c>
      <c r="T318" s="218">
        <v>0.18</v>
      </c>
      <c r="U318" s="218">
        <v>4.6500000000000004</v>
      </c>
      <c r="AF318" s="218">
        <v>8.42</v>
      </c>
      <c r="AG318" s="251">
        <f t="shared" si="22"/>
        <v>-8.42</v>
      </c>
      <c r="AH318" s="218">
        <v>0.36</v>
      </c>
      <c r="AI318" s="218">
        <v>0.17</v>
      </c>
      <c r="AJ318" s="218">
        <v>2.12</v>
      </c>
      <c r="AV318" s="218">
        <v>8.41</v>
      </c>
      <c r="AW318" s="251">
        <f t="shared" si="23"/>
        <v>-8.41</v>
      </c>
      <c r="AX318" s="218">
        <v>0.81</v>
      </c>
      <c r="AY318" s="218">
        <v>0.17</v>
      </c>
      <c r="AZ318" s="218">
        <v>4.7</v>
      </c>
      <c r="BL318" s="218">
        <v>8.33</v>
      </c>
      <c r="BM318" s="251">
        <f t="shared" si="24"/>
        <v>-8.33</v>
      </c>
      <c r="BN318" s="218">
        <v>0.47</v>
      </c>
      <c r="BO318" s="218">
        <v>0.17</v>
      </c>
      <c r="BP318" s="218">
        <v>2.7</v>
      </c>
    </row>
    <row r="319" spans="2:68">
      <c r="B319" s="218">
        <v>8.4700000000000006</v>
      </c>
      <c r="C319" s="218">
        <f t="shared" si="20"/>
        <v>-8.4700000000000006</v>
      </c>
      <c r="D319" s="218">
        <v>0.81</v>
      </c>
      <c r="E319" s="218">
        <v>0.17</v>
      </c>
      <c r="F319" s="218">
        <v>4.6900000000000004</v>
      </c>
      <c r="Q319" s="218">
        <v>8.52</v>
      </c>
      <c r="R319" s="251">
        <f t="shared" si="21"/>
        <v>-8.52</v>
      </c>
      <c r="S319" s="218">
        <v>0.81</v>
      </c>
      <c r="T319" s="218">
        <v>0.18</v>
      </c>
      <c r="U319" s="218">
        <v>4.6399999999999997</v>
      </c>
      <c r="AF319" s="218">
        <v>8.44</v>
      </c>
      <c r="AG319" s="251">
        <f t="shared" si="22"/>
        <v>-8.44</v>
      </c>
      <c r="AH319" s="218">
        <v>0.36</v>
      </c>
      <c r="AI319" s="218">
        <v>0.17</v>
      </c>
      <c r="AJ319" s="218">
        <v>2.14</v>
      </c>
      <c r="AV319" s="218">
        <v>8.43</v>
      </c>
      <c r="AW319" s="251">
        <f t="shared" si="23"/>
        <v>-8.43</v>
      </c>
      <c r="AX319" s="218">
        <v>0.81</v>
      </c>
      <c r="AY319" s="218">
        <v>0.17</v>
      </c>
      <c r="AZ319" s="218">
        <v>4.6900000000000004</v>
      </c>
      <c r="BL319" s="218">
        <v>8.35</v>
      </c>
      <c r="BM319" s="251">
        <f t="shared" si="24"/>
        <v>-8.35</v>
      </c>
      <c r="BN319" s="218">
        <v>0.47</v>
      </c>
      <c r="BO319" s="218">
        <v>0.17</v>
      </c>
      <c r="BP319" s="218">
        <v>2.71</v>
      </c>
    </row>
    <row r="320" spans="2:68">
      <c r="B320" s="218">
        <v>8.5</v>
      </c>
      <c r="C320" s="218">
        <f t="shared" si="20"/>
        <v>-8.5</v>
      </c>
      <c r="D320" s="218">
        <v>0.81</v>
      </c>
      <c r="E320" s="218">
        <v>0.17</v>
      </c>
      <c r="F320" s="218">
        <v>4.68</v>
      </c>
      <c r="Q320" s="218">
        <v>8.5500000000000007</v>
      </c>
      <c r="R320" s="251">
        <f t="shared" si="21"/>
        <v>-8.5500000000000007</v>
      </c>
      <c r="S320" s="218">
        <v>0.81</v>
      </c>
      <c r="T320" s="218">
        <v>0.18</v>
      </c>
      <c r="U320" s="218">
        <v>4.6399999999999997</v>
      </c>
      <c r="AF320" s="218">
        <v>8.4700000000000006</v>
      </c>
      <c r="AG320" s="251">
        <f t="shared" si="22"/>
        <v>-8.4700000000000006</v>
      </c>
      <c r="AH320" s="218">
        <v>0.37</v>
      </c>
      <c r="AI320" s="218">
        <v>0.17</v>
      </c>
      <c r="AJ320" s="218">
        <v>2.16</v>
      </c>
      <c r="AV320" s="218">
        <v>8.4600000000000009</v>
      </c>
      <c r="AW320" s="251">
        <f t="shared" si="23"/>
        <v>-8.4600000000000009</v>
      </c>
      <c r="AX320" s="218">
        <v>0.81</v>
      </c>
      <c r="AY320" s="218">
        <v>0.17</v>
      </c>
      <c r="AZ320" s="218">
        <v>4.6900000000000004</v>
      </c>
      <c r="BL320" s="218">
        <v>8.3800000000000008</v>
      </c>
      <c r="BM320" s="251">
        <f t="shared" si="24"/>
        <v>-8.3800000000000008</v>
      </c>
      <c r="BN320" s="218">
        <v>0.47</v>
      </c>
      <c r="BO320" s="218">
        <v>0.17</v>
      </c>
      <c r="BP320" s="218">
        <v>2.73</v>
      </c>
    </row>
    <row r="321" spans="2:68">
      <c r="B321" s="218">
        <v>8.52</v>
      </c>
      <c r="C321" s="218">
        <f t="shared" si="20"/>
        <v>-8.52</v>
      </c>
      <c r="D321" s="218">
        <v>0.81</v>
      </c>
      <c r="E321" s="218">
        <v>0.17</v>
      </c>
      <c r="F321" s="218">
        <v>4.68</v>
      </c>
      <c r="Q321" s="218">
        <v>8.57</v>
      </c>
      <c r="R321" s="251">
        <f t="shared" si="21"/>
        <v>-8.57</v>
      </c>
      <c r="S321" s="218">
        <v>0.81</v>
      </c>
      <c r="T321" s="218">
        <v>0.18</v>
      </c>
      <c r="U321" s="218">
        <v>4.63</v>
      </c>
      <c r="AF321" s="218">
        <v>8.49</v>
      </c>
      <c r="AG321" s="251">
        <f t="shared" si="22"/>
        <v>-8.49</v>
      </c>
      <c r="AH321" s="218">
        <v>0.37</v>
      </c>
      <c r="AI321" s="218">
        <v>0.17</v>
      </c>
      <c r="AJ321" s="218">
        <v>2.17</v>
      </c>
      <c r="AV321" s="218">
        <v>8.48</v>
      </c>
      <c r="AW321" s="251">
        <f t="shared" si="23"/>
        <v>-8.48</v>
      </c>
      <c r="AX321" s="218">
        <v>0.81</v>
      </c>
      <c r="AY321" s="218">
        <v>0.17</v>
      </c>
      <c r="AZ321" s="218">
        <v>4.68</v>
      </c>
      <c r="BL321" s="218">
        <v>8.4</v>
      </c>
      <c r="BM321" s="251">
        <f t="shared" si="24"/>
        <v>-8.4</v>
      </c>
      <c r="BN321" s="218">
        <v>0.48</v>
      </c>
      <c r="BO321" s="218">
        <v>0.17</v>
      </c>
      <c r="BP321" s="218">
        <v>2.74</v>
      </c>
    </row>
    <row r="322" spans="2:68">
      <c r="B322" s="218">
        <v>8.5500000000000007</v>
      </c>
      <c r="C322" s="218">
        <f t="shared" si="20"/>
        <v>-8.5500000000000007</v>
      </c>
      <c r="D322" s="218">
        <v>0.81</v>
      </c>
      <c r="E322" s="218">
        <v>0.17</v>
      </c>
      <c r="F322" s="218">
        <v>4.67</v>
      </c>
      <c r="Q322" s="218">
        <v>8.6</v>
      </c>
      <c r="R322" s="251">
        <f t="shared" si="21"/>
        <v>-8.6</v>
      </c>
      <c r="S322" s="218">
        <v>0.81</v>
      </c>
      <c r="T322" s="218">
        <v>0.18</v>
      </c>
      <c r="U322" s="218">
        <v>4.63</v>
      </c>
      <c r="AF322" s="218">
        <v>8.52</v>
      </c>
      <c r="AG322" s="251">
        <f t="shared" si="22"/>
        <v>-8.52</v>
      </c>
      <c r="AH322" s="218">
        <v>0.4</v>
      </c>
      <c r="AI322" s="218">
        <v>0.17</v>
      </c>
      <c r="AJ322" s="218">
        <v>2.3199999999999998</v>
      </c>
      <c r="AV322" s="218">
        <v>8.51</v>
      </c>
      <c r="AW322" s="251">
        <f t="shared" si="23"/>
        <v>-8.51</v>
      </c>
      <c r="AX322" s="218">
        <v>0.81</v>
      </c>
      <c r="AY322" s="218">
        <v>0.17</v>
      </c>
      <c r="AZ322" s="218">
        <v>4.68</v>
      </c>
      <c r="BL322" s="218">
        <v>8.43</v>
      </c>
      <c r="BM322" s="251">
        <f t="shared" si="24"/>
        <v>-8.43</v>
      </c>
      <c r="BN322" s="218">
        <v>0.48</v>
      </c>
      <c r="BO322" s="218">
        <v>0.17</v>
      </c>
      <c r="BP322" s="218">
        <v>2.76</v>
      </c>
    </row>
    <row r="323" spans="2:68">
      <c r="B323" s="218">
        <v>8.57</v>
      </c>
      <c r="C323" s="218">
        <f t="shared" si="20"/>
        <v>-8.57</v>
      </c>
      <c r="D323" s="218">
        <v>0.81</v>
      </c>
      <c r="E323" s="218">
        <v>0.17</v>
      </c>
      <c r="F323" s="218">
        <v>4.67</v>
      </c>
      <c r="Q323" s="218">
        <v>8.6199999999999992</v>
      </c>
      <c r="R323" s="251">
        <f t="shared" si="21"/>
        <v>-8.6199999999999992</v>
      </c>
      <c r="S323" s="218">
        <v>0.81</v>
      </c>
      <c r="T323" s="218">
        <v>0.18</v>
      </c>
      <c r="U323" s="218">
        <v>4.62</v>
      </c>
      <c r="AF323" s="218">
        <v>8.5399999999999991</v>
      </c>
      <c r="AG323" s="251">
        <f t="shared" si="22"/>
        <v>-8.5399999999999991</v>
      </c>
      <c r="AH323" s="218">
        <v>0.4</v>
      </c>
      <c r="AI323" s="218">
        <v>0.17</v>
      </c>
      <c r="AJ323" s="218">
        <v>2.34</v>
      </c>
      <c r="AV323" s="218">
        <v>8.5299999999999994</v>
      </c>
      <c r="AW323" s="251">
        <f t="shared" si="23"/>
        <v>-8.5299999999999994</v>
      </c>
      <c r="AX323" s="218">
        <v>0.81</v>
      </c>
      <c r="AY323" s="218">
        <v>0.17</v>
      </c>
      <c r="AZ323" s="218">
        <v>4.67</v>
      </c>
      <c r="BL323" s="218">
        <v>8.4499999999999993</v>
      </c>
      <c r="BM323" s="251">
        <f t="shared" si="24"/>
        <v>-8.4499999999999993</v>
      </c>
      <c r="BN323" s="218">
        <v>0.48</v>
      </c>
      <c r="BO323" s="218">
        <v>0.17</v>
      </c>
      <c r="BP323" s="218">
        <v>2.77</v>
      </c>
    </row>
    <row r="324" spans="2:68">
      <c r="B324" s="218">
        <v>8.6</v>
      </c>
      <c r="C324" s="218">
        <f t="shared" si="20"/>
        <v>-8.6</v>
      </c>
      <c r="D324" s="218">
        <v>0.81</v>
      </c>
      <c r="E324" s="218">
        <v>0.17</v>
      </c>
      <c r="F324" s="218">
        <v>4.66</v>
      </c>
      <c r="Q324" s="218">
        <v>8.65</v>
      </c>
      <c r="R324" s="251">
        <f t="shared" si="21"/>
        <v>-8.65</v>
      </c>
      <c r="S324" s="218">
        <v>0.81</v>
      </c>
      <c r="T324" s="218">
        <v>0.18</v>
      </c>
      <c r="U324" s="218">
        <v>4.62</v>
      </c>
      <c r="AF324" s="218">
        <v>8.57</v>
      </c>
      <c r="AG324" s="251">
        <f t="shared" si="22"/>
        <v>-8.57</v>
      </c>
      <c r="AH324" s="218">
        <v>0.41</v>
      </c>
      <c r="AI324" s="218">
        <v>0.17</v>
      </c>
      <c r="AJ324" s="218">
        <v>2.37</v>
      </c>
      <c r="AV324" s="218">
        <v>8.56</v>
      </c>
      <c r="AW324" s="251">
        <f t="shared" si="23"/>
        <v>-8.56</v>
      </c>
      <c r="AX324" s="218">
        <v>0.81</v>
      </c>
      <c r="AY324" s="218">
        <v>0.17</v>
      </c>
      <c r="AZ324" s="218">
        <v>4.67</v>
      </c>
      <c r="BL324" s="218">
        <v>8.48</v>
      </c>
      <c r="BM324" s="251">
        <f t="shared" si="24"/>
        <v>-8.48</v>
      </c>
      <c r="BN324" s="218">
        <v>0.49</v>
      </c>
      <c r="BO324" s="218">
        <v>0.17</v>
      </c>
      <c r="BP324" s="218">
        <v>2.79</v>
      </c>
    </row>
    <row r="325" spans="2:68">
      <c r="B325" s="218">
        <v>8.6199999999999992</v>
      </c>
      <c r="C325" s="218">
        <f t="shared" si="20"/>
        <v>-8.6199999999999992</v>
      </c>
      <c r="D325" s="218">
        <v>0.81</v>
      </c>
      <c r="E325" s="218">
        <v>0.17</v>
      </c>
      <c r="F325" s="218">
        <v>4.66</v>
      </c>
      <c r="Q325" s="218">
        <v>8.67</v>
      </c>
      <c r="R325" s="251">
        <f t="shared" si="21"/>
        <v>-8.67</v>
      </c>
      <c r="S325" s="218">
        <v>0.81</v>
      </c>
      <c r="T325" s="218">
        <v>0.18</v>
      </c>
      <c r="U325" s="218">
        <v>4.62</v>
      </c>
      <c r="AF325" s="218">
        <v>8.59</v>
      </c>
      <c r="AG325" s="251">
        <f t="shared" si="22"/>
        <v>-8.59</v>
      </c>
      <c r="AH325" s="218">
        <v>0.41</v>
      </c>
      <c r="AI325" s="218">
        <v>0.17</v>
      </c>
      <c r="AJ325" s="218">
        <v>2.39</v>
      </c>
      <c r="AV325" s="218">
        <v>8.58</v>
      </c>
      <c r="AW325" s="251">
        <f t="shared" si="23"/>
        <v>-8.58</v>
      </c>
      <c r="AX325" s="218">
        <v>0.81</v>
      </c>
      <c r="AY325" s="218">
        <v>0.17</v>
      </c>
      <c r="AZ325" s="218">
        <v>4.66</v>
      </c>
      <c r="BL325" s="218">
        <v>8.5</v>
      </c>
      <c r="BM325" s="251">
        <f t="shared" si="24"/>
        <v>-8.5</v>
      </c>
      <c r="BN325" s="218">
        <v>0.53</v>
      </c>
      <c r="BO325" s="218">
        <v>0.17</v>
      </c>
      <c r="BP325" s="218">
        <v>3.06</v>
      </c>
    </row>
    <row r="326" spans="2:68">
      <c r="B326" s="218">
        <v>8.65</v>
      </c>
      <c r="C326" s="218">
        <f t="shared" ref="C326:C389" si="25">$F$2-B326</f>
        <v>-8.65</v>
      </c>
      <c r="D326" s="218">
        <v>0.81</v>
      </c>
      <c r="E326" s="218">
        <v>0.17</v>
      </c>
      <c r="F326" s="218">
        <v>4.6500000000000004</v>
      </c>
      <c r="Q326" s="218">
        <v>8.6999999999999993</v>
      </c>
      <c r="R326" s="251">
        <f t="shared" ref="R326:R389" si="26">$U$2-Q326</f>
        <v>-8.6999999999999993</v>
      </c>
      <c r="S326" s="218">
        <v>0.81</v>
      </c>
      <c r="T326" s="218">
        <v>0.18</v>
      </c>
      <c r="U326" s="218">
        <v>4.6100000000000003</v>
      </c>
      <c r="AF326" s="218">
        <v>8.6199999999999992</v>
      </c>
      <c r="AG326" s="251">
        <f t="shared" ref="AG326:AG389" si="27">$AJ$2-AF326</f>
        <v>-8.6199999999999992</v>
      </c>
      <c r="AH326" s="218">
        <v>0.41</v>
      </c>
      <c r="AI326" s="218">
        <v>0.17</v>
      </c>
      <c r="AJ326" s="218">
        <v>2.41</v>
      </c>
      <c r="AV326" s="218">
        <v>8.61</v>
      </c>
      <c r="AW326" s="251">
        <f t="shared" ref="AW326:AW389" si="28">$AZ$2-AV326</f>
        <v>-8.61</v>
      </c>
      <c r="AX326" s="218">
        <v>0.81</v>
      </c>
      <c r="AY326" s="218">
        <v>0.17</v>
      </c>
      <c r="AZ326" s="218">
        <v>4.66</v>
      </c>
      <c r="BL326" s="218">
        <v>8.5299999999999994</v>
      </c>
      <c r="BM326" s="251">
        <f t="shared" ref="BM326:BM389" si="29">$AZ$2-BL326</f>
        <v>-8.5299999999999994</v>
      </c>
      <c r="BN326" s="218">
        <v>0.54</v>
      </c>
      <c r="BO326" s="218">
        <v>0.17</v>
      </c>
      <c r="BP326" s="218">
        <v>3.08</v>
      </c>
    </row>
    <row r="327" spans="2:68">
      <c r="B327" s="218">
        <v>8.67</v>
      </c>
      <c r="C327" s="218">
        <f t="shared" si="25"/>
        <v>-8.67</v>
      </c>
      <c r="D327" s="218">
        <v>0.81</v>
      </c>
      <c r="E327" s="218">
        <v>0.17</v>
      </c>
      <c r="F327" s="218">
        <v>4.6500000000000004</v>
      </c>
      <c r="Q327" s="218">
        <v>8.7200000000000006</v>
      </c>
      <c r="R327" s="251">
        <f t="shared" si="26"/>
        <v>-8.7200000000000006</v>
      </c>
      <c r="S327" s="218">
        <v>0.81</v>
      </c>
      <c r="T327" s="218">
        <v>0.18</v>
      </c>
      <c r="U327" s="218">
        <v>4.6100000000000003</v>
      </c>
      <c r="AF327" s="218">
        <v>8.64</v>
      </c>
      <c r="AG327" s="251">
        <f t="shared" si="27"/>
        <v>-8.64</v>
      </c>
      <c r="AH327" s="218">
        <v>0.42</v>
      </c>
      <c r="AI327" s="218">
        <v>0.17</v>
      </c>
      <c r="AJ327" s="218">
        <v>2.4300000000000002</v>
      </c>
      <c r="AV327" s="218">
        <v>8.6300000000000008</v>
      </c>
      <c r="AW327" s="251">
        <f t="shared" si="28"/>
        <v>-8.6300000000000008</v>
      </c>
      <c r="AX327" s="218">
        <v>0.81</v>
      </c>
      <c r="AY327" s="218">
        <v>0.17</v>
      </c>
      <c r="AZ327" s="218">
        <v>4.6500000000000004</v>
      </c>
      <c r="BL327" s="218">
        <v>8.5500000000000007</v>
      </c>
      <c r="BM327" s="251">
        <f t="shared" si="29"/>
        <v>-8.5500000000000007</v>
      </c>
      <c r="BN327" s="218">
        <v>0.54</v>
      </c>
      <c r="BO327" s="218">
        <v>0.17</v>
      </c>
      <c r="BP327" s="218">
        <v>3.1</v>
      </c>
    </row>
    <row r="328" spans="2:68">
      <c r="B328" s="218">
        <v>8.6999999999999993</v>
      </c>
      <c r="C328" s="218">
        <f t="shared" si="25"/>
        <v>-8.6999999999999993</v>
      </c>
      <c r="D328" s="218">
        <v>0.81</v>
      </c>
      <c r="E328" s="218">
        <v>0.18</v>
      </c>
      <c r="F328" s="218">
        <v>4.6500000000000004</v>
      </c>
      <c r="Q328" s="218">
        <v>8.75</v>
      </c>
      <c r="R328" s="251">
        <f t="shared" si="26"/>
        <v>-8.75</v>
      </c>
      <c r="S328" s="218">
        <v>0.81</v>
      </c>
      <c r="T328" s="218">
        <v>0.18</v>
      </c>
      <c r="U328" s="218">
        <v>4.5999999999999996</v>
      </c>
      <c r="AF328" s="218">
        <v>8.67</v>
      </c>
      <c r="AG328" s="251">
        <f t="shared" si="27"/>
        <v>-8.67</v>
      </c>
      <c r="AH328" s="218">
        <v>0.42</v>
      </c>
      <c r="AI328" s="218">
        <v>0.17</v>
      </c>
      <c r="AJ328" s="218">
        <v>2.4500000000000002</v>
      </c>
      <c r="AV328" s="218">
        <v>8.66</v>
      </c>
      <c r="AW328" s="251">
        <f t="shared" si="28"/>
        <v>-8.66</v>
      </c>
      <c r="AX328" s="218">
        <v>0.81</v>
      </c>
      <c r="AY328" s="218">
        <v>0.17</v>
      </c>
      <c r="AZ328" s="218">
        <v>4.6500000000000004</v>
      </c>
      <c r="BL328" s="218">
        <v>8.58</v>
      </c>
      <c r="BM328" s="251">
        <f t="shared" si="29"/>
        <v>-8.58</v>
      </c>
      <c r="BN328" s="218">
        <v>0.55000000000000004</v>
      </c>
      <c r="BO328" s="218">
        <v>0.17</v>
      </c>
      <c r="BP328" s="218">
        <v>3.13</v>
      </c>
    </row>
    <row r="329" spans="2:68">
      <c r="B329" s="218">
        <v>8.7200000000000006</v>
      </c>
      <c r="C329" s="218">
        <f t="shared" si="25"/>
        <v>-8.7200000000000006</v>
      </c>
      <c r="D329" s="218">
        <v>0.81</v>
      </c>
      <c r="E329" s="218">
        <v>0.18</v>
      </c>
      <c r="F329" s="218">
        <v>4.6399999999999997</v>
      </c>
      <c r="Q329" s="218">
        <v>8.77</v>
      </c>
      <c r="R329" s="251">
        <f t="shared" si="26"/>
        <v>-8.77</v>
      </c>
      <c r="S329" s="218">
        <v>0.81</v>
      </c>
      <c r="T329" s="218">
        <v>0.18</v>
      </c>
      <c r="U329" s="218">
        <v>4.5999999999999996</v>
      </c>
      <c r="AF329" s="218">
        <v>8.69</v>
      </c>
      <c r="AG329" s="251">
        <f t="shared" si="27"/>
        <v>-8.69</v>
      </c>
      <c r="AH329" s="218">
        <v>0.43</v>
      </c>
      <c r="AI329" s="218">
        <v>0.17</v>
      </c>
      <c r="AJ329" s="218">
        <v>2.4700000000000002</v>
      </c>
      <c r="AV329" s="218">
        <v>8.68</v>
      </c>
      <c r="AW329" s="251">
        <f t="shared" si="28"/>
        <v>-8.68</v>
      </c>
      <c r="AX329" s="218">
        <v>0.81</v>
      </c>
      <c r="AY329" s="218">
        <v>0.18</v>
      </c>
      <c r="AZ329" s="218">
        <v>4.6500000000000004</v>
      </c>
      <c r="BL329" s="218">
        <v>8.6</v>
      </c>
      <c r="BM329" s="251">
        <f t="shared" si="29"/>
        <v>-8.6</v>
      </c>
      <c r="BN329" s="218">
        <v>0.55000000000000004</v>
      </c>
      <c r="BO329" s="218">
        <v>0.18</v>
      </c>
      <c r="BP329" s="218">
        <v>3.15</v>
      </c>
    </row>
    <row r="330" spans="2:68">
      <c r="B330" s="218">
        <v>8.75</v>
      </c>
      <c r="C330" s="218">
        <f t="shared" si="25"/>
        <v>-8.75</v>
      </c>
      <c r="D330" s="218">
        <v>0.81</v>
      </c>
      <c r="E330" s="218">
        <v>0.18</v>
      </c>
      <c r="F330" s="218">
        <v>4.6399999999999997</v>
      </c>
      <c r="Q330" s="218">
        <v>8.8000000000000007</v>
      </c>
      <c r="R330" s="251">
        <f t="shared" si="26"/>
        <v>-8.8000000000000007</v>
      </c>
      <c r="S330" s="218">
        <v>0.81</v>
      </c>
      <c r="T330" s="218">
        <v>0.18</v>
      </c>
      <c r="U330" s="218">
        <v>4.59</v>
      </c>
      <c r="AF330" s="218">
        <v>8.7200000000000006</v>
      </c>
      <c r="AG330" s="251">
        <f t="shared" si="27"/>
        <v>-8.7200000000000006</v>
      </c>
      <c r="AH330" s="218">
        <v>0.43</v>
      </c>
      <c r="AI330" s="218">
        <v>0.17</v>
      </c>
      <c r="AJ330" s="218">
        <v>2.4900000000000002</v>
      </c>
      <c r="AV330" s="218">
        <v>8.7100000000000009</v>
      </c>
      <c r="AW330" s="251">
        <f t="shared" si="28"/>
        <v>-8.7100000000000009</v>
      </c>
      <c r="AX330" s="218">
        <v>0.81</v>
      </c>
      <c r="AY330" s="218">
        <v>0.18</v>
      </c>
      <c r="AZ330" s="218">
        <v>4.6399999999999997</v>
      </c>
      <c r="BL330" s="218">
        <v>8.6300000000000008</v>
      </c>
      <c r="BM330" s="251">
        <f t="shared" si="29"/>
        <v>-8.6300000000000008</v>
      </c>
      <c r="BN330" s="218">
        <v>0.56000000000000005</v>
      </c>
      <c r="BO330" s="218">
        <v>0.18</v>
      </c>
      <c r="BP330" s="218">
        <v>3.17</v>
      </c>
    </row>
    <row r="331" spans="2:68">
      <c r="B331" s="218">
        <v>8.77</v>
      </c>
      <c r="C331" s="218">
        <f t="shared" si="25"/>
        <v>-8.77</v>
      </c>
      <c r="D331" s="218">
        <v>0.81</v>
      </c>
      <c r="E331" s="218">
        <v>0.18</v>
      </c>
      <c r="F331" s="218">
        <v>4.63</v>
      </c>
      <c r="Q331" s="218">
        <v>8.82</v>
      </c>
      <c r="R331" s="251">
        <f t="shared" si="26"/>
        <v>-8.82</v>
      </c>
      <c r="S331" s="218">
        <v>0.81</v>
      </c>
      <c r="T331" s="218">
        <v>0.18</v>
      </c>
      <c r="U331" s="218">
        <v>4.59</v>
      </c>
      <c r="AF331" s="218">
        <v>8.74</v>
      </c>
      <c r="AG331" s="251">
        <f t="shared" si="27"/>
        <v>-8.74</v>
      </c>
      <c r="AH331" s="218">
        <v>0.43</v>
      </c>
      <c r="AI331" s="218">
        <v>0.17</v>
      </c>
      <c r="AJ331" s="218">
        <v>2.52</v>
      </c>
      <c r="AV331" s="218">
        <v>8.73</v>
      </c>
      <c r="AW331" s="251">
        <f t="shared" si="28"/>
        <v>-8.73</v>
      </c>
      <c r="AX331" s="218">
        <v>0.81</v>
      </c>
      <c r="AY331" s="218">
        <v>0.18</v>
      </c>
      <c r="AZ331" s="218">
        <v>4.6399999999999997</v>
      </c>
      <c r="BL331" s="218">
        <v>8.65</v>
      </c>
      <c r="BM331" s="251">
        <f t="shared" si="29"/>
        <v>-8.65</v>
      </c>
      <c r="BN331" s="218">
        <v>0.56000000000000005</v>
      </c>
      <c r="BO331" s="218">
        <v>0.18</v>
      </c>
      <c r="BP331" s="218">
        <v>3.2</v>
      </c>
    </row>
    <row r="332" spans="2:68">
      <c r="B332" s="218">
        <v>8.8000000000000007</v>
      </c>
      <c r="C332" s="218">
        <f t="shared" si="25"/>
        <v>-8.8000000000000007</v>
      </c>
      <c r="D332" s="218">
        <v>0.81</v>
      </c>
      <c r="E332" s="218">
        <v>0.18</v>
      </c>
      <c r="F332" s="218">
        <v>4.63</v>
      </c>
      <c r="Q332" s="218">
        <v>8.85</v>
      </c>
      <c r="R332" s="251">
        <f t="shared" si="26"/>
        <v>-8.85</v>
      </c>
      <c r="S332" s="218">
        <v>0.81</v>
      </c>
      <c r="T332" s="218">
        <v>0.18</v>
      </c>
      <c r="U332" s="218">
        <v>4.58</v>
      </c>
      <c r="AF332" s="218">
        <v>8.77</v>
      </c>
      <c r="AG332" s="251">
        <f t="shared" si="27"/>
        <v>-8.77</v>
      </c>
      <c r="AH332" s="218">
        <v>0.44</v>
      </c>
      <c r="AI332" s="218">
        <v>0.17</v>
      </c>
      <c r="AJ332" s="218">
        <v>2.54</v>
      </c>
      <c r="AV332" s="218">
        <v>8.76</v>
      </c>
      <c r="AW332" s="251">
        <f t="shared" si="28"/>
        <v>-8.76</v>
      </c>
      <c r="AX332" s="218">
        <v>0.81</v>
      </c>
      <c r="AY332" s="218">
        <v>0.18</v>
      </c>
      <c r="AZ332" s="218">
        <v>4.63</v>
      </c>
      <c r="BL332" s="218">
        <v>8.68</v>
      </c>
      <c r="BM332" s="251">
        <f t="shared" si="29"/>
        <v>-8.68</v>
      </c>
      <c r="BN332" s="218">
        <v>0.56999999999999995</v>
      </c>
      <c r="BO332" s="218">
        <v>0.18</v>
      </c>
      <c r="BP332" s="218">
        <v>3.22</v>
      </c>
    </row>
    <row r="333" spans="2:68">
      <c r="B333" s="218">
        <v>8.82</v>
      </c>
      <c r="C333" s="218">
        <f t="shared" si="25"/>
        <v>-8.82</v>
      </c>
      <c r="D333" s="218">
        <v>0.81</v>
      </c>
      <c r="E333" s="218">
        <v>0.18</v>
      </c>
      <c r="F333" s="218">
        <v>4.62</v>
      </c>
      <c r="Q333" s="218">
        <v>8.8699999999999992</v>
      </c>
      <c r="R333" s="251">
        <f t="shared" si="26"/>
        <v>-8.8699999999999992</v>
      </c>
      <c r="S333" s="218">
        <v>0.81</v>
      </c>
      <c r="T333" s="218">
        <v>0.18</v>
      </c>
      <c r="U333" s="218">
        <v>4.58</v>
      </c>
      <c r="AF333" s="218">
        <v>8.7899999999999991</v>
      </c>
      <c r="AG333" s="251">
        <f t="shared" si="27"/>
        <v>-8.7899999999999991</v>
      </c>
      <c r="AH333" s="218">
        <v>0.44</v>
      </c>
      <c r="AI333" s="218">
        <v>0.17</v>
      </c>
      <c r="AJ333" s="218">
        <v>2.56</v>
      </c>
      <c r="AV333" s="218">
        <v>8.7799999999999994</v>
      </c>
      <c r="AW333" s="251">
        <f t="shared" si="28"/>
        <v>-8.7799999999999994</v>
      </c>
      <c r="AX333" s="218">
        <v>0.81</v>
      </c>
      <c r="AY333" s="218">
        <v>0.18</v>
      </c>
      <c r="AZ333" s="218">
        <v>4.63</v>
      </c>
      <c r="BL333" s="218">
        <v>8.6999999999999993</v>
      </c>
      <c r="BM333" s="251">
        <f t="shared" si="29"/>
        <v>-8.6999999999999993</v>
      </c>
      <c r="BN333" s="218">
        <v>0.56999999999999995</v>
      </c>
      <c r="BO333" s="218">
        <v>0.18</v>
      </c>
      <c r="BP333" s="218">
        <v>3.25</v>
      </c>
    </row>
    <row r="334" spans="2:68">
      <c r="B334" s="218">
        <v>8.85</v>
      </c>
      <c r="C334" s="218">
        <f t="shared" si="25"/>
        <v>-8.85</v>
      </c>
      <c r="D334" s="218">
        <v>0.81</v>
      </c>
      <c r="E334" s="218">
        <v>0.18</v>
      </c>
      <c r="F334" s="218">
        <v>4.62</v>
      </c>
      <c r="Q334" s="218">
        <v>8.9</v>
      </c>
      <c r="R334" s="251">
        <f t="shared" si="26"/>
        <v>-8.9</v>
      </c>
      <c r="S334" s="218">
        <v>0.81</v>
      </c>
      <c r="T334" s="218">
        <v>0.18</v>
      </c>
      <c r="U334" s="218">
        <v>4.58</v>
      </c>
      <c r="AF334" s="218">
        <v>8.82</v>
      </c>
      <c r="AG334" s="251">
        <f t="shared" si="27"/>
        <v>-8.82</v>
      </c>
      <c r="AH334" s="218">
        <v>0.45</v>
      </c>
      <c r="AI334" s="218">
        <v>0.17</v>
      </c>
      <c r="AJ334" s="218">
        <v>2.59</v>
      </c>
      <c r="AV334" s="218">
        <v>8.81</v>
      </c>
      <c r="AW334" s="251">
        <f t="shared" si="28"/>
        <v>-8.81</v>
      </c>
      <c r="AX334" s="218">
        <v>0.81</v>
      </c>
      <c r="AY334" s="218">
        <v>0.18</v>
      </c>
      <c r="AZ334" s="218">
        <v>4.62</v>
      </c>
      <c r="BL334" s="218">
        <v>8.73</v>
      </c>
      <c r="BM334" s="251">
        <f t="shared" si="29"/>
        <v>-8.73</v>
      </c>
      <c r="BN334" s="218">
        <v>0.57999999999999996</v>
      </c>
      <c r="BO334" s="218">
        <v>0.18</v>
      </c>
      <c r="BP334" s="218">
        <v>3.28</v>
      </c>
    </row>
    <row r="335" spans="2:68">
      <c r="B335" s="218">
        <v>8.8699999999999992</v>
      </c>
      <c r="C335" s="218">
        <f t="shared" si="25"/>
        <v>-8.8699999999999992</v>
      </c>
      <c r="D335" s="218">
        <v>0.81</v>
      </c>
      <c r="E335" s="218">
        <v>0.18</v>
      </c>
      <c r="F335" s="218">
        <v>4.62</v>
      </c>
      <c r="Q335" s="218">
        <v>8.92</v>
      </c>
      <c r="R335" s="251">
        <f t="shared" si="26"/>
        <v>-8.92</v>
      </c>
      <c r="S335" s="218">
        <v>0.81</v>
      </c>
      <c r="T335" s="218">
        <v>0.18</v>
      </c>
      <c r="U335" s="218">
        <v>4.57</v>
      </c>
      <c r="AF335" s="218">
        <v>8.84</v>
      </c>
      <c r="AG335" s="251">
        <f t="shared" si="27"/>
        <v>-8.84</v>
      </c>
      <c r="AH335" s="218">
        <v>0.45</v>
      </c>
      <c r="AI335" s="218">
        <v>0.17</v>
      </c>
      <c r="AJ335" s="218">
        <v>2.61</v>
      </c>
      <c r="AV335" s="218">
        <v>8.83</v>
      </c>
      <c r="AW335" s="251">
        <f t="shared" si="28"/>
        <v>-8.83</v>
      </c>
      <c r="AX335" s="218">
        <v>0.81</v>
      </c>
      <c r="AY335" s="218">
        <v>0.18</v>
      </c>
      <c r="AZ335" s="218">
        <v>4.62</v>
      </c>
      <c r="BL335" s="218">
        <v>8.75</v>
      </c>
      <c r="BM335" s="251">
        <f t="shared" si="29"/>
        <v>-8.75</v>
      </c>
      <c r="BN335" s="218">
        <v>0.57999999999999996</v>
      </c>
      <c r="BO335" s="218">
        <v>0.18</v>
      </c>
      <c r="BP335" s="218">
        <v>3.3</v>
      </c>
    </row>
    <row r="336" spans="2:68">
      <c r="B336" s="218">
        <v>8.9</v>
      </c>
      <c r="C336" s="218">
        <f t="shared" si="25"/>
        <v>-8.9</v>
      </c>
      <c r="D336" s="218">
        <v>0.81</v>
      </c>
      <c r="E336" s="218">
        <v>0.18</v>
      </c>
      <c r="F336" s="218">
        <v>4.6100000000000003</v>
      </c>
      <c r="Q336" s="218">
        <v>8.9499999999999993</v>
      </c>
      <c r="R336" s="251">
        <f t="shared" si="26"/>
        <v>-8.9499999999999993</v>
      </c>
      <c r="S336" s="218">
        <v>0.81</v>
      </c>
      <c r="T336" s="218">
        <v>0.18</v>
      </c>
      <c r="U336" s="218">
        <v>4.57</v>
      </c>
      <c r="AF336" s="218">
        <v>8.8699999999999992</v>
      </c>
      <c r="AG336" s="251">
        <f t="shared" si="27"/>
        <v>-8.8699999999999992</v>
      </c>
      <c r="AH336" s="218">
        <v>0.46</v>
      </c>
      <c r="AI336" s="218">
        <v>0.17</v>
      </c>
      <c r="AJ336" s="218">
        <v>2.63</v>
      </c>
      <c r="AV336" s="218">
        <v>8.86</v>
      </c>
      <c r="AW336" s="251">
        <f t="shared" si="28"/>
        <v>-8.86</v>
      </c>
      <c r="AX336" s="218">
        <v>0.81</v>
      </c>
      <c r="AY336" s="218">
        <v>0.18</v>
      </c>
      <c r="AZ336" s="218">
        <v>4.6100000000000003</v>
      </c>
      <c r="BL336" s="218">
        <v>8.7799999999999994</v>
      </c>
      <c r="BM336" s="251">
        <f t="shared" si="29"/>
        <v>-8.7799999999999994</v>
      </c>
      <c r="BN336" s="218">
        <v>0.59</v>
      </c>
      <c r="BO336" s="218">
        <v>0.18</v>
      </c>
      <c r="BP336" s="218">
        <v>3.33</v>
      </c>
    </row>
    <row r="337" spans="2:68">
      <c r="B337" s="218">
        <v>8.92</v>
      </c>
      <c r="C337" s="218">
        <f t="shared" si="25"/>
        <v>-8.92</v>
      </c>
      <c r="D337" s="218">
        <v>0.81</v>
      </c>
      <c r="E337" s="218">
        <v>0.18</v>
      </c>
      <c r="F337" s="218">
        <v>4.6100000000000003</v>
      </c>
      <c r="Q337" s="218">
        <v>8.9700000000000006</v>
      </c>
      <c r="R337" s="251">
        <f t="shared" si="26"/>
        <v>-8.9700000000000006</v>
      </c>
      <c r="S337" s="218">
        <v>0.81</v>
      </c>
      <c r="T337" s="218">
        <v>0.18</v>
      </c>
      <c r="U337" s="218">
        <v>4.5599999999999996</v>
      </c>
      <c r="AF337" s="218">
        <v>8.89</v>
      </c>
      <c r="AG337" s="251">
        <f t="shared" si="27"/>
        <v>-8.89</v>
      </c>
      <c r="AH337" s="218">
        <v>0.46</v>
      </c>
      <c r="AI337" s="218">
        <v>0.17</v>
      </c>
      <c r="AJ337" s="218">
        <v>2.66</v>
      </c>
      <c r="AV337" s="218">
        <v>8.8800000000000008</v>
      </c>
      <c r="AW337" s="251">
        <f t="shared" si="28"/>
        <v>-8.8800000000000008</v>
      </c>
      <c r="AX337" s="218">
        <v>0.81</v>
      </c>
      <c r="AY337" s="218">
        <v>0.18</v>
      </c>
      <c r="AZ337" s="218">
        <v>4.6100000000000003</v>
      </c>
      <c r="BL337" s="218">
        <v>8.8000000000000007</v>
      </c>
      <c r="BM337" s="251">
        <f t="shared" si="29"/>
        <v>-8.8000000000000007</v>
      </c>
      <c r="BN337" s="218">
        <v>0.59</v>
      </c>
      <c r="BO337" s="218">
        <v>0.18</v>
      </c>
      <c r="BP337" s="218">
        <v>3.37</v>
      </c>
    </row>
    <row r="338" spans="2:68">
      <c r="B338" s="218">
        <v>8.9499999999999993</v>
      </c>
      <c r="C338" s="218">
        <f t="shared" si="25"/>
        <v>-8.9499999999999993</v>
      </c>
      <c r="D338" s="218">
        <v>0.81</v>
      </c>
      <c r="E338" s="218">
        <v>0.18</v>
      </c>
      <c r="F338" s="218">
        <v>4.5999999999999996</v>
      </c>
      <c r="Q338" s="218">
        <v>9</v>
      </c>
      <c r="R338" s="251">
        <f t="shared" si="26"/>
        <v>-9</v>
      </c>
      <c r="S338" s="218">
        <v>0.81</v>
      </c>
      <c r="T338" s="218">
        <v>0.18</v>
      </c>
      <c r="U338" s="218">
        <v>4.5599999999999996</v>
      </c>
      <c r="AF338" s="218">
        <v>8.92</v>
      </c>
      <c r="AG338" s="251">
        <f t="shared" si="27"/>
        <v>-8.92</v>
      </c>
      <c r="AH338" s="218">
        <v>0.47</v>
      </c>
      <c r="AI338" s="218">
        <v>0.17</v>
      </c>
      <c r="AJ338" s="218">
        <v>2.68</v>
      </c>
      <c r="AV338" s="218">
        <v>8.91</v>
      </c>
      <c r="AW338" s="251">
        <f t="shared" si="28"/>
        <v>-8.91</v>
      </c>
      <c r="AX338" s="218">
        <v>0.81</v>
      </c>
      <c r="AY338" s="218">
        <v>0.18</v>
      </c>
      <c r="AZ338" s="218">
        <v>4.6100000000000003</v>
      </c>
      <c r="BL338" s="218">
        <v>8.83</v>
      </c>
      <c r="BM338" s="251">
        <f t="shared" si="29"/>
        <v>-8.83</v>
      </c>
      <c r="BN338" s="218">
        <v>0.6</v>
      </c>
      <c r="BO338" s="218">
        <v>0.18</v>
      </c>
      <c r="BP338" s="218">
        <v>3.4</v>
      </c>
    </row>
    <row r="339" spans="2:68">
      <c r="B339" s="218">
        <v>8.9700000000000006</v>
      </c>
      <c r="C339" s="218">
        <f t="shared" si="25"/>
        <v>-8.9700000000000006</v>
      </c>
      <c r="D339" s="218">
        <v>0.81</v>
      </c>
      <c r="E339" s="218">
        <v>0.18</v>
      </c>
      <c r="F339" s="218">
        <v>4.5999999999999996</v>
      </c>
      <c r="Q339" s="218">
        <v>9.02</v>
      </c>
      <c r="R339" s="251">
        <f t="shared" si="26"/>
        <v>-9.02</v>
      </c>
      <c r="S339" s="218">
        <v>0.81</v>
      </c>
      <c r="T339" s="218">
        <v>0.18</v>
      </c>
      <c r="U339" s="218">
        <v>4.5599999999999996</v>
      </c>
      <c r="AF339" s="218">
        <v>8.94</v>
      </c>
      <c r="AG339" s="251">
        <f t="shared" si="27"/>
        <v>-8.94</v>
      </c>
      <c r="AH339" s="218">
        <v>0.47</v>
      </c>
      <c r="AI339" s="218">
        <v>0.17</v>
      </c>
      <c r="AJ339" s="218">
        <v>2.71</v>
      </c>
      <c r="AV339" s="218">
        <v>8.93</v>
      </c>
      <c r="AW339" s="251">
        <f t="shared" si="28"/>
        <v>-8.93</v>
      </c>
      <c r="AX339" s="218">
        <v>0.81</v>
      </c>
      <c r="AY339" s="218">
        <v>0.18</v>
      </c>
      <c r="AZ339" s="218">
        <v>4.5999999999999996</v>
      </c>
      <c r="BL339" s="218">
        <v>8.85</v>
      </c>
      <c r="BM339" s="251">
        <f t="shared" si="29"/>
        <v>-8.85</v>
      </c>
      <c r="BN339" s="218">
        <v>0.61</v>
      </c>
      <c r="BO339" s="218">
        <v>0.18</v>
      </c>
      <c r="BP339" s="218">
        <v>3.44</v>
      </c>
    </row>
    <row r="340" spans="2:68">
      <c r="B340" s="218">
        <v>9</v>
      </c>
      <c r="C340" s="218">
        <f t="shared" si="25"/>
        <v>-9</v>
      </c>
      <c r="D340" s="218">
        <v>0.81</v>
      </c>
      <c r="E340" s="218">
        <v>0.18</v>
      </c>
      <c r="F340" s="218">
        <v>4.59</v>
      </c>
      <c r="Q340" s="218">
        <v>9.0500000000000007</v>
      </c>
      <c r="R340" s="251">
        <f t="shared" si="26"/>
        <v>-9.0500000000000007</v>
      </c>
      <c r="S340" s="218">
        <v>0.81</v>
      </c>
      <c r="T340" s="218">
        <v>0.18</v>
      </c>
      <c r="U340" s="218">
        <v>4.55</v>
      </c>
      <c r="AF340" s="218">
        <v>8.9700000000000006</v>
      </c>
      <c r="AG340" s="251">
        <f t="shared" si="27"/>
        <v>-8.9700000000000006</v>
      </c>
      <c r="AH340" s="218">
        <v>0.48</v>
      </c>
      <c r="AI340" s="218">
        <v>0.17</v>
      </c>
      <c r="AJ340" s="218">
        <v>2.74</v>
      </c>
      <c r="AV340" s="218">
        <v>8.9600000000000009</v>
      </c>
      <c r="AW340" s="251">
        <f t="shared" si="28"/>
        <v>-8.9600000000000009</v>
      </c>
      <c r="AX340" s="218">
        <v>0.81</v>
      </c>
      <c r="AY340" s="218">
        <v>0.18</v>
      </c>
      <c r="AZ340" s="218">
        <v>4.5999999999999996</v>
      </c>
      <c r="BL340" s="218">
        <v>8.8800000000000008</v>
      </c>
      <c r="BM340" s="251">
        <f t="shared" si="29"/>
        <v>-8.8800000000000008</v>
      </c>
      <c r="BN340" s="218">
        <v>0.61</v>
      </c>
      <c r="BO340" s="218">
        <v>0.18</v>
      </c>
      <c r="BP340" s="218">
        <v>3.47</v>
      </c>
    </row>
    <row r="341" spans="2:68">
      <c r="B341" s="218">
        <v>9.02</v>
      </c>
      <c r="C341" s="218">
        <f t="shared" si="25"/>
        <v>-9.02</v>
      </c>
      <c r="D341" s="218">
        <v>0.81</v>
      </c>
      <c r="E341" s="218">
        <v>0.18</v>
      </c>
      <c r="F341" s="218">
        <v>4.59</v>
      </c>
      <c r="Q341" s="218">
        <v>9.07</v>
      </c>
      <c r="R341" s="251">
        <f t="shared" si="26"/>
        <v>-9.07</v>
      </c>
      <c r="S341" s="218">
        <v>0.81</v>
      </c>
      <c r="T341" s="218">
        <v>0.18</v>
      </c>
      <c r="U341" s="218">
        <v>4.55</v>
      </c>
      <c r="AF341" s="218">
        <v>8.99</v>
      </c>
      <c r="AG341" s="251">
        <f t="shared" si="27"/>
        <v>-8.99</v>
      </c>
      <c r="AH341" s="218">
        <v>0.48</v>
      </c>
      <c r="AI341" s="218">
        <v>0.17</v>
      </c>
      <c r="AJ341" s="218">
        <v>2.76</v>
      </c>
      <c r="AV341" s="218">
        <v>8.98</v>
      </c>
      <c r="AW341" s="251">
        <f t="shared" si="28"/>
        <v>-8.98</v>
      </c>
      <c r="AX341" s="218">
        <v>0.81</v>
      </c>
      <c r="AY341" s="218">
        <v>0.18</v>
      </c>
      <c r="AZ341" s="218">
        <v>4.59</v>
      </c>
      <c r="BL341" s="218">
        <v>8.9</v>
      </c>
      <c r="BM341" s="251">
        <f t="shared" si="29"/>
        <v>-8.9</v>
      </c>
      <c r="BN341" s="218">
        <v>0.62</v>
      </c>
      <c r="BO341" s="218">
        <v>0.18</v>
      </c>
      <c r="BP341" s="218">
        <v>3.52</v>
      </c>
    </row>
    <row r="342" spans="2:68">
      <c r="B342" s="218">
        <v>9.0500000000000007</v>
      </c>
      <c r="C342" s="218">
        <f t="shared" si="25"/>
        <v>-9.0500000000000007</v>
      </c>
      <c r="D342" s="218">
        <v>0.81</v>
      </c>
      <c r="E342" s="218">
        <v>0.18</v>
      </c>
      <c r="F342" s="218">
        <v>4.59</v>
      </c>
      <c r="Q342" s="218">
        <v>9.1</v>
      </c>
      <c r="R342" s="251">
        <f t="shared" si="26"/>
        <v>-9.1</v>
      </c>
      <c r="S342" s="218">
        <v>0.81</v>
      </c>
      <c r="T342" s="218">
        <v>0.18</v>
      </c>
      <c r="U342" s="218">
        <v>4.54</v>
      </c>
      <c r="AF342" s="218">
        <v>9.02</v>
      </c>
      <c r="AG342" s="251">
        <f t="shared" si="27"/>
        <v>-9.02</v>
      </c>
      <c r="AH342" s="218">
        <v>0.49</v>
      </c>
      <c r="AI342" s="218">
        <v>0.17</v>
      </c>
      <c r="AJ342" s="218">
        <v>2.79</v>
      </c>
      <c r="AV342" s="218">
        <v>9.01</v>
      </c>
      <c r="AW342" s="251">
        <f t="shared" si="28"/>
        <v>-9.01</v>
      </c>
      <c r="AX342" s="218">
        <v>0.81</v>
      </c>
      <c r="AY342" s="218">
        <v>0.18</v>
      </c>
      <c r="AZ342" s="218">
        <v>4.59</v>
      </c>
      <c r="BL342" s="218">
        <v>8.93</v>
      </c>
      <c r="BM342" s="251">
        <f t="shared" si="29"/>
        <v>-8.93</v>
      </c>
      <c r="BN342" s="218">
        <v>0.63</v>
      </c>
      <c r="BO342" s="218">
        <v>0.18</v>
      </c>
      <c r="BP342" s="218">
        <v>3.56</v>
      </c>
    </row>
    <row r="343" spans="2:68">
      <c r="B343" s="218">
        <v>9.07</v>
      </c>
      <c r="C343" s="218">
        <f t="shared" si="25"/>
        <v>-9.07</v>
      </c>
      <c r="D343" s="218">
        <v>0.81</v>
      </c>
      <c r="E343" s="218">
        <v>0.18</v>
      </c>
      <c r="F343" s="218">
        <v>4.58</v>
      </c>
      <c r="Q343" s="218">
        <v>9.1199999999999992</v>
      </c>
      <c r="R343" s="251">
        <f t="shared" si="26"/>
        <v>-9.1199999999999992</v>
      </c>
      <c r="S343" s="218">
        <v>0.81</v>
      </c>
      <c r="T343" s="218">
        <v>0.18</v>
      </c>
      <c r="U343" s="218">
        <v>4.54</v>
      </c>
      <c r="AF343" s="218">
        <v>9.0399999999999991</v>
      </c>
      <c r="AG343" s="251">
        <f t="shared" si="27"/>
        <v>-9.0399999999999991</v>
      </c>
      <c r="AH343" s="218">
        <v>0.49</v>
      </c>
      <c r="AI343" s="218">
        <v>0.17</v>
      </c>
      <c r="AJ343" s="218">
        <v>2.83</v>
      </c>
      <c r="AV343" s="218">
        <v>9.0299999999999994</v>
      </c>
      <c r="AW343" s="251">
        <f t="shared" si="28"/>
        <v>-9.0299999999999994</v>
      </c>
      <c r="AX343" s="218">
        <v>0.81</v>
      </c>
      <c r="AY343" s="218">
        <v>0.18</v>
      </c>
      <c r="AZ343" s="218">
        <v>4.58</v>
      </c>
      <c r="BL343" s="218">
        <v>8.9499999999999993</v>
      </c>
      <c r="BM343" s="251">
        <f t="shared" si="29"/>
        <v>-8.9499999999999993</v>
      </c>
      <c r="BN343" s="218">
        <v>0.64</v>
      </c>
      <c r="BO343" s="218">
        <v>0.18</v>
      </c>
      <c r="BP343" s="218">
        <v>3.62</v>
      </c>
    </row>
    <row r="344" spans="2:68">
      <c r="B344" s="218">
        <v>9.1</v>
      </c>
      <c r="C344" s="218">
        <f t="shared" si="25"/>
        <v>-9.1</v>
      </c>
      <c r="D344" s="218">
        <v>0.81</v>
      </c>
      <c r="E344" s="218">
        <v>0.18</v>
      </c>
      <c r="F344" s="218">
        <v>4.58</v>
      </c>
      <c r="Q344" s="218">
        <v>9.15</v>
      </c>
      <c r="R344" s="251">
        <f t="shared" si="26"/>
        <v>-9.15</v>
      </c>
      <c r="S344" s="218">
        <v>0.81</v>
      </c>
      <c r="T344" s="218">
        <v>0.18</v>
      </c>
      <c r="U344" s="218">
        <v>4.54</v>
      </c>
      <c r="AF344" s="218">
        <v>9.07</v>
      </c>
      <c r="AG344" s="251">
        <f t="shared" si="27"/>
        <v>-9.07</v>
      </c>
      <c r="AH344" s="218">
        <v>0.5</v>
      </c>
      <c r="AI344" s="218">
        <v>0.18</v>
      </c>
      <c r="AJ344" s="218">
        <v>2.86</v>
      </c>
      <c r="AV344" s="218">
        <v>9.06</v>
      </c>
      <c r="AW344" s="251">
        <f t="shared" si="28"/>
        <v>-9.06</v>
      </c>
      <c r="AX344" s="218">
        <v>0.81</v>
      </c>
      <c r="AY344" s="218">
        <v>0.18</v>
      </c>
      <c r="AZ344" s="218">
        <v>4.58</v>
      </c>
      <c r="BL344" s="218">
        <v>8.98</v>
      </c>
      <c r="BM344" s="251">
        <f t="shared" si="29"/>
        <v>-8.98</v>
      </c>
      <c r="BN344" s="218">
        <v>0.65</v>
      </c>
      <c r="BO344" s="218">
        <v>0.18</v>
      </c>
      <c r="BP344" s="218">
        <v>3.68</v>
      </c>
    </row>
    <row r="345" spans="2:68">
      <c r="B345" s="218">
        <v>9.1199999999999992</v>
      </c>
      <c r="C345" s="218">
        <f t="shared" si="25"/>
        <v>-9.1199999999999992</v>
      </c>
      <c r="D345" s="218">
        <v>0.81</v>
      </c>
      <c r="E345" s="218">
        <v>0.18</v>
      </c>
      <c r="F345" s="218">
        <v>4.57</v>
      </c>
      <c r="Q345" s="218">
        <v>9.17</v>
      </c>
      <c r="R345" s="251">
        <f t="shared" si="26"/>
        <v>-9.17</v>
      </c>
      <c r="S345" s="218">
        <v>0.81</v>
      </c>
      <c r="T345" s="218">
        <v>0.18</v>
      </c>
      <c r="U345" s="218">
        <v>4.53</v>
      </c>
      <c r="AF345" s="218">
        <v>9.09</v>
      </c>
      <c r="AG345" s="251">
        <f t="shared" si="27"/>
        <v>-9.09</v>
      </c>
      <c r="AH345" s="218">
        <v>0.51</v>
      </c>
      <c r="AI345" s="218">
        <v>0.18</v>
      </c>
      <c r="AJ345" s="218">
        <v>2.89</v>
      </c>
      <c r="AV345" s="218">
        <v>9.08</v>
      </c>
      <c r="AW345" s="251">
        <f t="shared" si="28"/>
        <v>-9.08</v>
      </c>
      <c r="AX345" s="218">
        <v>0.81</v>
      </c>
      <c r="AY345" s="218">
        <v>0.18</v>
      </c>
      <c r="AZ345" s="218">
        <v>4.58</v>
      </c>
      <c r="BL345" s="218">
        <v>9</v>
      </c>
      <c r="BM345" s="251">
        <f t="shared" si="29"/>
        <v>-9</v>
      </c>
      <c r="BN345" s="218">
        <v>0.67</v>
      </c>
      <c r="BO345" s="218">
        <v>0.18</v>
      </c>
      <c r="BP345" s="218">
        <v>3.75</v>
      </c>
    </row>
    <row r="346" spans="2:68">
      <c r="B346" s="218">
        <v>9.15</v>
      </c>
      <c r="C346" s="218">
        <f t="shared" si="25"/>
        <v>-9.15</v>
      </c>
      <c r="D346" s="218">
        <v>0.81</v>
      </c>
      <c r="E346" s="218">
        <v>0.18</v>
      </c>
      <c r="F346" s="218">
        <v>4.57</v>
      </c>
      <c r="Q346" s="218">
        <v>9.1999999999999993</v>
      </c>
      <c r="R346" s="251">
        <f t="shared" si="26"/>
        <v>-9.1999999999999993</v>
      </c>
      <c r="S346" s="218">
        <v>0.81</v>
      </c>
      <c r="T346" s="218">
        <v>0.18</v>
      </c>
      <c r="U346" s="218">
        <v>4.53</v>
      </c>
      <c r="AF346" s="218">
        <v>9.1199999999999992</v>
      </c>
      <c r="AG346" s="251">
        <f t="shared" si="27"/>
        <v>-9.1199999999999992</v>
      </c>
      <c r="AH346" s="218">
        <v>0.51</v>
      </c>
      <c r="AI346" s="218">
        <v>0.18</v>
      </c>
      <c r="AJ346" s="218">
        <v>2.93</v>
      </c>
      <c r="AV346" s="218">
        <v>9.11</v>
      </c>
      <c r="AW346" s="251">
        <f t="shared" si="28"/>
        <v>-9.11</v>
      </c>
      <c r="AX346" s="218">
        <v>0.81</v>
      </c>
      <c r="AY346" s="218">
        <v>0.18</v>
      </c>
      <c r="AZ346" s="218">
        <v>4.57</v>
      </c>
      <c r="BL346" s="218">
        <v>9.0299999999999994</v>
      </c>
      <c r="BM346" s="251">
        <f t="shared" si="29"/>
        <v>-9.0299999999999994</v>
      </c>
      <c r="BN346" s="218">
        <v>0.69</v>
      </c>
      <c r="BO346" s="218">
        <v>0.18</v>
      </c>
      <c r="BP346" s="218">
        <v>3.86</v>
      </c>
    </row>
    <row r="347" spans="2:68">
      <c r="B347" s="218">
        <v>9.17</v>
      </c>
      <c r="C347" s="218">
        <f t="shared" si="25"/>
        <v>-9.17</v>
      </c>
      <c r="D347" s="218">
        <v>0.81</v>
      </c>
      <c r="E347" s="218">
        <v>0.18</v>
      </c>
      <c r="F347" s="218">
        <v>4.57</v>
      </c>
      <c r="Q347" s="218">
        <v>9.2200000000000006</v>
      </c>
      <c r="R347" s="251">
        <f t="shared" si="26"/>
        <v>-9.2200000000000006</v>
      </c>
      <c r="S347" s="218">
        <v>0.81</v>
      </c>
      <c r="T347" s="218">
        <v>0.18</v>
      </c>
      <c r="U347" s="218">
        <v>4.53</v>
      </c>
      <c r="AF347" s="218">
        <v>9.14</v>
      </c>
      <c r="AG347" s="251">
        <f t="shared" si="27"/>
        <v>-9.14</v>
      </c>
      <c r="AH347" s="218">
        <v>0.52</v>
      </c>
      <c r="AI347" s="218">
        <v>0.18</v>
      </c>
      <c r="AJ347" s="218">
        <v>2.96</v>
      </c>
      <c r="AV347" s="218">
        <v>9.1300000000000008</v>
      </c>
      <c r="AW347" s="251">
        <f t="shared" si="28"/>
        <v>-9.1300000000000008</v>
      </c>
      <c r="AX347" s="218">
        <v>0.81</v>
      </c>
      <c r="AY347" s="218">
        <v>0.18</v>
      </c>
      <c r="AZ347" s="218">
        <v>4.57</v>
      </c>
      <c r="BL347" s="218">
        <v>9.0500000000000007</v>
      </c>
      <c r="BM347" s="251">
        <f t="shared" si="29"/>
        <v>-9.0500000000000007</v>
      </c>
      <c r="BN347" s="218">
        <v>0.71</v>
      </c>
      <c r="BO347" s="218">
        <v>0.18</v>
      </c>
      <c r="BP347" s="218">
        <v>4.01</v>
      </c>
    </row>
    <row r="348" spans="2:68">
      <c r="B348" s="218">
        <v>9.1999999999999993</v>
      </c>
      <c r="C348" s="218">
        <f t="shared" si="25"/>
        <v>-9.1999999999999993</v>
      </c>
      <c r="D348" s="218">
        <v>0.81</v>
      </c>
      <c r="E348" s="218">
        <v>0.18</v>
      </c>
      <c r="F348" s="218">
        <v>4.57</v>
      </c>
      <c r="Q348" s="218">
        <v>9.25</v>
      </c>
      <c r="R348" s="251">
        <f t="shared" si="26"/>
        <v>-9.25</v>
      </c>
      <c r="S348" s="218">
        <v>0.81</v>
      </c>
      <c r="T348" s="218">
        <v>0.18</v>
      </c>
      <c r="U348" s="218">
        <v>4.53</v>
      </c>
      <c r="AF348" s="218">
        <v>9.17</v>
      </c>
      <c r="AG348" s="251">
        <f t="shared" si="27"/>
        <v>-9.17</v>
      </c>
      <c r="AH348" s="218">
        <v>0.53</v>
      </c>
      <c r="AI348" s="218">
        <v>0.18</v>
      </c>
      <c r="AJ348" s="218">
        <v>3</v>
      </c>
      <c r="AV348" s="218">
        <v>9.16</v>
      </c>
      <c r="AW348" s="251">
        <f t="shared" si="28"/>
        <v>-9.16</v>
      </c>
      <c r="AX348" s="218">
        <v>0.81</v>
      </c>
      <c r="AY348" s="218">
        <v>0.18</v>
      </c>
      <c r="AZ348" s="218">
        <v>4.57</v>
      </c>
      <c r="BL348" s="218">
        <v>9.08</v>
      </c>
      <c r="BM348" s="251">
        <f t="shared" si="29"/>
        <v>-9.08</v>
      </c>
      <c r="BN348" s="218">
        <v>0.76</v>
      </c>
      <c r="BO348" s="218">
        <v>0.18</v>
      </c>
      <c r="BP348" s="218">
        <v>4.24</v>
      </c>
    </row>
    <row r="349" spans="2:68">
      <c r="B349" s="218">
        <v>9.2200000000000006</v>
      </c>
      <c r="C349" s="218">
        <f t="shared" si="25"/>
        <v>-9.2200000000000006</v>
      </c>
      <c r="D349" s="218">
        <v>0.81</v>
      </c>
      <c r="E349" s="218">
        <v>0.18</v>
      </c>
      <c r="F349" s="218">
        <v>4.57</v>
      </c>
      <c r="Q349" s="218">
        <v>9.27</v>
      </c>
      <c r="R349" s="251">
        <f t="shared" si="26"/>
        <v>-9.27</v>
      </c>
      <c r="S349" s="218">
        <v>0.81</v>
      </c>
      <c r="T349" s="218">
        <v>0.18</v>
      </c>
      <c r="U349" s="218">
        <v>4.53</v>
      </c>
      <c r="AF349" s="218">
        <v>9.19</v>
      </c>
      <c r="AG349" s="251">
        <f t="shared" si="27"/>
        <v>-9.19</v>
      </c>
      <c r="AH349" s="218">
        <v>0.53</v>
      </c>
      <c r="AI349" s="218">
        <v>0.18</v>
      </c>
      <c r="AJ349" s="218">
        <v>3.04</v>
      </c>
      <c r="AV349" s="218">
        <v>9.18</v>
      </c>
      <c r="AW349" s="251">
        <f t="shared" si="28"/>
        <v>-9.18</v>
      </c>
      <c r="AX349" s="218">
        <v>0.81</v>
      </c>
      <c r="AY349" s="218">
        <v>0.18</v>
      </c>
      <c r="AZ349" s="218">
        <v>4.5599999999999996</v>
      </c>
      <c r="BL349" s="218">
        <v>9.1</v>
      </c>
      <c r="BM349" s="251">
        <f t="shared" si="29"/>
        <v>-9.1</v>
      </c>
      <c r="BN349" s="218">
        <v>0.81</v>
      </c>
      <c r="BO349" s="218">
        <v>0.18</v>
      </c>
      <c r="BP349" s="218">
        <v>4.5599999999999996</v>
      </c>
    </row>
    <row r="350" spans="2:68">
      <c r="B350" s="218">
        <v>9.25</v>
      </c>
      <c r="C350" s="218">
        <f t="shared" si="25"/>
        <v>-9.25</v>
      </c>
      <c r="D350" s="218">
        <v>0.81</v>
      </c>
      <c r="E350" s="218">
        <v>0.18</v>
      </c>
      <c r="F350" s="218">
        <v>4.5599999999999996</v>
      </c>
      <c r="Q350" s="218">
        <v>9.3000000000000007</v>
      </c>
      <c r="R350" s="251">
        <f t="shared" si="26"/>
        <v>-9.3000000000000007</v>
      </c>
      <c r="S350" s="218">
        <v>0.81</v>
      </c>
      <c r="T350" s="218">
        <v>0.18</v>
      </c>
      <c r="U350" s="218">
        <v>4.53</v>
      </c>
      <c r="AF350" s="218">
        <v>9.2200000000000006</v>
      </c>
      <c r="AG350" s="251">
        <f t="shared" si="27"/>
        <v>-9.2200000000000006</v>
      </c>
      <c r="AH350" s="218">
        <v>0.54</v>
      </c>
      <c r="AI350" s="218">
        <v>0.18</v>
      </c>
      <c r="AJ350" s="218">
        <v>3.09</v>
      </c>
      <c r="AV350" s="218">
        <v>9.2100000000000009</v>
      </c>
      <c r="AW350" s="251">
        <f t="shared" si="28"/>
        <v>-9.2100000000000009</v>
      </c>
      <c r="AX350" s="218">
        <v>0.81</v>
      </c>
      <c r="AY350" s="218">
        <v>0.18</v>
      </c>
      <c r="AZ350" s="218">
        <v>4.5599999999999996</v>
      </c>
      <c r="BL350" s="218">
        <v>9.1300000000000008</v>
      </c>
      <c r="BM350" s="251">
        <f t="shared" si="29"/>
        <v>-9.1300000000000008</v>
      </c>
      <c r="BN350" s="218">
        <v>0.81</v>
      </c>
      <c r="BO350" s="218">
        <v>0.18</v>
      </c>
      <c r="BP350" s="218">
        <v>4.55</v>
      </c>
    </row>
    <row r="351" spans="2:68">
      <c r="B351" s="218">
        <v>9.27</v>
      </c>
      <c r="C351" s="218">
        <f t="shared" si="25"/>
        <v>-9.27</v>
      </c>
      <c r="D351" s="218">
        <v>0.81</v>
      </c>
      <c r="E351" s="218">
        <v>0.18</v>
      </c>
      <c r="F351" s="218">
        <v>4.5599999999999996</v>
      </c>
      <c r="Q351" s="218">
        <v>9.32</v>
      </c>
      <c r="R351" s="251">
        <f t="shared" si="26"/>
        <v>-9.32</v>
      </c>
      <c r="S351" s="218">
        <v>0.81</v>
      </c>
      <c r="T351" s="218">
        <v>0.18</v>
      </c>
      <c r="U351" s="218">
        <v>4.53</v>
      </c>
      <c r="AF351" s="218">
        <v>9.24</v>
      </c>
      <c r="AG351" s="251">
        <f t="shared" si="27"/>
        <v>-9.24</v>
      </c>
      <c r="AH351" s="218">
        <v>0.55000000000000004</v>
      </c>
      <c r="AI351" s="218">
        <v>0.18</v>
      </c>
      <c r="AJ351" s="218">
        <v>3.13</v>
      </c>
      <c r="AV351" s="218">
        <v>9.23</v>
      </c>
      <c r="AW351" s="251">
        <f t="shared" si="28"/>
        <v>-9.23</v>
      </c>
      <c r="AX351" s="218">
        <v>0.81</v>
      </c>
      <c r="AY351" s="218">
        <v>0.18</v>
      </c>
      <c r="AZ351" s="218">
        <v>4.5599999999999996</v>
      </c>
      <c r="BL351" s="218">
        <v>9.15</v>
      </c>
      <c r="BM351" s="251">
        <f t="shared" si="29"/>
        <v>-9.15</v>
      </c>
      <c r="BN351" s="218">
        <v>0.81</v>
      </c>
      <c r="BO351" s="218">
        <v>0.18</v>
      </c>
      <c r="BP351" s="218">
        <v>4.55</v>
      </c>
    </row>
    <row r="352" spans="2:68">
      <c r="B352" s="218">
        <v>9.3000000000000007</v>
      </c>
      <c r="C352" s="218">
        <f t="shared" si="25"/>
        <v>-9.3000000000000007</v>
      </c>
      <c r="D352" s="218">
        <v>0.81</v>
      </c>
      <c r="E352" s="218">
        <v>0.18</v>
      </c>
      <c r="F352" s="218">
        <v>4.5599999999999996</v>
      </c>
      <c r="Q352" s="218">
        <v>9.35</v>
      </c>
      <c r="R352" s="251">
        <f t="shared" si="26"/>
        <v>-9.35</v>
      </c>
      <c r="S352" s="218">
        <v>0.81</v>
      </c>
      <c r="T352" s="218">
        <v>0.18</v>
      </c>
      <c r="U352" s="218">
        <v>4.5199999999999996</v>
      </c>
      <c r="AF352" s="218">
        <v>9.27</v>
      </c>
      <c r="AG352" s="251">
        <f t="shared" si="27"/>
        <v>-9.27</v>
      </c>
      <c r="AH352" s="218">
        <v>0.56000000000000005</v>
      </c>
      <c r="AI352" s="218">
        <v>0.18</v>
      </c>
      <c r="AJ352" s="218">
        <v>3.18</v>
      </c>
      <c r="AV352" s="218">
        <v>9.26</v>
      </c>
      <c r="AW352" s="251">
        <f t="shared" si="28"/>
        <v>-9.26</v>
      </c>
      <c r="AX352" s="218">
        <v>0.81</v>
      </c>
      <c r="AY352" s="218">
        <v>0.18</v>
      </c>
      <c r="AZ352" s="218">
        <v>4.5599999999999996</v>
      </c>
      <c r="BL352" s="218">
        <v>9.18</v>
      </c>
      <c r="BM352" s="251">
        <f t="shared" si="29"/>
        <v>-9.18</v>
      </c>
      <c r="BN352" s="218">
        <v>0.81</v>
      </c>
      <c r="BO352" s="218">
        <v>0.18</v>
      </c>
      <c r="BP352" s="218">
        <v>4.55</v>
      </c>
    </row>
    <row r="353" spans="2:68">
      <c r="B353" s="218">
        <v>9.32</v>
      </c>
      <c r="C353" s="218">
        <f t="shared" si="25"/>
        <v>-9.32</v>
      </c>
      <c r="D353" s="218">
        <v>0.81</v>
      </c>
      <c r="E353" s="218">
        <v>0.18</v>
      </c>
      <c r="F353" s="218">
        <v>4.5599999999999996</v>
      </c>
      <c r="Q353" s="218">
        <v>9.3699999999999992</v>
      </c>
      <c r="R353" s="251">
        <f t="shared" si="26"/>
        <v>-9.3699999999999992</v>
      </c>
      <c r="S353" s="218">
        <v>0.81</v>
      </c>
      <c r="T353" s="218">
        <v>0.18</v>
      </c>
      <c r="U353" s="218">
        <v>4.5199999999999996</v>
      </c>
      <c r="AF353" s="218">
        <v>9.2899999999999991</v>
      </c>
      <c r="AG353" s="251">
        <f t="shared" si="27"/>
        <v>-9.2899999999999991</v>
      </c>
      <c r="AH353" s="218">
        <v>0.56999999999999995</v>
      </c>
      <c r="AI353" s="218">
        <v>0.18</v>
      </c>
      <c r="AJ353" s="218">
        <v>3.22</v>
      </c>
      <c r="AV353" s="218">
        <v>9.2799999999999994</v>
      </c>
      <c r="AW353" s="251">
        <f t="shared" si="28"/>
        <v>-9.2799999999999994</v>
      </c>
      <c r="AX353" s="218">
        <v>0.81</v>
      </c>
      <c r="AY353" s="218">
        <v>0.18</v>
      </c>
      <c r="AZ353" s="218">
        <v>4.5599999999999996</v>
      </c>
      <c r="BL353" s="218">
        <v>9.1999999999999993</v>
      </c>
      <c r="BM353" s="251">
        <f t="shared" si="29"/>
        <v>-9.1999999999999993</v>
      </c>
      <c r="BN353" s="218">
        <v>0.81</v>
      </c>
      <c r="BO353" s="218">
        <v>0.18</v>
      </c>
      <c r="BP353" s="218">
        <v>4.55</v>
      </c>
    </row>
    <row r="354" spans="2:68">
      <c r="B354" s="218">
        <v>9.35</v>
      </c>
      <c r="C354" s="218">
        <f t="shared" si="25"/>
        <v>-9.35</v>
      </c>
      <c r="D354" s="218">
        <v>0.81</v>
      </c>
      <c r="E354" s="218">
        <v>0.18</v>
      </c>
      <c r="F354" s="218">
        <v>4.5599999999999996</v>
      </c>
      <c r="Q354" s="218">
        <v>9.4</v>
      </c>
      <c r="R354" s="251">
        <f t="shared" si="26"/>
        <v>-9.4</v>
      </c>
      <c r="S354" s="218">
        <v>0.81</v>
      </c>
      <c r="T354" s="218">
        <v>0.18</v>
      </c>
      <c r="U354" s="218">
        <v>4.5199999999999996</v>
      </c>
      <c r="AF354" s="218">
        <v>9.32</v>
      </c>
      <c r="AG354" s="251">
        <f t="shared" si="27"/>
        <v>-9.32</v>
      </c>
      <c r="AH354" s="218">
        <v>0.57999999999999996</v>
      </c>
      <c r="AI354" s="218">
        <v>0.18</v>
      </c>
      <c r="AJ354" s="218">
        <v>3.28</v>
      </c>
      <c r="AV354" s="218">
        <v>9.31</v>
      </c>
      <c r="AW354" s="251">
        <f t="shared" si="28"/>
        <v>-9.31</v>
      </c>
      <c r="AX354" s="218">
        <v>0.81</v>
      </c>
      <c r="AY354" s="218">
        <v>0.18</v>
      </c>
      <c r="AZ354" s="218">
        <v>4.5599999999999996</v>
      </c>
      <c r="BL354" s="218">
        <v>9.23</v>
      </c>
      <c r="BM354" s="251">
        <f t="shared" si="29"/>
        <v>-9.23</v>
      </c>
      <c r="BN354" s="218">
        <v>0.81</v>
      </c>
      <c r="BO354" s="218">
        <v>0.18</v>
      </c>
      <c r="BP354" s="218">
        <v>4.55</v>
      </c>
    </row>
    <row r="355" spans="2:68">
      <c r="B355" s="218">
        <v>9.3699999999999992</v>
      </c>
      <c r="C355" s="218">
        <f t="shared" si="25"/>
        <v>-9.3699999999999992</v>
      </c>
      <c r="D355" s="218">
        <v>0.81</v>
      </c>
      <c r="E355" s="218">
        <v>0.18</v>
      </c>
      <c r="F355" s="218">
        <v>4.5599999999999996</v>
      </c>
      <c r="Q355" s="218">
        <v>9.42</v>
      </c>
      <c r="R355" s="251">
        <f t="shared" si="26"/>
        <v>-9.42</v>
      </c>
      <c r="S355" s="218">
        <v>0.81</v>
      </c>
      <c r="T355" s="218">
        <v>0.18</v>
      </c>
      <c r="U355" s="218">
        <v>4.5199999999999996</v>
      </c>
      <c r="AF355" s="218">
        <v>9.34</v>
      </c>
      <c r="AG355" s="251">
        <f t="shared" si="27"/>
        <v>-9.34</v>
      </c>
      <c r="AH355" s="218">
        <v>0.59</v>
      </c>
      <c r="AI355" s="218">
        <v>0.18</v>
      </c>
      <c r="AJ355" s="218">
        <v>3.33</v>
      </c>
      <c r="AV355" s="218">
        <v>9.33</v>
      </c>
      <c r="AW355" s="251">
        <f t="shared" si="28"/>
        <v>-9.33</v>
      </c>
      <c r="AX355" s="218">
        <v>0.81</v>
      </c>
      <c r="AY355" s="218">
        <v>0.18</v>
      </c>
      <c r="AZ355" s="218">
        <v>4.5599999999999996</v>
      </c>
      <c r="BL355" s="218">
        <v>9.25</v>
      </c>
      <c r="BM355" s="251">
        <f t="shared" si="29"/>
        <v>-9.25</v>
      </c>
      <c r="BN355" s="218">
        <v>0.81</v>
      </c>
      <c r="BO355" s="218">
        <v>0.18</v>
      </c>
      <c r="BP355" s="218">
        <v>4.54</v>
      </c>
    </row>
    <row r="356" spans="2:68">
      <c r="B356" s="218">
        <v>9.4</v>
      </c>
      <c r="C356" s="218">
        <f t="shared" si="25"/>
        <v>-9.4</v>
      </c>
      <c r="D356" s="218">
        <v>0.81</v>
      </c>
      <c r="E356" s="218">
        <v>0.18</v>
      </c>
      <c r="F356" s="218">
        <v>4.5599999999999996</v>
      </c>
      <c r="Q356" s="218">
        <v>9.44</v>
      </c>
      <c r="R356" s="251">
        <f t="shared" si="26"/>
        <v>-9.44</v>
      </c>
      <c r="S356" s="218">
        <v>0.81</v>
      </c>
      <c r="T356" s="218">
        <v>0.18</v>
      </c>
      <c r="U356" s="218">
        <v>4.5199999999999996</v>
      </c>
      <c r="AF356" s="218">
        <v>9.3699999999999992</v>
      </c>
      <c r="AG356" s="251">
        <f t="shared" si="27"/>
        <v>-9.3699999999999992</v>
      </c>
      <c r="AH356" s="218">
        <v>0.6</v>
      </c>
      <c r="AI356" s="218">
        <v>0.18</v>
      </c>
      <c r="AJ356" s="218">
        <v>3.39</v>
      </c>
      <c r="AV356" s="218">
        <v>9.36</v>
      </c>
      <c r="AW356" s="251">
        <f t="shared" si="28"/>
        <v>-9.36</v>
      </c>
      <c r="AX356" s="218">
        <v>0.81</v>
      </c>
      <c r="AY356" s="218">
        <v>0.18</v>
      </c>
      <c r="AZ356" s="218">
        <v>4.55</v>
      </c>
      <c r="BL356" s="218">
        <v>9.2799999999999994</v>
      </c>
      <c r="BM356" s="251">
        <f t="shared" si="29"/>
        <v>-9.2799999999999994</v>
      </c>
      <c r="BN356" s="218">
        <v>0.81</v>
      </c>
      <c r="BO356" s="218">
        <v>0.18</v>
      </c>
      <c r="BP356" s="218">
        <v>4.54</v>
      </c>
    </row>
    <row r="357" spans="2:68">
      <c r="B357" s="218">
        <v>9.42</v>
      </c>
      <c r="C357" s="218">
        <f t="shared" si="25"/>
        <v>-9.42</v>
      </c>
      <c r="D357" s="218">
        <v>0.81</v>
      </c>
      <c r="E357" s="218">
        <v>0.18</v>
      </c>
      <c r="F357" s="218">
        <v>4.55</v>
      </c>
      <c r="Q357" s="218">
        <v>9.4700000000000006</v>
      </c>
      <c r="R357" s="251">
        <f t="shared" si="26"/>
        <v>-9.4700000000000006</v>
      </c>
      <c r="S357" s="218">
        <v>0.81</v>
      </c>
      <c r="T357" s="218">
        <v>0.18</v>
      </c>
      <c r="U357" s="218">
        <v>4.5199999999999996</v>
      </c>
      <c r="AF357" s="218">
        <v>9.39</v>
      </c>
      <c r="AG357" s="251">
        <f t="shared" si="27"/>
        <v>-9.39</v>
      </c>
      <c r="AH357" s="218">
        <v>0.61</v>
      </c>
      <c r="AI357" s="218">
        <v>0.18</v>
      </c>
      <c r="AJ357" s="218">
        <v>3.46</v>
      </c>
      <c r="AV357" s="218">
        <v>9.3800000000000008</v>
      </c>
      <c r="AW357" s="251">
        <f t="shared" si="28"/>
        <v>-9.3800000000000008</v>
      </c>
      <c r="AX357" s="218">
        <v>0.81</v>
      </c>
      <c r="AY357" s="218">
        <v>0.18</v>
      </c>
      <c r="AZ357" s="218">
        <v>4.55</v>
      </c>
      <c r="BL357" s="218">
        <v>9.3000000000000007</v>
      </c>
      <c r="BM357" s="251">
        <f t="shared" si="29"/>
        <v>-9.3000000000000007</v>
      </c>
      <c r="BN357" s="218">
        <v>0.81</v>
      </c>
      <c r="BO357" s="218">
        <v>0.18</v>
      </c>
      <c r="BP357" s="218">
        <v>4.54</v>
      </c>
    </row>
    <row r="358" spans="2:68">
      <c r="B358" s="218">
        <v>9.44</v>
      </c>
      <c r="C358" s="218">
        <f t="shared" si="25"/>
        <v>-9.44</v>
      </c>
      <c r="D358" s="218">
        <v>0.81</v>
      </c>
      <c r="E358" s="218">
        <v>0.18</v>
      </c>
      <c r="F358" s="218">
        <v>4.55</v>
      </c>
      <c r="Q358" s="218">
        <v>9.49</v>
      </c>
      <c r="R358" s="251">
        <f t="shared" si="26"/>
        <v>-9.49</v>
      </c>
      <c r="S358" s="218">
        <v>0.81</v>
      </c>
      <c r="T358" s="218">
        <v>0.18</v>
      </c>
      <c r="U358" s="218">
        <v>4.5199999999999996</v>
      </c>
      <c r="AF358" s="218">
        <v>9.41</v>
      </c>
      <c r="AG358" s="251">
        <f t="shared" si="27"/>
        <v>-9.41</v>
      </c>
      <c r="AH358" s="218">
        <v>0.62</v>
      </c>
      <c r="AI358" s="218">
        <v>0.18</v>
      </c>
      <c r="AJ358" s="218">
        <v>3.54</v>
      </c>
      <c r="AV358" s="218">
        <v>9.4</v>
      </c>
      <c r="AW358" s="251">
        <f t="shared" si="28"/>
        <v>-9.4</v>
      </c>
      <c r="AX358" s="218">
        <v>0.81</v>
      </c>
      <c r="AY358" s="218">
        <v>0.18</v>
      </c>
      <c r="AZ358" s="218">
        <v>4.55</v>
      </c>
      <c r="BL358" s="218">
        <v>9.33</v>
      </c>
      <c r="BM358" s="251">
        <f t="shared" si="29"/>
        <v>-9.33</v>
      </c>
      <c r="BN358" s="218">
        <v>0.81</v>
      </c>
      <c r="BO358" s="218">
        <v>0.18</v>
      </c>
      <c r="BP358" s="218">
        <v>4.54</v>
      </c>
    </row>
    <row r="359" spans="2:68">
      <c r="B359" s="218">
        <v>9.4700000000000006</v>
      </c>
      <c r="C359" s="218">
        <f t="shared" si="25"/>
        <v>-9.4700000000000006</v>
      </c>
      <c r="D359" s="218">
        <v>0.81</v>
      </c>
      <c r="E359" s="218">
        <v>0.18</v>
      </c>
      <c r="F359" s="218">
        <v>4.55</v>
      </c>
      <c r="Q359" s="218">
        <v>9.52</v>
      </c>
      <c r="R359" s="251">
        <f t="shared" si="26"/>
        <v>-9.52</v>
      </c>
      <c r="S359" s="218">
        <v>0.81</v>
      </c>
      <c r="T359" s="218">
        <v>0.18</v>
      </c>
      <c r="U359" s="218">
        <v>4.5199999999999996</v>
      </c>
      <c r="AF359" s="218">
        <v>9.44</v>
      </c>
      <c r="AG359" s="251">
        <f t="shared" si="27"/>
        <v>-9.44</v>
      </c>
      <c r="AH359" s="218">
        <v>0.64</v>
      </c>
      <c r="AI359" s="218">
        <v>0.18</v>
      </c>
      <c r="AJ359" s="218">
        <v>3.63</v>
      </c>
      <c r="AV359" s="218">
        <v>9.43</v>
      </c>
      <c r="AW359" s="251">
        <f t="shared" si="28"/>
        <v>-9.43</v>
      </c>
      <c r="AX359" s="218">
        <v>0.81</v>
      </c>
      <c r="AY359" s="218">
        <v>0.18</v>
      </c>
      <c r="AZ359" s="218">
        <v>4.55</v>
      </c>
      <c r="BL359" s="218">
        <v>9.35</v>
      </c>
      <c r="BM359" s="251">
        <f t="shared" si="29"/>
        <v>-9.35</v>
      </c>
      <c r="BN359" s="218">
        <v>0.81</v>
      </c>
      <c r="BO359" s="218">
        <v>0.18</v>
      </c>
      <c r="BP359" s="218">
        <v>4.54</v>
      </c>
    </row>
    <row r="360" spans="2:68">
      <c r="B360" s="218">
        <v>9.49</v>
      </c>
      <c r="C360" s="218">
        <f t="shared" si="25"/>
        <v>-9.49</v>
      </c>
      <c r="D360" s="218">
        <v>0.81</v>
      </c>
      <c r="E360" s="218">
        <v>0.18</v>
      </c>
      <c r="F360" s="218">
        <v>4.55</v>
      </c>
      <c r="Q360" s="218">
        <v>9.5399999999999991</v>
      </c>
      <c r="R360" s="251">
        <f t="shared" si="26"/>
        <v>-9.5399999999999991</v>
      </c>
      <c r="S360" s="218">
        <v>0.81</v>
      </c>
      <c r="T360" s="218">
        <v>0.18</v>
      </c>
      <c r="U360" s="218">
        <v>4.51</v>
      </c>
      <c r="AF360" s="218">
        <v>9.4600000000000009</v>
      </c>
      <c r="AG360" s="251">
        <f t="shared" si="27"/>
        <v>-9.4600000000000009</v>
      </c>
      <c r="AH360" s="218">
        <v>0.66</v>
      </c>
      <c r="AI360" s="218">
        <v>0.18</v>
      </c>
      <c r="AJ360" s="218">
        <v>3.75</v>
      </c>
      <c r="AV360" s="218">
        <v>9.4499999999999993</v>
      </c>
      <c r="AW360" s="251">
        <f t="shared" si="28"/>
        <v>-9.4499999999999993</v>
      </c>
      <c r="AX360" s="218">
        <v>0.81</v>
      </c>
      <c r="AY360" s="218">
        <v>0.18</v>
      </c>
      <c r="AZ360" s="218">
        <v>4.55</v>
      </c>
      <c r="BL360" s="218">
        <v>9.3800000000000008</v>
      </c>
      <c r="BM360" s="251">
        <f t="shared" si="29"/>
        <v>-9.3800000000000008</v>
      </c>
      <c r="BN360" s="218">
        <v>0.81</v>
      </c>
      <c r="BO360" s="218">
        <v>0.18</v>
      </c>
      <c r="BP360" s="218">
        <v>4.54</v>
      </c>
    </row>
    <row r="361" spans="2:68">
      <c r="B361" s="218">
        <v>9.52</v>
      </c>
      <c r="C361" s="218">
        <f t="shared" si="25"/>
        <v>-9.52</v>
      </c>
      <c r="D361" s="218">
        <v>0.81</v>
      </c>
      <c r="E361" s="218">
        <v>0.18</v>
      </c>
      <c r="F361" s="218">
        <v>4.55</v>
      </c>
      <c r="Q361" s="218">
        <v>9.57</v>
      </c>
      <c r="R361" s="251">
        <f t="shared" si="26"/>
        <v>-9.57</v>
      </c>
      <c r="S361" s="218">
        <v>0.81</v>
      </c>
      <c r="T361" s="218">
        <v>0.18</v>
      </c>
      <c r="U361" s="218">
        <v>4.51</v>
      </c>
      <c r="AF361" s="218">
        <v>9.49</v>
      </c>
      <c r="AG361" s="251">
        <f t="shared" si="27"/>
        <v>-9.49</v>
      </c>
      <c r="AH361" s="218">
        <v>0.69</v>
      </c>
      <c r="AI361" s="218">
        <v>0.18</v>
      </c>
      <c r="AJ361" s="218">
        <v>3.91</v>
      </c>
      <c r="AV361" s="218">
        <v>9.48</v>
      </c>
      <c r="AW361" s="251">
        <f t="shared" si="28"/>
        <v>-9.48</v>
      </c>
      <c r="AX361" s="218">
        <v>0.81</v>
      </c>
      <c r="AY361" s="218">
        <v>0.18</v>
      </c>
      <c r="AZ361" s="218">
        <v>4.55</v>
      </c>
      <c r="BL361" s="218">
        <v>9.4</v>
      </c>
      <c r="BM361" s="251">
        <f t="shared" si="29"/>
        <v>-9.4</v>
      </c>
      <c r="BN361" s="218">
        <v>0.81</v>
      </c>
      <c r="BO361" s="218">
        <v>0.18</v>
      </c>
      <c r="BP361" s="218">
        <v>4.53</v>
      </c>
    </row>
    <row r="362" spans="2:68">
      <c r="B362" s="218">
        <v>9.5399999999999991</v>
      </c>
      <c r="C362" s="218">
        <f t="shared" si="25"/>
        <v>-9.5399999999999991</v>
      </c>
      <c r="D362" s="218">
        <v>0.81</v>
      </c>
      <c r="E362" s="218">
        <v>0.18</v>
      </c>
      <c r="F362" s="218">
        <v>4.55</v>
      </c>
      <c r="Q362" s="218">
        <v>9.59</v>
      </c>
      <c r="R362" s="251">
        <f t="shared" si="26"/>
        <v>-9.59</v>
      </c>
      <c r="S362" s="218">
        <v>0.81</v>
      </c>
      <c r="T362" s="218">
        <v>0.18</v>
      </c>
      <c r="U362" s="218">
        <v>4.51</v>
      </c>
      <c r="AF362" s="218">
        <v>9.51</v>
      </c>
      <c r="AG362" s="251">
        <f t="shared" si="27"/>
        <v>-9.51</v>
      </c>
      <c r="AH362" s="218">
        <v>0.74</v>
      </c>
      <c r="AI362" s="218">
        <v>0.18</v>
      </c>
      <c r="AJ362" s="218">
        <v>4.18</v>
      </c>
      <c r="AV362" s="218">
        <v>9.5</v>
      </c>
      <c r="AW362" s="251">
        <f t="shared" si="28"/>
        <v>-9.5</v>
      </c>
      <c r="AX362" s="218">
        <v>0.81</v>
      </c>
      <c r="AY362" s="218">
        <v>0.18</v>
      </c>
      <c r="AZ362" s="218">
        <v>4.55</v>
      </c>
      <c r="BL362" s="218">
        <v>9.42</v>
      </c>
      <c r="BM362" s="251">
        <f t="shared" si="29"/>
        <v>-9.42</v>
      </c>
      <c r="BN362" s="218">
        <v>0.81</v>
      </c>
      <c r="BO362" s="218">
        <v>0.18</v>
      </c>
      <c r="BP362" s="218">
        <v>4.53</v>
      </c>
    </row>
    <row r="363" spans="2:68">
      <c r="B363" s="218">
        <v>9.57</v>
      </c>
      <c r="C363" s="218">
        <f t="shared" si="25"/>
        <v>-9.57</v>
      </c>
      <c r="D363" s="218">
        <v>0.81</v>
      </c>
      <c r="E363" s="218">
        <v>0.18</v>
      </c>
      <c r="F363" s="218">
        <v>4.55</v>
      </c>
      <c r="Q363" s="218">
        <v>9.6199999999999992</v>
      </c>
      <c r="R363" s="251">
        <f t="shared" si="26"/>
        <v>-9.6199999999999992</v>
      </c>
      <c r="S363" s="218">
        <v>0.81</v>
      </c>
      <c r="T363" s="218">
        <v>0.18</v>
      </c>
      <c r="U363" s="218">
        <v>4.51</v>
      </c>
      <c r="AF363" s="218">
        <v>9.5399999999999991</v>
      </c>
      <c r="AG363" s="251">
        <f t="shared" si="27"/>
        <v>-9.5399999999999991</v>
      </c>
      <c r="AH363" s="218">
        <v>0.81</v>
      </c>
      <c r="AI363" s="218">
        <v>0.18</v>
      </c>
      <c r="AJ363" s="218">
        <v>4.6100000000000003</v>
      </c>
      <c r="AV363" s="218">
        <v>9.5299999999999994</v>
      </c>
      <c r="AW363" s="251">
        <f t="shared" si="28"/>
        <v>-9.5299999999999994</v>
      </c>
      <c r="AX363" s="218">
        <v>0.81</v>
      </c>
      <c r="AY363" s="218">
        <v>0.18</v>
      </c>
      <c r="AZ363" s="218">
        <v>4.54</v>
      </c>
      <c r="BL363" s="218">
        <v>9.4499999999999993</v>
      </c>
      <c r="BM363" s="251">
        <f t="shared" si="29"/>
        <v>-9.4499999999999993</v>
      </c>
      <c r="BN363" s="218">
        <v>0.81</v>
      </c>
      <c r="BO363" s="218">
        <v>0.18</v>
      </c>
      <c r="BP363" s="218">
        <v>4.53</v>
      </c>
    </row>
    <row r="364" spans="2:68">
      <c r="B364" s="218">
        <v>9.59</v>
      </c>
      <c r="C364" s="218">
        <f t="shared" si="25"/>
        <v>-9.59</v>
      </c>
      <c r="D364" s="218">
        <v>0.81</v>
      </c>
      <c r="E364" s="218">
        <v>0.18</v>
      </c>
      <c r="F364" s="218">
        <v>4.55</v>
      </c>
      <c r="Q364" s="218">
        <v>9.64</v>
      </c>
      <c r="R364" s="251">
        <f t="shared" si="26"/>
        <v>-9.64</v>
      </c>
      <c r="S364" s="218">
        <v>0.81</v>
      </c>
      <c r="T364" s="218">
        <v>0.18</v>
      </c>
      <c r="U364" s="218">
        <v>4.51</v>
      </c>
      <c r="AF364" s="218">
        <v>9.56</v>
      </c>
      <c r="AG364" s="251">
        <f t="shared" si="27"/>
        <v>-9.56</v>
      </c>
      <c r="AH364" s="218">
        <v>0.81</v>
      </c>
      <c r="AI364" s="218">
        <v>0.18</v>
      </c>
      <c r="AJ364" s="218">
        <v>4.6100000000000003</v>
      </c>
      <c r="AV364" s="218">
        <v>9.5500000000000007</v>
      </c>
      <c r="AW364" s="251">
        <f t="shared" si="28"/>
        <v>-9.5500000000000007</v>
      </c>
      <c r="AX364" s="218">
        <v>0.81</v>
      </c>
      <c r="AY364" s="218">
        <v>0.18</v>
      </c>
      <c r="AZ364" s="218">
        <v>4.54</v>
      </c>
      <c r="BL364" s="218">
        <v>9.4700000000000006</v>
      </c>
      <c r="BM364" s="251">
        <f t="shared" si="29"/>
        <v>-9.4700000000000006</v>
      </c>
      <c r="BN364" s="218">
        <v>0.81</v>
      </c>
      <c r="BO364" s="218">
        <v>0.18</v>
      </c>
      <c r="BP364" s="218">
        <v>4.53</v>
      </c>
    </row>
    <row r="365" spans="2:68">
      <c r="B365" s="218">
        <v>9.6199999999999992</v>
      </c>
      <c r="C365" s="218">
        <f t="shared" si="25"/>
        <v>-9.6199999999999992</v>
      </c>
      <c r="D365" s="218">
        <v>0.81</v>
      </c>
      <c r="E365" s="218">
        <v>0.18</v>
      </c>
      <c r="F365" s="218">
        <v>4.54</v>
      </c>
      <c r="Q365" s="218">
        <v>9.67</v>
      </c>
      <c r="R365" s="251">
        <f t="shared" si="26"/>
        <v>-9.67</v>
      </c>
      <c r="S365" s="218">
        <v>0.81</v>
      </c>
      <c r="T365" s="218">
        <v>0.18</v>
      </c>
      <c r="U365" s="218">
        <v>4.51</v>
      </c>
      <c r="AF365" s="218">
        <v>9.59</v>
      </c>
      <c r="AG365" s="251">
        <f t="shared" si="27"/>
        <v>-9.59</v>
      </c>
      <c r="AH365" s="218">
        <v>0.81</v>
      </c>
      <c r="AI365" s="218">
        <v>0.18</v>
      </c>
      <c r="AJ365" s="218">
        <v>4.5999999999999996</v>
      </c>
      <c r="AV365" s="218">
        <v>9.58</v>
      </c>
      <c r="AW365" s="251">
        <f t="shared" si="28"/>
        <v>-9.58</v>
      </c>
      <c r="AX365" s="218">
        <v>0.81</v>
      </c>
      <c r="AY365" s="218">
        <v>0.18</v>
      </c>
      <c r="AZ365" s="218">
        <v>4.54</v>
      </c>
      <c r="BL365" s="218">
        <v>9.5</v>
      </c>
      <c r="BM365" s="251">
        <f t="shared" si="29"/>
        <v>-9.5</v>
      </c>
      <c r="BN365" s="218">
        <v>0.81</v>
      </c>
      <c r="BO365" s="218">
        <v>0.18</v>
      </c>
      <c r="BP365" s="218">
        <v>4.53</v>
      </c>
    </row>
    <row r="366" spans="2:68">
      <c r="B366" s="218">
        <v>9.64</v>
      </c>
      <c r="C366" s="218">
        <f t="shared" si="25"/>
        <v>-9.64</v>
      </c>
      <c r="D366" s="218">
        <v>0.81</v>
      </c>
      <c r="E366" s="218">
        <v>0.18</v>
      </c>
      <c r="F366" s="218">
        <v>4.54</v>
      </c>
      <c r="Q366" s="218">
        <v>9.69</v>
      </c>
      <c r="R366" s="251">
        <f t="shared" si="26"/>
        <v>-9.69</v>
      </c>
      <c r="S366" s="218">
        <v>0.81</v>
      </c>
      <c r="T366" s="218">
        <v>0.18</v>
      </c>
      <c r="U366" s="218">
        <v>4.51</v>
      </c>
      <c r="AF366" s="218">
        <v>9.61</v>
      </c>
      <c r="AG366" s="251">
        <f t="shared" si="27"/>
        <v>-9.61</v>
      </c>
      <c r="AH366" s="218">
        <v>0.81</v>
      </c>
      <c r="AI366" s="218">
        <v>0.18</v>
      </c>
      <c r="AJ366" s="218">
        <v>4.5999999999999996</v>
      </c>
      <c r="AV366" s="218">
        <v>9.6</v>
      </c>
      <c r="AW366" s="251">
        <f t="shared" si="28"/>
        <v>-9.6</v>
      </c>
      <c r="AX366" s="218">
        <v>0.81</v>
      </c>
      <c r="AY366" s="218">
        <v>0.18</v>
      </c>
      <c r="AZ366" s="218">
        <v>4.54</v>
      </c>
      <c r="BL366" s="218">
        <v>9.52</v>
      </c>
      <c r="BM366" s="251">
        <f t="shared" si="29"/>
        <v>-9.52</v>
      </c>
      <c r="BN366" s="218">
        <v>0.81</v>
      </c>
      <c r="BO366" s="218">
        <v>0.18</v>
      </c>
      <c r="BP366" s="218">
        <v>4.53</v>
      </c>
    </row>
    <row r="367" spans="2:68">
      <c r="B367" s="218">
        <v>9.67</v>
      </c>
      <c r="C367" s="218">
        <f t="shared" si="25"/>
        <v>-9.67</v>
      </c>
      <c r="D367" s="218">
        <v>0.81</v>
      </c>
      <c r="E367" s="218">
        <v>0.18</v>
      </c>
      <c r="F367" s="218">
        <v>4.54</v>
      </c>
      <c r="Q367" s="218">
        <v>9.7200000000000006</v>
      </c>
      <c r="R367" s="251">
        <f t="shared" si="26"/>
        <v>-9.7200000000000006</v>
      </c>
      <c r="S367" s="218">
        <v>0.81</v>
      </c>
      <c r="T367" s="218">
        <v>0.18</v>
      </c>
      <c r="U367" s="218">
        <v>4.51</v>
      </c>
      <c r="AF367" s="218">
        <v>9.64</v>
      </c>
      <c r="AG367" s="251">
        <f t="shared" si="27"/>
        <v>-9.64</v>
      </c>
      <c r="AH367" s="218">
        <v>0.81</v>
      </c>
      <c r="AI367" s="218">
        <v>0.18</v>
      </c>
      <c r="AJ367" s="218">
        <v>4.5999999999999996</v>
      </c>
      <c r="AV367" s="218">
        <v>9.6300000000000008</v>
      </c>
      <c r="AW367" s="251">
        <f t="shared" si="28"/>
        <v>-9.6300000000000008</v>
      </c>
      <c r="AX367" s="218">
        <v>0.81</v>
      </c>
      <c r="AY367" s="218">
        <v>0.18</v>
      </c>
      <c r="AZ367" s="218">
        <v>4.54</v>
      </c>
      <c r="BL367" s="218">
        <v>9.5500000000000007</v>
      </c>
      <c r="BM367" s="251">
        <f t="shared" si="29"/>
        <v>-9.5500000000000007</v>
      </c>
      <c r="BN367" s="218">
        <v>0.81</v>
      </c>
      <c r="BO367" s="218">
        <v>0.18</v>
      </c>
      <c r="BP367" s="218">
        <v>4.53</v>
      </c>
    </row>
    <row r="368" spans="2:68">
      <c r="B368" s="218">
        <v>9.69</v>
      </c>
      <c r="C368" s="218">
        <f t="shared" si="25"/>
        <v>-9.69</v>
      </c>
      <c r="D368" s="218">
        <v>0.81</v>
      </c>
      <c r="E368" s="218">
        <v>0.18</v>
      </c>
      <c r="F368" s="218">
        <v>4.54</v>
      </c>
      <c r="Q368" s="218">
        <v>9.74</v>
      </c>
      <c r="R368" s="251">
        <f t="shared" si="26"/>
        <v>-9.74</v>
      </c>
      <c r="S368" s="218">
        <v>0.81</v>
      </c>
      <c r="T368" s="218">
        <v>0.18</v>
      </c>
      <c r="U368" s="218">
        <v>4.51</v>
      </c>
      <c r="AF368" s="218">
        <v>9.66</v>
      </c>
      <c r="AG368" s="251">
        <f t="shared" si="27"/>
        <v>-9.66</v>
      </c>
      <c r="AH368" s="218">
        <v>0.81</v>
      </c>
      <c r="AI368" s="218">
        <v>0.18</v>
      </c>
      <c r="AJ368" s="218">
        <v>4.5999999999999996</v>
      </c>
      <c r="AV368" s="218">
        <v>9.65</v>
      </c>
      <c r="AW368" s="251">
        <f t="shared" si="28"/>
        <v>-9.65</v>
      </c>
      <c r="AX368" s="218">
        <v>0.81</v>
      </c>
      <c r="AY368" s="218">
        <v>0.18</v>
      </c>
      <c r="AZ368" s="218">
        <v>4.54</v>
      </c>
      <c r="BL368" s="218">
        <v>9.57</v>
      </c>
      <c r="BM368" s="251">
        <f t="shared" si="29"/>
        <v>-9.57</v>
      </c>
      <c r="BN368" s="218">
        <v>0.81</v>
      </c>
      <c r="BO368" s="218">
        <v>0.18</v>
      </c>
      <c r="BP368" s="218">
        <v>4.53</v>
      </c>
    </row>
    <row r="369" spans="2:68">
      <c r="B369" s="218">
        <v>9.7200000000000006</v>
      </c>
      <c r="C369" s="218">
        <f t="shared" si="25"/>
        <v>-9.7200000000000006</v>
      </c>
      <c r="D369" s="218">
        <v>0.81</v>
      </c>
      <c r="E369" s="218">
        <v>0.18</v>
      </c>
      <c r="F369" s="218">
        <v>4.54</v>
      </c>
      <c r="Q369" s="218">
        <v>9.77</v>
      </c>
      <c r="R369" s="251">
        <f t="shared" si="26"/>
        <v>-9.77</v>
      </c>
      <c r="S369" s="218">
        <v>0.81</v>
      </c>
      <c r="T369" s="218">
        <v>0.18</v>
      </c>
      <c r="U369" s="218">
        <v>4.5</v>
      </c>
      <c r="AF369" s="218">
        <v>9.69</v>
      </c>
      <c r="AG369" s="251">
        <f t="shared" si="27"/>
        <v>-9.69</v>
      </c>
      <c r="AH369" s="218">
        <v>0.81</v>
      </c>
      <c r="AI369" s="218">
        <v>0.18</v>
      </c>
      <c r="AJ369" s="218">
        <v>4.5999999999999996</v>
      </c>
      <c r="AV369" s="218">
        <v>9.68</v>
      </c>
      <c r="AW369" s="251">
        <f t="shared" si="28"/>
        <v>-9.68</v>
      </c>
      <c r="AX369" s="218">
        <v>0.81</v>
      </c>
      <c r="AY369" s="218">
        <v>0.18</v>
      </c>
      <c r="AZ369" s="218">
        <v>4.54</v>
      </c>
      <c r="BL369" s="218">
        <v>9.6</v>
      </c>
      <c r="BM369" s="251">
        <f t="shared" si="29"/>
        <v>-9.6</v>
      </c>
      <c r="BN369" s="218">
        <v>0.81</v>
      </c>
      <c r="BO369" s="218">
        <v>0.18</v>
      </c>
      <c r="BP369" s="218">
        <v>4.5199999999999996</v>
      </c>
    </row>
    <row r="370" spans="2:68">
      <c r="B370" s="218">
        <v>9.74</v>
      </c>
      <c r="C370" s="218">
        <f t="shared" si="25"/>
        <v>-9.74</v>
      </c>
      <c r="D370" s="218">
        <v>0.81</v>
      </c>
      <c r="E370" s="218">
        <v>0.18</v>
      </c>
      <c r="F370" s="218">
        <v>4.54</v>
      </c>
      <c r="Q370" s="218">
        <v>9.7899999999999991</v>
      </c>
      <c r="R370" s="251">
        <f t="shared" si="26"/>
        <v>-9.7899999999999991</v>
      </c>
      <c r="S370" s="218">
        <v>0.81</v>
      </c>
      <c r="T370" s="218">
        <v>0.18</v>
      </c>
      <c r="U370" s="218">
        <v>4.5</v>
      </c>
      <c r="AF370" s="218">
        <v>9.7100000000000009</v>
      </c>
      <c r="AG370" s="251">
        <f t="shared" si="27"/>
        <v>-9.7100000000000009</v>
      </c>
      <c r="AH370" s="218">
        <v>0.81</v>
      </c>
      <c r="AI370" s="218">
        <v>0.18</v>
      </c>
      <c r="AJ370" s="218">
        <v>4.5999999999999996</v>
      </c>
      <c r="AV370" s="218">
        <v>9.6999999999999993</v>
      </c>
      <c r="AW370" s="251">
        <f t="shared" si="28"/>
        <v>-9.6999999999999993</v>
      </c>
      <c r="AX370" s="218">
        <v>0.81</v>
      </c>
      <c r="AY370" s="218">
        <v>0.18</v>
      </c>
      <c r="AZ370" s="218">
        <v>4.54</v>
      </c>
      <c r="BL370" s="218">
        <v>9.6199999999999992</v>
      </c>
      <c r="BM370" s="251">
        <f t="shared" si="29"/>
        <v>-9.6199999999999992</v>
      </c>
      <c r="BN370" s="218">
        <v>0.81</v>
      </c>
      <c r="BO370" s="218">
        <v>0.18</v>
      </c>
      <c r="BP370" s="218">
        <v>4.5199999999999996</v>
      </c>
    </row>
    <row r="371" spans="2:68">
      <c r="B371" s="218">
        <v>9.77</v>
      </c>
      <c r="C371" s="218">
        <f t="shared" si="25"/>
        <v>-9.77</v>
      </c>
      <c r="D371" s="218">
        <v>0.81</v>
      </c>
      <c r="E371" s="218">
        <v>0.18</v>
      </c>
      <c r="F371" s="218">
        <v>4.54</v>
      </c>
      <c r="Q371" s="218">
        <v>9.82</v>
      </c>
      <c r="R371" s="251">
        <f t="shared" si="26"/>
        <v>-9.82</v>
      </c>
      <c r="S371" s="218">
        <v>0.81</v>
      </c>
      <c r="T371" s="218">
        <v>0.18</v>
      </c>
      <c r="U371" s="218">
        <v>4.5</v>
      </c>
      <c r="AF371" s="218">
        <v>9.74</v>
      </c>
      <c r="AG371" s="251">
        <f t="shared" si="27"/>
        <v>-9.74</v>
      </c>
      <c r="AH371" s="218">
        <v>0.81</v>
      </c>
      <c r="AI371" s="218">
        <v>0.18</v>
      </c>
      <c r="AJ371" s="218">
        <v>4.5999999999999996</v>
      </c>
      <c r="AV371" s="218">
        <v>9.73</v>
      </c>
      <c r="AW371" s="251">
        <f t="shared" si="28"/>
        <v>-9.73</v>
      </c>
      <c r="AX371" s="218">
        <v>0.81</v>
      </c>
      <c r="AY371" s="218">
        <v>0.18</v>
      </c>
      <c r="AZ371" s="218">
        <v>4.53</v>
      </c>
      <c r="BL371" s="218">
        <v>9.65</v>
      </c>
      <c r="BM371" s="251">
        <f t="shared" si="29"/>
        <v>-9.65</v>
      </c>
      <c r="BN371" s="218">
        <v>0.81</v>
      </c>
      <c r="BO371" s="218">
        <v>0.18</v>
      </c>
      <c r="BP371" s="218">
        <v>4.5199999999999996</v>
      </c>
    </row>
    <row r="372" spans="2:68">
      <c r="B372" s="218">
        <v>9.7899999999999991</v>
      </c>
      <c r="C372" s="218">
        <f t="shared" si="25"/>
        <v>-9.7899999999999991</v>
      </c>
      <c r="D372" s="218">
        <v>0.81</v>
      </c>
      <c r="E372" s="218">
        <v>0.18</v>
      </c>
      <c r="F372" s="218">
        <v>4.54</v>
      </c>
      <c r="Q372" s="218">
        <v>9.84</v>
      </c>
      <c r="R372" s="251">
        <f t="shared" si="26"/>
        <v>-9.84</v>
      </c>
      <c r="S372" s="218">
        <v>0.81</v>
      </c>
      <c r="T372" s="218">
        <v>0.18</v>
      </c>
      <c r="U372" s="218">
        <v>4.5</v>
      </c>
      <c r="AF372" s="218">
        <v>9.76</v>
      </c>
      <c r="AG372" s="251">
        <f t="shared" si="27"/>
        <v>-9.76</v>
      </c>
      <c r="AH372" s="218">
        <v>0.81</v>
      </c>
      <c r="AI372" s="218">
        <v>0.18</v>
      </c>
      <c r="AJ372" s="218">
        <v>4.59</v>
      </c>
      <c r="AV372" s="218">
        <v>9.75</v>
      </c>
      <c r="AW372" s="251">
        <f t="shared" si="28"/>
        <v>-9.75</v>
      </c>
      <c r="AX372" s="218">
        <v>0.81</v>
      </c>
      <c r="AY372" s="218">
        <v>0.18</v>
      </c>
      <c r="AZ372" s="218">
        <v>4.53</v>
      </c>
      <c r="BL372" s="218">
        <v>9.67</v>
      </c>
      <c r="BM372" s="251">
        <f t="shared" si="29"/>
        <v>-9.67</v>
      </c>
      <c r="BN372" s="218">
        <v>0.81</v>
      </c>
      <c r="BO372" s="218">
        <v>0.18</v>
      </c>
      <c r="BP372" s="218">
        <v>4.5199999999999996</v>
      </c>
    </row>
    <row r="373" spans="2:68">
      <c r="B373" s="218">
        <v>9.82</v>
      </c>
      <c r="C373" s="218">
        <f t="shared" si="25"/>
        <v>-9.82</v>
      </c>
      <c r="D373" s="218">
        <v>0.81</v>
      </c>
      <c r="E373" s="218">
        <v>0.18</v>
      </c>
      <c r="F373" s="218">
        <v>4.54</v>
      </c>
      <c r="Q373" s="218">
        <v>9.8699999999999992</v>
      </c>
      <c r="R373" s="251">
        <f t="shared" si="26"/>
        <v>-9.8699999999999992</v>
      </c>
      <c r="S373" s="218">
        <v>0.81</v>
      </c>
      <c r="T373" s="218">
        <v>0.18</v>
      </c>
      <c r="U373" s="218">
        <v>4.5</v>
      </c>
      <c r="AF373" s="218">
        <v>9.7899999999999991</v>
      </c>
      <c r="AG373" s="251">
        <f t="shared" si="27"/>
        <v>-9.7899999999999991</v>
      </c>
      <c r="AH373" s="218">
        <v>0.81</v>
      </c>
      <c r="AI373" s="218">
        <v>0.18</v>
      </c>
      <c r="AJ373" s="218">
        <v>4.59</v>
      </c>
      <c r="AV373" s="218">
        <v>9.7799999999999994</v>
      </c>
      <c r="AW373" s="251">
        <f t="shared" si="28"/>
        <v>-9.7799999999999994</v>
      </c>
      <c r="AX373" s="218">
        <v>0.81</v>
      </c>
      <c r="AY373" s="218">
        <v>0.18</v>
      </c>
      <c r="AZ373" s="218">
        <v>4.53</v>
      </c>
      <c r="BL373" s="218">
        <v>9.6999999999999993</v>
      </c>
      <c r="BM373" s="251">
        <f t="shared" si="29"/>
        <v>-9.6999999999999993</v>
      </c>
      <c r="BN373" s="218">
        <v>0.81</v>
      </c>
      <c r="BO373" s="218">
        <v>0.18</v>
      </c>
      <c r="BP373" s="218">
        <v>4.5199999999999996</v>
      </c>
    </row>
    <row r="374" spans="2:68">
      <c r="B374" s="218">
        <v>9.84</v>
      </c>
      <c r="C374" s="218">
        <f t="shared" si="25"/>
        <v>-9.84</v>
      </c>
      <c r="D374" s="218">
        <v>0.81</v>
      </c>
      <c r="E374" s="218">
        <v>0.18</v>
      </c>
      <c r="F374" s="218">
        <v>4.53</v>
      </c>
      <c r="Q374" s="218">
        <v>9.89</v>
      </c>
      <c r="R374" s="251">
        <f t="shared" si="26"/>
        <v>-9.89</v>
      </c>
      <c r="S374" s="218">
        <v>0.81</v>
      </c>
      <c r="T374" s="218">
        <v>0.18</v>
      </c>
      <c r="U374" s="218">
        <v>4.5</v>
      </c>
      <c r="AF374" s="218">
        <v>9.81</v>
      </c>
      <c r="AG374" s="251">
        <f t="shared" si="27"/>
        <v>-9.81</v>
      </c>
      <c r="AH374" s="218">
        <v>0.81</v>
      </c>
      <c r="AI374" s="218">
        <v>0.18</v>
      </c>
      <c r="AJ374" s="218">
        <v>4.59</v>
      </c>
      <c r="AV374" s="218">
        <v>9.8000000000000007</v>
      </c>
      <c r="AW374" s="251">
        <f t="shared" si="28"/>
        <v>-9.8000000000000007</v>
      </c>
      <c r="AX374" s="218">
        <v>0.81</v>
      </c>
      <c r="AY374" s="218">
        <v>0.18</v>
      </c>
      <c r="AZ374" s="218">
        <v>4.53</v>
      </c>
      <c r="BL374" s="218">
        <v>9.7200000000000006</v>
      </c>
      <c r="BM374" s="251">
        <f t="shared" si="29"/>
        <v>-9.7200000000000006</v>
      </c>
      <c r="BN374" s="218">
        <v>0.81</v>
      </c>
      <c r="BO374" s="218">
        <v>0.18</v>
      </c>
      <c r="BP374" s="218">
        <v>4.5199999999999996</v>
      </c>
    </row>
    <row r="375" spans="2:68">
      <c r="B375" s="218">
        <v>9.8699999999999992</v>
      </c>
      <c r="C375" s="218">
        <f t="shared" si="25"/>
        <v>-9.8699999999999992</v>
      </c>
      <c r="D375" s="218">
        <v>0.81</v>
      </c>
      <c r="E375" s="218">
        <v>0.18</v>
      </c>
      <c r="F375" s="218">
        <v>4.53</v>
      </c>
      <c r="Q375" s="218">
        <v>9.92</v>
      </c>
      <c r="R375" s="251">
        <f t="shared" si="26"/>
        <v>-9.92</v>
      </c>
      <c r="S375" s="218">
        <v>0.81</v>
      </c>
      <c r="T375" s="218">
        <v>0.18</v>
      </c>
      <c r="U375" s="218">
        <v>4.5</v>
      </c>
      <c r="AF375" s="218">
        <v>9.84</v>
      </c>
      <c r="AG375" s="251">
        <f t="shared" si="27"/>
        <v>-9.84</v>
      </c>
      <c r="AH375" s="218">
        <v>0.81</v>
      </c>
      <c r="AI375" s="218">
        <v>0.18</v>
      </c>
      <c r="AJ375" s="218">
        <v>4.59</v>
      </c>
      <c r="AV375" s="218">
        <v>9.83</v>
      </c>
      <c r="AW375" s="251">
        <f t="shared" si="28"/>
        <v>-9.83</v>
      </c>
      <c r="AX375" s="218">
        <v>0.81</v>
      </c>
      <c r="AY375" s="218">
        <v>0.18</v>
      </c>
      <c r="AZ375" s="218">
        <v>4.53</v>
      </c>
      <c r="BL375" s="218">
        <v>9.75</v>
      </c>
      <c r="BM375" s="251">
        <f t="shared" si="29"/>
        <v>-9.75</v>
      </c>
      <c r="BN375" s="218">
        <v>0.81</v>
      </c>
      <c r="BO375" s="218">
        <v>0.18</v>
      </c>
      <c r="BP375" s="218">
        <v>4.5199999999999996</v>
      </c>
    </row>
    <row r="376" spans="2:68">
      <c r="B376" s="218">
        <v>9.89</v>
      </c>
      <c r="C376" s="218">
        <f t="shared" si="25"/>
        <v>-9.89</v>
      </c>
      <c r="D376" s="218">
        <v>0.81</v>
      </c>
      <c r="E376" s="218">
        <v>0.18</v>
      </c>
      <c r="F376" s="218">
        <v>4.53</v>
      </c>
      <c r="Q376" s="218">
        <v>9.94</v>
      </c>
      <c r="R376" s="251">
        <f t="shared" si="26"/>
        <v>-9.94</v>
      </c>
      <c r="S376" s="218">
        <v>0.81</v>
      </c>
      <c r="T376" s="218">
        <v>0.18</v>
      </c>
      <c r="U376" s="218">
        <v>4.5</v>
      </c>
      <c r="AF376" s="218">
        <v>9.86</v>
      </c>
      <c r="AG376" s="251">
        <f t="shared" si="27"/>
        <v>-9.86</v>
      </c>
      <c r="AH376" s="218">
        <v>0.81</v>
      </c>
      <c r="AI376" s="218">
        <v>0.18</v>
      </c>
      <c r="AJ376" s="218">
        <v>4.59</v>
      </c>
      <c r="AV376" s="218">
        <v>9.85</v>
      </c>
      <c r="AW376" s="251">
        <f t="shared" si="28"/>
        <v>-9.85</v>
      </c>
      <c r="AX376" s="218">
        <v>0.81</v>
      </c>
      <c r="AY376" s="218">
        <v>0.18</v>
      </c>
      <c r="AZ376" s="218">
        <v>4.53</v>
      </c>
      <c r="BL376" s="218">
        <v>9.77</v>
      </c>
      <c r="BM376" s="251">
        <f t="shared" si="29"/>
        <v>-9.77</v>
      </c>
      <c r="BN376" s="218">
        <v>0.81</v>
      </c>
      <c r="BO376" s="218">
        <v>0.18</v>
      </c>
      <c r="BP376" s="218">
        <v>4.5199999999999996</v>
      </c>
    </row>
    <row r="377" spans="2:68">
      <c r="B377" s="218">
        <v>9.92</v>
      </c>
      <c r="C377" s="218">
        <f t="shared" si="25"/>
        <v>-9.92</v>
      </c>
      <c r="D377" s="218">
        <v>0.81</v>
      </c>
      <c r="E377" s="218">
        <v>0.18</v>
      </c>
      <c r="F377" s="218">
        <v>4.53</v>
      </c>
      <c r="Q377" s="218">
        <v>9.9700000000000006</v>
      </c>
      <c r="R377" s="251">
        <f t="shared" si="26"/>
        <v>-9.9700000000000006</v>
      </c>
      <c r="S377" s="218">
        <v>0.81</v>
      </c>
      <c r="T377" s="218">
        <v>0.18</v>
      </c>
      <c r="U377" s="218">
        <v>4.5</v>
      </c>
      <c r="AF377" s="218">
        <v>9.89</v>
      </c>
      <c r="AG377" s="251">
        <f t="shared" si="27"/>
        <v>-9.89</v>
      </c>
      <c r="AH377" s="218">
        <v>0.81</v>
      </c>
      <c r="AI377" s="218">
        <v>0.18</v>
      </c>
      <c r="AJ377" s="218">
        <v>4.59</v>
      </c>
      <c r="AV377" s="218">
        <v>9.8800000000000008</v>
      </c>
      <c r="AW377" s="251">
        <f t="shared" si="28"/>
        <v>-9.8800000000000008</v>
      </c>
      <c r="AX377" s="218">
        <v>0.81</v>
      </c>
      <c r="AY377" s="218">
        <v>0.18</v>
      </c>
      <c r="AZ377" s="218">
        <v>4.53</v>
      </c>
      <c r="BL377" s="218">
        <v>9.8000000000000007</v>
      </c>
      <c r="BM377" s="251">
        <f t="shared" si="29"/>
        <v>-9.8000000000000007</v>
      </c>
      <c r="BN377" s="218">
        <v>0.81</v>
      </c>
      <c r="BO377" s="218">
        <v>0.18</v>
      </c>
      <c r="BP377" s="218">
        <v>4.51</v>
      </c>
    </row>
    <row r="378" spans="2:68">
      <c r="B378" s="218">
        <v>9.94</v>
      </c>
      <c r="C378" s="218">
        <f t="shared" si="25"/>
        <v>-9.94</v>
      </c>
      <c r="D378" s="218">
        <v>0.81</v>
      </c>
      <c r="E378" s="218">
        <v>0.18</v>
      </c>
      <c r="F378" s="218">
        <v>4.53</v>
      </c>
      <c r="Q378" s="218">
        <v>9.99</v>
      </c>
      <c r="R378" s="251">
        <f t="shared" si="26"/>
        <v>-9.99</v>
      </c>
      <c r="S378" s="218">
        <v>0.81</v>
      </c>
      <c r="T378" s="218">
        <v>0.18</v>
      </c>
      <c r="U378" s="218">
        <v>4.5</v>
      </c>
      <c r="AF378" s="218">
        <v>9.91</v>
      </c>
      <c r="AG378" s="251">
        <f t="shared" si="27"/>
        <v>-9.91</v>
      </c>
      <c r="AH378" s="218">
        <v>0.81</v>
      </c>
      <c r="AI378" s="218">
        <v>0.18</v>
      </c>
      <c r="AJ378" s="218">
        <v>4.59</v>
      </c>
      <c r="AV378" s="218">
        <v>9.9</v>
      </c>
      <c r="AW378" s="251">
        <f t="shared" si="28"/>
        <v>-9.9</v>
      </c>
      <c r="AX378" s="218">
        <v>0.81</v>
      </c>
      <c r="AY378" s="218">
        <v>0.18</v>
      </c>
      <c r="AZ378" s="218">
        <v>4.53</v>
      </c>
      <c r="BL378" s="218">
        <v>9.82</v>
      </c>
      <c r="BM378" s="251">
        <f t="shared" si="29"/>
        <v>-9.82</v>
      </c>
      <c r="BN378" s="218">
        <v>0.81</v>
      </c>
      <c r="BO378" s="218">
        <v>0.18</v>
      </c>
      <c r="BP378" s="218">
        <v>4.51</v>
      </c>
    </row>
    <row r="379" spans="2:68">
      <c r="B379" s="218">
        <v>9.9700000000000006</v>
      </c>
      <c r="C379" s="218">
        <f t="shared" si="25"/>
        <v>-9.9700000000000006</v>
      </c>
      <c r="D379" s="218">
        <v>0.81</v>
      </c>
      <c r="E379" s="218">
        <v>0.18</v>
      </c>
      <c r="F379" s="218">
        <v>4.53</v>
      </c>
      <c r="Q379" s="218">
        <v>10.02</v>
      </c>
      <c r="R379" s="251">
        <f t="shared" si="26"/>
        <v>-10.02</v>
      </c>
      <c r="S379" s="218">
        <v>0.81</v>
      </c>
      <c r="T379" s="218">
        <v>0.18</v>
      </c>
      <c r="U379" s="218">
        <v>4.5</v>
      </c>
      <c r="AF379" s="218">
        <v>9.94</v>
      </c>
      <c r="AG379" s="251">
        <f t="shared" si="27"/>
        <v>-9.94</v>
      </c>
      <c r="AH379" s="218">
        <v>0.81</v>
      </c>
      <c r="AI379" s="218">
        <v>0.18</v>
      </c>
      <c r="AJ379" s="218">
        <v>4.58</v>
      </c>
      <c r="AV379" s="218">
        <v>9.93</v>
      </c>
      <c r="AW379" s="251">
        <f t="shared" si="28"/>
        <v>-9.93</v>
      </c>
      <c r="AX379" s="218">
        <v>0.81</v>
      </c>
      <c r="AY379" s="218">
        <v>0.18</v>
      </c>
      <c r="AZ379" s="218">
        <v>4.53</v>
      </c>
      <c r="BL379" s="218">
        <v>9.85</v>
      </c>
      <c r="BM379" s="251">
        <f t="shared" si="29"/>
        <v>-9.85</v>
      </c>
      <c r="BN379" s="218">
        <v>0.81</v>
      </c>
      <c r="BO379" s="218">
        <v>0.18</v>
      </c>
      <c r="BP379" s="218">
        <v>4.51</v>
      </c>
    </row>
    <row r="380" spans="2:68">
      <c r="B380" s="218">
        <v>9.99</v>
      </c>
      <c r="C380" s="218">
        <f t="shared" si="25"/>
        <v>-9.99</v>
      </c>
      <c r="D380" s="218">
        <v>0.81</v>
      </c>
      <c r="E380" s="218">
        <v>0.18</v>
      </c>
      <c r="F380" s="218">
        <v>4.53</v>
      </c>
      <c r="Q380" s="218">
        <v>10.039999999999999</v>
      </c>
      <c r="R380" s="251">
        <f t="shared" si="26"/>
        <v>-10.039999999999999</v>
      </c>
      <c r="S380" s="218">
        <v>0.81</v>
      </c>
      <c r="T380" s="218">
        <v>0.18</v>
      </c>
      <c r="U380" s="218">
        <v>4.49</v>
      </c>
      <c r="AF380" s="218">
        <v>9.9600000000000009</v>
      </c>
      <c r="AG380" s="251">
        <f t="shared" si="27"/>
        <v>-9.9600000000000009</v>
      </c>
      <c r="AH380" s="218">
        <v>0.81</v>
      </c>
      <c r="AI380" s="218">
        <v>0.18</v>
      </c>
      <c r="AJ380" s="218">
        <v>4.58</v>
      </c>
      <c r="AV380" s="218">
        <v>9.9499999999999993</v>
      </c>
      <c r="AW380" s="251">
        <f t="shared" si="28"/>
        <v>-9.9499999999999993</v>
      </c>
      <c r="AX380" s="218">
        <v>0.81</v>
      </c>
      <c r="AY380" s="218">
        <v>0.18</v>
      </c>
      <c r="AZ380" s="218">
        <v>4.53</v>
      </c>
      <c r="BL380" s="218">
        <v>9.8699999999999992</v>
      </c>
      <c r="BM380" s="251">
        <f t="shared" si="29"/>
        <v>-9.8699999999999992</v>
      </c>
      <c r="BN380" s="218">
        <v>0.81</v>
      </c>
      <c r="BO380" s="218">
        <v>0.18</v>
      </c>
      <c r="BP380" s="218">
        <v>4.51</v>
      </c>
    </row>
    <row r="381" spans="2:68">
      <c r="B381" s="218">
        <v>10.02</v>
      </c>
      <c r="C381" s="218">
        <f t="shared" si="25"/>
        <v>-10.02</v>
      </c>
      <c r="D381" s="218">
        <v>0.81</v>
      </c>
      <c r="E381" s="218">
        <v>0.18</v>
      </c>
      <c r="F381" s="218">
        <v>4.53</v>
      </c>
      <c r="Q381" s="218">
        <v>10.07</v>
      </c>
      <c r="R381" s="251">
        <f t="shared" si="26"/>
        <v>-10.07</v>
      </c>
      <c r="S381" s="218">
        <v>0.81</v>
      </c>
      <c r="T381" s="218">
        <v>0.18</v>
      </c>
      <c r="U381" s="218">
        <v>4.49</v>
      </c>
      <c r="AF381" s="218">
        <v>9.99</v>
      </c>
      <c r="AG381" s="251">
        <f t="shared" si="27"/>
        <v>-9.99</v>
      </c>
      <c r="AH381" s="218">
        <v>0.81</v>
      </c>
      <c r="AI381" s="218">
        <v>0.18</v>
      </c>
      <c r="AJ381" s="218">
        <v>4.58</v>
      </c>
      <c r="AV381" s="218">
        <v>9.98</v>
      </c>
      <c r="AW381" s="251">
        <f t="shared" si="28"/>
        <v>-9.98</v>
      </c>
      <c r="AX381" s="218">
        <v>0.81</v>
      </c>
      <c r="AY381" s="218">
        <v>0.18</v>
      </c>
      <c r="AZ381" s="218">
        <v>4.53</v>
      </c>
      <c r="BL381" s="218">
        <v>9.9</v>
      </c>
      <c r="BM381" s="251">
        <f t="shared" si="29"/>
        <v>-9.9</v>
      </c>
      <c r="BN381" s="218">
        <v>0.81</v>
      </c>
      <c r="BO381" s="218">
        <v>0.18</v>
      </c>
      <c r="BP381" s="218">
        <v>4.51</v>
      </c>
    </row>
    <row r="382" spans="2:68">
      <c r="B382" s="218">
        <v>10.039999999999999</v>
      </c>
      <c r="C382" s="218">
        <f t="shared" si="25"/>
        <v>-10.039999999999999</v>
      </c>
      <c r="D382" s="218">
        <v>0.81</v>
      </c>
      <c r="E382" s="218">
        <v>0.18</v>
      </c>
      <c r="F382" s="218">
        <v>4.53</v>
      </c>
      <c r="Q382" s="218">
        <v>10.09</v>
      </c>
      <c r="R382" s="251">
        <f t="shared" si="26"/>
        <v>-10.09</v>
      </c>
      <c r="S382" s="218">
        <v>0.81</v>
      </c>
      <c r="T382" s="218">
        <v>0.18</v>
      </c>
      <c r="U382" s="218">
        <v>4.49</v>
      </c>
      <c r="AF382" s="218">
        <v>10.01</v>
      </c>
      <c r="AG382" s="251">
        <f t="shared" si="27"/>
        <v>-10.01</v>
      </c>
      <c r="AH382" s="218">
        <v>0.81</v>
      </c>
      <c r="AI382" s="218">
        <v>0.18</v>
      </c>
      <c r="AJ382" s="218">
        <v>4.58</v>
      </c>
      <c r="AV382" s="218">
        <v>10</v>
      </c>
      <c r="AW382" s="251">
        <f t="shared" si="28"/>
        <v>-10</v>
      </c>
      <c r="AX382" s="218">
        <v>0.81</v>
      </c>
      <c r="AY382" s="218">
        <v>0.18</v>
      </c>
      <c r="AZ382" s="218">
        <v>4.5199999999999996</v>
      </c>
      <c r="BL382" s="218">
        <v>9.92</v>
      </c>
      <c r="BM382" s="251">
        <f t="shared" si="29"/>
        <v>-9.92</v>
      </c>
      <c r="BN382" s="218">
        <v>0.81</v>
      </c>
      <c r="BO382" s="218">
        <v>0.18</v>
      </c>
      <c r="BP382" s="218">
        <v>4.51</v>
      </c>
    </row>
    <row r="383" spans="2:68">
      <c r="B383" s="218">
        <v>10.07</v>
      </c>
      <c r="C383" s="218">
        <f t="shared" si="25"/>
        <v>-10.07</v>
      </c>
      <c r="D383" s="218">
        <v>0.81</v>
      </c>
      <c r="E383" s="218">
        <v>0.18</v>
      </c>
      <c r="F383" s="218">
        <v>4.53</v>
      </c>
      <c r="Q383" s="218">
        <v>10.119999999999999</v>
      </c>
      <c r="R383" s="251">
        <f t="shared" si="26"/>
        <v>-10.119999999999999</v>
      </c>
      <c r="S383" s="218">
        <v>0.81</v>
      </c>
      <c r="T383" s="218">
        <v>0.18</v>
      </c>
      <c r="U383" s="218">
        <v>4.49</v>
      </c>
      <c r="AF383" s="218">
        <v>10.039999999999999</v>
      </c>
      <c r="AG383" s="251">
        <f t="shared" si="27"/>
        <v>-10.039999999999999</v>
      </c>
      <c r="AH383" s="218">
        <v>0.81</v>
      </c>
      <c r="AI383" s="218">
        <v>0.18</v>
      </c>
      <c r="AJ383" s="218">
        <v>4.58</v>
      </c>
      <c r="AV383" s="218">
        <v>10.029999999999999</v>
      </c>
      <c r="AW383" s="251">
        <f t="shared" si="28"/>
        <v>-10.029999999999999</v>
      </c>
      <c r="AX383" s="218">
        <v>0.81</v>
      </c>
      <c r="AY383" s="218">
        <v>0.18</v>
      </c>
      <c r="AZ383" s="218">
        <v>4.5199999999999996</v>
      </c>
      <c r="BL383" s="218">
        <v>9.9499999999999993</v>
      </c>
      <c r="BM383" s="251">
        <f t="shared" si="29"/>
        <v>-9.9499999999999993</v>
      </c>
      <c r="BN383" s="218">
        <v>0.81</v>
      </c>
      <c r="BO383" s="218">
        <v>0.18</v>
      </c>
      <c r="BP383" s="218">
        <v>4.51</v>
      </c>
    </row>
    <row r="384" spans="2:68">
      <c r="B384" s="218">
        <v>10.09</v>
      </c>
      <c r="C384" s="218">
        <f t="shared" si="25"/>
        <v>-10.09</v>
      </c>
      <c r="D384" s="218">
        <v>0.79</v>
      </c>
      <c r="E384" s="218">
        <v>0.18</v>
      </c>
      <c r="F384" s="218">
        <v>4.38</v>
      </c>
      <c r="Q384" s="218">
        <v>10.14</v>
      </c>
      <c r="R384" s="251">
        <f t="shared" si="26"/>
        <v>-10.14</v>
      </c>
      <c r="S384" s="218">
        <v>0.81</v>
      </c>
      <c r="T384" s="218">
        <v>0.18</v>
      </c>
      <c r="U384" s="218">
        <v>4.49</v>
      </c>
      <c r="AF384" s="218">
        <v>10.06</v>
      </c>
      <c r="AG384" s="251">
        <f t="shared" si="27"/>
        <v>-10.06</v>
      </c>
      <c r="AH384" s="218">
        <v>0.81</v>
      </c>
      <c r="AI384" s="218">
        <v>0.18</v>
      </c>
      <c r="AJ384" s="218">
        <v>4.58</v>
      </c>
      <c r="AV384" s="218">
        <v>10.050000000000001</v>
      </c>
      <c r="AW384" s="251">
        <f t="shared" si="28"/>
        <v>-10.050000000000001</v>
      </c>
      <c r="AX384" s="218">
        <v>0.81</v>
      </c>
      <c r="AY384" s="218">
        <v>0.18</v>
      </c>
      <c r="AZ384" s="218">
        <v>4.5199999999999996</v>
      </c>
      <c r="BL384" s="218">
        <v>9.9700000000000006</v>
      </c>
      <c r="BM384" s="251">
        <f t="shared" si="29"/>
        <v>-9.9700000000000006</v>
      </c>
      <c r="BN384" s="218">
        <v>0.81</v>
      </c>
      <c r="BO384" s="218">
        <v>0.18</v>
      </c>
      <c r="BP384" s="218">
        <v>4.51</v>
      </c>
    </row>
    <row r="385" spans="2:68">
      <c r="B385" s="218">
        <v>10.119999999999999</v>
      </c>
      <c r="C385" s="218">
        <f t="shared" si="25"/>
        <v>-10.119999999999999</v>
      </c>
      <c r="D385" s="218">
        <v>0.76</v>
      </c>
      <c r="E385" s="218">
        <v>0.18</v>
      </c>
      <c r="F385" s="218">
        <v>4.25</v>
      </c>
      <c r="Q385" s="218">
        <v>10.17</v>
      </c>
      <c r="R385" s="251">
        <f t="shared" si="26"/>
        <v>-10.17</v>
      </c>
      <c r="S385" s="218">
        <v>0.81</v>
      </c>
      <c r="T385" s="218">
        <v>0.18</v>
      </c>
      <c r="U385" s="218">
        <v>4.49</v>
      </c>
      <c r="AF385" s="218">
        <v>10.09</v>
      </c>
      <c r="AG385" s="251">
        <f t="shared" si="27"/>
        <v>-10.09</v>
      </c>
      <c r="AH385" s="218">
        <v>0.81</v>
      </c>
      <c r="AI385" s="218">
        <v>0.18</v>
      </c>
      <c r="AJ385" s="218">
        <v>4.58</v>
      </c>
      <c r="AV385" s="218">
        <v>10.08</v>
      </c>
      <c r="AW385" s="251">
        <f t="shared" si="28"/>
        <v>-10.08</v>
      </c>
      <c r="AX385" s="218">
        <v>0.81</v>
      </c>
      <c r="AY385" s="218">
        <v>0.18</v>
      </c>
      <c r="AZ385" s="218">
        <v>4.5199999999999996</v>
      </c>
      <c r="BL385" s="218">
        <v>10</v>
      </c>
      <c r="BM385" s="251">
        <f t="shared" si="29"/>
        <v>-10</v>
      </c>
      <c r="BN385" s="218">
        <v>0.81</v>
      </c>
      <c r="BO385" s="218">
        <v>0.18</v>
      </c>
      <c r="BP385" s="218">
        <v>4.51</v>
      </c>
    </row>
    <row r="386" spans="2:68">
      <c r="B386" s="218">
        <v>10.14</v>
      </c>
      <c r="C386" s="218">
        <f t="shared" si="25"/>
        <v>-10.14</v>
      </c>
      <c r="D386" s="218">
        <v>0.81</v>
      </c>
      <c r="E386" s="218">
        <v>0.18</v>
      </c>
      <c r="F386" s="218">
        <v>4.5199999999999996</v>
      </c>
      <c r="Q386" s="218">
        <v>10.19</v>
      </c>
      <c r="R386" s="251">
        <f t="shared" si="26"/>
        <v>-10.19</v>
      </c>
      <c r="S386" s="218">
        <v>0.81</v>
      </c>
      <c r="T386" s="218">
        <v>0.18</v>
      </c>
      <c r="U386" s="218">
        <v>4.49</v>
      </c>
      <c r="AF386" s="218">
        <v>10.11</v>
      </c>
      <c r="AG386" s="251">
        <f t="shared" si="27"/>
        <v>-10.11</v>
      </c>
      <c r="AH386" s="218">
        <v>0.81</v>
      </c>
      <c r="AI386" s="218">
        <v>0.18</v>
      </c>
      <c r="AJ386" s="218">
        <v>4.58</v>
      </c>
      <c r="AV386" s="218">
        <v>10.1</v>
      </c>
      <c r="AW386" s="251">
        <f t="shared" si="28"/>
        <v>-10.1</v>
      </c>
      <c r="AX386" s="218">
        <v>0.81</v>
      </c>
      <c r="AY386" s="218">
        <v>0.18</v>
      </c>
      <c r="AZ386" s="218">
        <v>4.5199999999999996</v>
      </c>
      <c r="BL386" s="218">
        <v>10.02</v>
      </c>
      <c r="BM386" s="251">
        <f t="shared" si="29"/>
        <v>-10.02</v>
      </c>
      <c r="BN386" s="218">
        <v>0.81</v>
      </c>
      <c r="BO386" s="218">
        <v>0.18</v>
      </c>
      <c r="BP386" s="218">
        <v>4.51</v>
      </c>
    </row>
    <row r="387" spans="2:68">
      <c r="B387" s="218">
        <v>10.17</v>
      </c>
      <c r="C387" s="218">
        <f t="shared" si="25"/>
        <v>-10.17</v>
      </c>
      <c r="D387" s="218">
        <v>0.81</v>
      </c>
      <c r="E387" s="218">
        <v>0.18</v>
      </c>
      <c r="F387" s="218">
        <v>4.5199999999999996</v>
      </c>
      <c r="Q387" s="218">
        <v>10.220000000000001</v>
      </c>
      <c r="R387" s="251">
        <f t="shared" si="26"/>
        <v>-10.220000000000001</v>
      </c>
      <c r="S387" s="218">
        <v>0.81</v>
      </c>
      <c r="T387" s="218">
        <v>0.18</v>
      </c>
      <c r="U387" s="218">
        <v>4.49</v>
      </c>
      <c r="AF387" s="218">
        <v>10.14</v>
      </c>
      <c r="AG387" s="251">
        <f t="shared" si="27"/>
        <v>-10.14</v>
      </c>
      <c r="AH387" s="218">
        <v>0.81</v>
      </c>
      <c r="AI387" s="218">
        <v>0.18</v>
      </c>
      <c r="AJ387" s="218">
        <v>4.58</v>
      </c>
      <c r="AV387" s="218">
        <v>10.130000000000001</v>
      </c>
      <c r="AW387" s="251">
        <f t="shared" si="28"/>
        <v>-10.130000000000001</v>
      </c>
      <c r="AX387" s="218">
        <v>0.81</v>
      </c>
      <c r="AY387" s="218">
        <v>0.18</v>
      </c>
      <c r="AZ387" s="218">
        <v>4.5199999999999996</v>
      </c>
      <c r="BL387" s="218">
        <v>10.050000000000001</v>
      </c>
      <c r="BM387" s="251">
        <f t="shared" si="29"/>
        <v>-10.050000000000001</v>
      </c>
      <c r="BN387" s="218">
        <v>0.81</v>
      </c>
      <c r="BO387" s="218">
        <v>0.18</v>
      </c>
      <c r="BP387" s="218">
        <v>4.51</v>
      </c>
    </row>
    <row r="388" spans="2:68">
      <c r="B388" s="218">
        <v>10.19</v>
      </c>
      <c r="C388" s="218">
        <f t="shared" si="25"/>
        <v>-10.19</v>
      </c>
      <c r="D388" s="218">
        <v>0.81</v>
      </c>
      <c r="E388" s="218">
        <v>0.18</v>
      </c>
      <c r="F388" s="218">
        <v>4.5199999999999996</v>
      </c>
      <c r="Q388" s="218">
        <v>10.24</v>
      </c>
      <c r="R388" s="251">
        <f t="shared" si="26"/>
        <v>-10.24</v>
      </c>
      <c r="S388" s="218">
        <v>0.81</v>
      </c>
      <c r="T388" s="218">
        <v>0.18</v>
      </c>
      <c r="U388" s="218">
        <v>4.49</v>
      </c>
      <c r="AF388" s="218">
        <v>10.16</v>
      </c>
      <c r="AG388" s="251">
        <f t="shared" si="27"/>
        <v>-10.16</v>
      </c>
      <c r="AH388" s="218">
        <v>0.81</v>
      </c>
      <c r="AI388" s="218">
        <v>0.18</v>
      </c>
      <c r="AJ388" s="218">
        <v>4.57</v>
      </c>
      <c r="AV388" s="218">
        <v>10.15</v>
      </c>
      <c r="AW388" s="251">
        <f t="shared" si="28"/>
        <v>-10.15</v>
      </c>
      <c r="AX388" s="218">
        <v>0.81</v>
      </c>
      <c r="AY388" s="218">
        <v>0.18</v>
      </c>
      <c r="AZ388" s="218">
        <v>4.5199999999999996</v>
      </c>
      <c r="BL388" s="218">
        <v>10.07</v>
      </c>
      <c r="BM388" s="251">
        <f t="shared" si="29"/>
        <v>-10.07</v>
      </c>
      <c r="BN388" s="218">
        <v>0.81</v>
      </c>
      <c r="BO388" s="218">
        <v>0.18</v>
      </c>
      <c r="BP388" s="218">
        <v>4.5</v>
      </c>
    </row>
    <row r="389" spans="2:68">
      <c r="B389" s="218">
        <v>10.220000000000001</v>
      </c>
      <c r="C389" s="218">
        <f t="shared" si="25"/>
        <v>-10.220000000000001</v>
      </c>
      <c r="D389" s="218">
        <v>0.81</v>
      </c>
      <c r="E389" s="218">
        <v>0.18</v>
      </c>
      <c r="F389" s="218">
        <v>4.5199999999999996</v>
      </c>
      <c r="Q389" s="218">
        <v>10.27</v>
      </c>
      <c r="R389" s="251">
        <f t="shared" si="26"/>
        <v>-10.27</v>
      </c>
      <c r="S389" s="218">
        <v>0.81</v>
      </c>
      <c r="T389" s="218">
        <v>0.18</v>
      </c>
      <c r="U389" s="218">
        <v>4.49</v>
      </c>
      <c r="AF389" s="218">
        <v>10.19</v>
      </c>
      <c r="AG389" s="251">
        <f t="shared" si="27"/>
        <v>-10.19</v>
      </c>
      <c r="AH389" s="218">
        <v>0.81</v>
      </c>
      <c r="AI389" s="218">
        <v>0.18</v>
      </c>
      <c r="AJ389" s="218">
        <v>4.57</v>
      </c>
      <c r="AV389" s="218">
        <v>10.18</v>
      </c>
      <c r="AW389" s="251">
        <f t="shared" si="28"/>
        <v>-10.18</v>
      </c>
      <c r="AX389" s="218">
        <v>0.81</v>
      </c>
      <c r="AY389" s="218">
        <v>0.18</v>
      </c>
      <c r="AZ389" s="218">
        <v>4.5199999999999996</v>
      </c>
      <c r="BL389" s="218">
        <v>10.1</v>
      </c>
      <c r="BM389" s="251">
        <f t="shared" si="29"/>
        <v>-10.1</v>
      </c>
      <c r="BN389" s="218">
        <v>0.81</v>
      </c>
      <c r="BO389" s="218">
        <v>0.18</v>
      </c>
      <c r="BP389" s="218">
        <v>4.5</v>
      </c>
    </row>
    <row r="390" spans="2:68">
      <c r="B390" s="218">
        <v>10.24</v>
      </c>
      <c r="C390" s="218">
        <f t="shared" ref="C390:C453" si="30">$F$2-B390</f>
        <v>-10.24</v>
      </c>
      <c r="D390" s="218">
        <v>0.81</v>
      </c>
      <c r="E390" s="218">
        <v>0.18</v>
      </c>
      <c r="F390" s="218">
        <v>4.5199999999999996</v>
      </c>
      <c r="Q390" s="218">
        <v>10.29</v>
      </c>
      <c r="R390" s="251">
        <f t="shared" ref="R390:R453" si="31">$U$2-Q390</f>
        <v>-10.29</v>
      </c>
      <c r="S390" s="218">
        <v>0.81</v>
      </c>
      <c r="T390" s="218">
        <v>0.18</v>
      </c>
      <c r="U390" s="218">
        <v>4.49</v>
      </c>
      <c r="AF390" s="218">
        <v>10.210000000000001</v>
      </c>
      <c r="AG390" s="251">
        <f t="shared" ref="AG390:AG453" si="32">$AJ$2-AF390</f>
        <v>-10.210000000000001</v>
      </c>
      <c r="AH390" s="218">
        <v>0.81</v>
      </c>
      <c r="AI390" s="218">
        <v>0.18</v>
      </c>
      <c r="AJ390" s="218">
        <v>4.57</v>
      </c>
      <c r="AV390" s="218">
        <v>10.199999999999999</v>
      </c>
      <c r="AW390" s="251">
        <f t="shared" ref="AW390:AW453" si="33">$AZ$2-AV390</f>
        <v>-10.199999999999999</v>
      </c>
      <c r="AX390" s="218">
        <v>0.81</v>
      </c>
      <c r="AY390" s="218">
        <v>0.18</v>
      </c>
      <c r="AZ390" s="218">
        <v>4.5199999999999996</v>
      </c>
      <c r="BL390" s="218">
        <v>10.119999999999999</v>
      </c>
      <c r="BM390" s="251">
        <f t="shared" ref="BM390:BM453" si="34">$AZ$2-BL390</f>
        <v>-10.119999999999999</v>
      </c>
      <c r="BN390" s="218">
        <v>0.81</v>
      </c>
      <c r="BO390" s="218">
        <v>0.18</v>
      </c>
      <c r="BP390" s="218">
        <v>4.5</v>
      </c>
    </row>
    <row r="391" spans="2:68">
      <c r="B391" s="218">
        <v>10.27</v>
      </c>
      <c r="C391" s="218">
        <f t="shared" si="30"/>
        <v>-10.27</v>
      </c>
      <c r="D391" s="218">
        <v>0.81</v>
      </c>
      <c r="E391" s="218">
        <v>0.18</v>
      </c>
      <c r="F391" s="218">
        <v>4.5199999999999996</v>
      </c>
      <c r="Q391" s="218">
        <v>10.32</v>
      </c>
      <c r="R391" s="251">
        <f t="shared" si="31"/>
        <v>-10.32</v>
      </c>
      <c r="S391" s="218">
        <v>0.81</v>
      </c>
      <c r="T391" s="218">
        <v>0.18</v>
      </c>
      <c r="U391" s="218">
        <v>4.49</v>
      </c>
      <c r="AF391" s="218">
        <v>10.24</v>
      </c>
      <c r="AG391" s="251">
        <f t="shared" si="32"/>
        <v>-10.24</v>
      </c>
      <c r="AH391" s="218">
        <v>0.81</v>
      </c>
      <c r="AI391" s="218">
        <v>0.18</v>
      </c>
      <c r="AJ391" s="218">
        <v>4.57</v>
      </c>
      <c r="AV391" s="218">
        <v>10.23</v>
      </c>
      <c r="AW391" s="251">
        <f t="shared" si="33"/>
        <v>-10.23</v>
      </c>
      <c r="AX391" s="218">
        <v>0.81</v>
      </c>
      <c r="AY391" s="218">
        <v>0.18</v>
      </c>
      <c r="AZ391" s="218">
        <v>4.5199999999999996</v>
      </c>
      <c r="BL391" s="218">
        <v>10.15</v>
      </c>
      <c r="BM391" s="251">
        <f t="shared" si="34"/>
        <v>-10.15</v>
      </c>
      <c r="BN391" s="218">
        <v>0.81</v>
      </c>
      <c r="BO391" s="218">
        <v>0.18</v>
      </c>
      <c r="BP391" s="218">
        <v>4.5</v>
      </c>
    </row>
    <row r="392" spans="2:68">
      <c r="B392" s="218">
        <v>10.29</v>
      </c>
      <c r="C392" s="218">
        <f t="shared" si="30"/>
        <v>-10.29</v>
      </c>
      <c r="D392" s="218">
        <v>0.81</v>
      </c>
      <c r="E392" s="218">
        <v>0.18</v>
      </c>
      <c r="F392" s="218">
        <v>4.5199999999999996</v>
      </c>
      <c r="Q392" s="218">
        <v>10.34</v>
      </c>
      <c r="R392" s="251">
        <f t="shared" si="31"/>
        <v>-10.34</v>
      </c>
      <c r="S392" s="218">
        <v>0.81</v>
      </c>
      <c r="T392" s="218">
        <v>0.18</v>
      </c>
      <c r="U392" s="218">
        <v>4.49</v>
      </c>
      <c r="AF392" s="218">
        <v>10.26</v>
      </c>
      <c r="AG392" s="251">
        <f t="shared" si="32"/>
        <v>-10.26</v>
      </c>
      <c r="AH392" s="218">
        <v>0.81</v>
      </c>
      <c r="AI392" s="218">
        <v>0.18</v>
      </c>
      <c r="AJ392" s="218">
        <v>4.57</v>
      </c>
      <c r="AV392" s="218">
        <v>10.25</v>
      </c>
      <c r="AW392" s="251">
        <f t="shared" si="33"/>
        <v>-10.25</v>
      </c>
      <c r="AX392" s="218">
        <v>0.81</v>
      </c>
      <c r="AY392" s="218">
        <v>0.18</v>
      </c>
      <c r="AZ392" s="218">
        <v>4.5199999999999996</v>
      </c>
      <c r="BL392" s="218">
        <v>10.17</v>
      </c>
      <c r="BM392" s="251">
        <f t="shared" si="34"/>
        <v>-10.17</v>
      </c>
      <c r="BN392" s="218">
        <v>0.81</v>
      </c>
      <c r="BO392" s="218">
        <v>0.18</v>
      </c>
      <c r="BP392" s="218">
        <v>4.5</v>
      </c>
    </row>
    <row r="393" spans="2:68">
      <c r="B393" s="218">
        <v>10.32</v>
      </c>
      <c r="C393" s="218">
        <f t="shared" si="30"/>
        <v>-10.32</v>
      </c>
      <c r="D393" s="218">
        <v>0.81</v>
      </c>
      <c r="E393" s="218">
        <v>0.18</v>
      </c>
      <c r="F393" s="218">
        <v>4.5199999999999996</v>
      </c>
      <c r="Q393" s="218">
        <v>10.37</v>
      </c>
      <c r="R393" s="251">
        <f t="shared" si="31"/>
        <v>-10.37</v>
      </c>
      <c r="S393" s="218">
        <v>0.81</v>
      </c>
      <c r="T393" s="218">
        <v>0.18</v>
      </c>
      <c r="U393" s="218">
        <v>4.49</v>
      </c>
      <c r="AF393" s="218">
        <v>10.29</v>
      </c>
      <c r="AG393" s="251">
        <f t="shared" si="32"/>
        <v>-10.29</v>
      </c>
      <c r="AH393" s="218">
        <v>0.81</v>
      </c>
      <c r="AI393" s="218">
        <v>0.18</v>
      </c>
      <c r="AJ393" s="218">
        <v>4.57</v>
      </c>
      <c r="AV393" s="218">
        <v>10.28</v>
      </c>
      <c r="AW393" s="251">
        <f t="shared" si="33"/>
        <v>-10.28</v>
      </c>
      <c r="AX393" s="218">
        <v>0.81</v>
      </c>
      <c r="AY393" s="218">
        <v>0.18</v>
      </c>
      <c r="AZ393" s="218">
        <v>4.5199999999999996</v>
      </c>
      <c r="BL393" s="218">
        <v>10.199999999999999</v>
      </c>
      <c r="BM393" s="251">
        <f t="shared" si="34"/>
        <v>-10.199999999999999</v>
      </c>
      <c r="BN393" s="218">
        <v>0.81</v>
      </c>
      <c r="BO393" s="218">
        <v>0.18</v>
      </c>
      <c r="BP393" s="218">
        <v>4.5</v>
      </c>
    </row>
    <row r="394" spans="2:68">
      <c r="B394" s="218">
        <v>10.34</v>
      </c>
      <c r="C394" s="218">
        <f t="shared" si="30"/>
        <v>-10.34</v>
      </c>
      <c r="D394" s="218">
        <v>0.81</v>
      </c>
      <c r="E394" s="218">
        <v>0.18</v>
      </c>
      <c r="F394" s="218">
        <v>4.5199999999999996</v>
      </c>
      <c r="Q394" s="218">
        <v>10.39</v>
      </c>
      <c r="R394" s="251">
        <f t="shared" si="31"/>
        <v>-10.39</v>
      </c>
      <c r="S394" s="218">
        <v>0.81</v>
      </c>
      <c r="T394" s="218">
        <v>0.18</v>
      </c>
      <c r="U394" s="218">
        <v>4.49</v>
      </c>
      <c r="AF394" s="218">
        <v>10.31</v>
      </c>
      <c r="AG394" s="251">
        <f t="shared" si="32"/>
        <v>-10.31</v>
      </c>
      <c r="AH394" s="218">
        <v>0.81</v>
      </c>
      <c r="AI394" s="218">
        <v>0.18</v>
      </c>
      <c r="AJ394" s="218">
        <v>4.57</v>
      </c>
      <c r="AV394" s="218">
        <v>10.3</v>
      </c>
      <c r="AW394" s="251">
        <f t="shared" si="33"/>
        <v>-10.3</v>
      </c>
      <c r="AX394" s="218">
        <v>0.81</v>
      </c>
      <c r="AY394" s="218">
        <v>0.18</v>
      </c>
      <c r="AZ394" s="218">
        <v>4.5199999999999996</v>
      </c>
      <c r="BL394" s="218">
        <v>10.220000000000001</v>
      </c>
      <c r="BM394" s="251">
        <f t="shared" si="34"/>
        <v>-10.220000000000001</v>
      </c>
      <c r="BN394" s="218">
        <v>0.81</v>
      </c>
      <c r="BO394" s="218">
        <v>0.18</v>
      </c>
      <c r="BP394" s="218">
        <v>4.5</v>
      </c>
    </row>
    <row r="395" spans="2:68">
      <c r="B395" s="218">
        <v>10.37</v>
      </c>
      <c r="C395" s="218">
        <f t="shared" si="30"/>
        <v>-10.37</v>
      </c>
      <c r="D395" s="218">
        <v>0.81</v>
      </c>
      <c r="E395" s="218">
        <v>0.18</v>
      </c>
      <c r="F395" s="218">
        <v>4.5199999999999996</v>
      </c>
      <c r="Q395" s="218">
        <v>10.42</v>
      </c>
      <c r="R395" s="251">
        <f t="shared" si="31"/>
        <v>-10.42</v>
      </c>
      <c r="S395" s="218">
        <v>0.81</v>
      </c>
      <c r="T395" s="218">
        <v>0.18</v>
      </c>
      <c r="U395" s="218">
        <v>4.49</v>
      </c>
      <c r="AF395" s="218">
        <v>10.34</v>
      </c>
      <c r="AG395" s="251">
        <f t="shared" si="32"/>
        <v>-10.34</v>
      </c>
      <c r="AH395" s="218">
        <v>0.81</v>
      </c>
      <c r="AI395" s="218">
        <v>0.18</v>
      </c>
      <c r="AJ395" s="218">
        <v>4.57</v>
      </c>
      <c r="AV395" s="218">
        <v>10.33</v>
      </c>
      <c r="AW395" s="251">
        <f t="shared" si="33"/>
        <v>-10.33</v>
      </c>
      <c r="AX395" s="218">
        <v>0.81</v>
      </c>
      <c r="AY395" s="218">
        <v>0.18</v>
      </c>
      <c r="AZ395" s="218">
        <v>4.51</v>
      </c>
      <c r="BL395" s="218">
        <v>10.25</v>
      </c>
      <c r="BM395" s="251">
        <f t="shared" si="34"/>
        <v>-10.25</v>
      </c>
      <c r="BN395" s="218">
        <v>0.81</v>
      </c>
      <c r="BO395" s="218">
        <v>0.18</v>
      </c>
      <c r="BP395" s="218">
        <v>4.5</v>
      </c>
    </row>
    <row r="396" spans="2:68">
      <c r="B396" s="218">
        <v>10.39</v>
      </c>
      <c r="C396" s="218">
        <f t="shared" si="30"/>
        <v>-10.39</v>
      </c>
      <c r="D396" s="218">
        <v>0.81</v>
      </c>
      <c r="E396" s="218">
        <v>0.18</v>
      </c>
      <c r="F396" s="218">
        <v>4.5199999999999996</v>
      </c>
      <c r="Q396" s="218">
        <v>10.44</v>
      </c>
      <c r="R396" s="251">
        <f t="shared" si="31"/>
        <v>-10.44</v>
      </c>
      <c r="S396" s="218">
        <v>0.81</v>
      </c>
      <c r="T396" s="218">
        <v>0.18</v>
      </c>
      <c r="U396" s="218">
        <v>4.4800000000000004</v>
      </c>
      <c r="AF396" s="218">
        <v>10.36</v>
      </c>
      <c r="AG396" s="251">
        <f t="shared" si="32"/>
        <v>-10.36</v>
      </c>
      <c r="AH396" s="218">
        <v>0.81</v>
      </c>
      <c r="AI396" s="218">
        <v>0.18</v>
      </c>
      <c r="AJ396" s="218">
        <v>4.57</v>
      </c>
      <c r="AV396" s="218">
        <v>10.35</v>
      </c>
      <c r="AW396" s="251">
        <f t="shared" si="33"/>
        <v>-10.35</v>
      </c>
      <c r="AX396" s="218">
        <v>0.81</v>
      </c>
      <c r="AY396" s="218">
        <v>0.18</v>
      </c>
      <c r="AZ396" s="218">
        <v>4.51</v>
      </c>
      <c r="BL396" s="218">
        <v>10.27</v>
      </c>
      <c r="BM396" s="251">
        <f t="shared" si="34"/>
        <v>-10.27</v>
      </c>
      <c r="BN396" s="218">
        <v>0.81</v>
      </c>
      <c r="BO396" s="218">
        <v>0.18</v>
      </c>
      <c r="BP396" s="218">
        <v>4.5</v>
      </c>
    </row>
    <row r="397" spans="2:68">
      <c r="B397" s="218">
        <v>10.42</v>
      </c>
      <c r="C397" s="218">
        <f t="shared" si="30"/>
        <v>-10.42</v>
      </c>
      <c r="D397" s="218">
        <v>0.81</v>
      </c>
      <c r="E397" s="218">
        <v>0.18</v>
      </c>
      <c r="F397" s="218">
        <v>4.5199999999999996</v>
      </c>
      <c r="Q397" s="218">
        <v>10.47</v>
      </c>
      <c r="R397" s="251">
        <f t="shared" si="31"/>
        <v>-10.47</v>
      </c>
      <c r="S397" s="218">
        <v>0.81</v>
      </c>
      <c r="T397" s="218">
        <v>0.18</v>
      </c>
      <c r="U397" s="218">
        <v>4.4800000000000004</v>
      </c>
      <c r="AF397" s="218">
        <v>10.39</v>
      </c>
      <c r="AG397" s="251">
        <f t="shared" si="32"/>
        <v>-10.39</v>
      </c>
      <c r="AH397" s="218">
        <v>0.81</v>
      </c>
      <c r="AI397" s="218">
        <v>0.18</v>
      </c>
      <c r="AJ397" s="218">
        <v>4.57</v>
      </c>
      <c r="AV397" s="218">
        <v>10.38</v>
      </c>
      <c r="AW397" s="251">
        <f t="shared" si="33"/>
        <v>-10.38</v>
      </c>
      <c r="AX397" s="218">
        <v>0.81</v>
      </c>
      <c r="AY397" s="218">
        <v>0.18</v>
      </c>
      <c r="AZ397" s="218">
        <v>4.51</v>
      </c>
      <c r="BL397" s="218">
        <v>10.3</v>
      </c>
      <c r="BM397" s="251">
        <f t="shared" si="34"/>
        <v>-10.3</v>
      </c>
      <c r="BN397" s="218">
        <v>0.81</v>
      </c>
      <c r="BO397" s="218">
        <v>0.18</v>
      </c>
      <c r="BP397" s="218">
        <v>4.5</v>
      </c>
    </row>
    <row r="398" spans="2:68">
      <c r="B398" s="218">
        <v>10.44</v>
      </c>
      <c r="C398" s="218">
        <f t="shared" si="30"/>
        <v>-10.44</v>
      </c>
      <c r="D398" s="218">
        <v>0.81</v>
      </c>
      <c r="E398" s="218">
        <v>0.18</v>
      </c>
      <c r="F398" s="218">
        <v>4.5199999999999996</v>
      </c>
      <c r="Q398" s="218">
        <v>10.49</v>
      </c>
      <c r="R398" s="251">
        <f t="shared" si="31"/>
        <v>-10.49</v>
      </c>
      <c r="S398" s="218">
        <v>0.81</v>
      </c>
      <c r="T398" s="218">
        <v>0.18</v>
      </c>
      <c r="U398" s="218">
        <v>4.4800000000000004</v>
      </c>
      <c r="AF398" s="218">
        <v>10.41</v>
      </c>
      <c r="AG398" s="251">
        <f t="shared" si="32"/>
        <v>-10.41</v>
      </c>
      <c r="AH398" s="218">
        <v>0.81</v>
      </c>
      <c r="AI398" s="218">
        <v>0.18</v>
      </c>
      <c r="AJ398" s="218">
        <v>4.57</v>
      </c>
      <c r="AV398" s="218">
        <v>10.4</v>
      </c>
      <c r="AW398" s="251">
        <f t="shared" si="33"/>
        <v>-10.4</v>
      </c>
      <c r="AX398" s="218">
        <v>0.81</v>
      </c>
      <c r="AY398" s="218">
        <v>0.18</v>
      </c>
      <c r="AZ398" s="218">
        <v>4.51</v>
      </c>
      <c r="BL398" s="218">
        <v>10.32</v>
      </c>
      <c r="BM398" s="251">
        <f t="shared" si="34"/>
        <v>-10.32</v>
      </c>
      <c r="BN398" s="218">
        <v>0.81</v>
      </c>
      <c r="BO398" s="218">
        <v>0.18</v>
      </c>
      <c r="BP398" s="218">
        <v>4.5</v>
      </c>
    </row>
    <row r="399" spans="2:68">
      <c r="B399" s="218">
        <v>10.47</v>
      </c>
      <c r="C399" s="218">
        <f t="shared" si="30"/>
        <v>-10.47</v>
      </c>
      <c r="D399" s="218">
        <v>0.81</v>
      </c>
      <c r="E399" s="218">
        <v>0.18</v>
      </c>
      <c r="F399" s="218">
        <v>4.5199999999999996</v>
      </c>
      <c r="Q399" s="218">
        <v>10.52</v>
      </c>
      <c r="R399" s="251">
        <f t="shared" si="31"/>
        <v>-10.52</v>
      </c>
      <c r="S399" s="218">
        <v>0.81</v>
      </c>
      <c r="T399" s="218">
        <v>0.18</v>
      </c>
      <c r="U399" s="218">
        <v>4.4800000000000004</v>
      </c>
      <c r="AF399" s="218">
        <v>10.44</v>
      </c>
      <c r="AG399" s="251">
        <f t="shared" si="32"/>
        <v>-10.44</v>
      </c>
      <c r="AH399" s="218">
        <v>0.81</v>
      </c>
      <c r="AI399" s="218">
        <v>0.18</v>
      </c>
      <c r="AJ399" s="218">
        <v>4.5599999999999996</v>
      </c>
      <c r="AV399" s="218">
        <v>10.43</v>
      </c>
      <c r="AW399" s="251">
        <f t="shared" si="33"/>
        <v>-10.43</v>
      </c>
      <c r="AX399" s="218">
        <v>0.81</v>
      </c>
      <c r="AY399" s="218">
        <v>0.18</v>
      </c>
      <c r="AZ399" s="218">
        <v>4.51</v>
      </c>
      <c r="BL399" s="218">
        <v>10.35</v>
      </c>
      <c r="BM399" s="251">
        <f t="shared" si="34"/>
        <v>-10.35</v>
      </c>
      <c r="BN399" s="218">
        <v>0.81</v>
      </c>
      <c r="BO399" s="218">
        <v>0.18</v>
      </c>
      <c r="BP399" s="218">
        <v>4.5</v>
      </c>
    </row>
    <row r="400" spans="2:68">
      <c r="B400" s="218">
        <v>10.49</v>
      </c>
      <c r="C400" s="218">
        <f t="shared" si="30"/>
        <v>-10.49</v>
      </c>
      <c r="D400" s="218">
        <v>0.81</v>
      </c>
      <c r="E400" s="218">
        <v>0.18</v>
      </c>
      <c r="F400" s="218">
        <v>4.5199999999999996</v>
      </c>
      <c r="Q400" s="218">
        <v>10.54</v>
      </c>
      <c r="R400" s="251">
        <f t="shared" si="31"/>
        <v>-10.54</v>
      </c>
      <c r="S400" s="218">
        <v>0.81</v>
      </c>
      <c r="T400" s="218">
        <v>0.18</v>
      </c>
      <c r="U400" s="218">
        <v>4.4800000000000004</v>
      </c>
      <c r="AF400" s="218">
        <v>10.46</v>
      </c>
      <c r="AG400" s="251">
        <f t="shared" si="32"/>
        <v>-10.46</v>
      </c>
      <c r="AH400" s="218">
        <v>0.81</v>
      </c>
      <c r="AI400" s="218">
        <v>0.18</v>
      </c>
      <c r="AJ400" s="218">
        <v>4.5599999999999996</v>
      </c>
      <c r="AV400" s="218">
        <v>10.45</v>
      </c>
      <c r="AW400" s="251">
        <f t="shared" si="33"/>
        <v>-10.45</v>
      </c>
      <c r="AX400" s="218">
        <v>0.81</v>
      </c>
      <c r="AY400" s="218">
        <v>0.18</v>
      </c>
      <c r="AZ400" s="218">
        <v>4.51</v>
      </c>
      <c r="BL400" s="218">
        <v>10.37</v>
      </c>
      <c r="BM400" s="251">
        <f t="shared" si="34"/>
        <v>-10.37</v>
      </c>
      <c r="BN400" s="218">
        <v>0.81</v>
      </c>
      <c r="BO400" s="218">
        <v>0.18</v>
      </c>
      <c r="BP400" s="218">
        <v>4.5</v>
      </c>
    </row>
    <row r="401" spans="2:68">
      <c r="B401" s="218">
        <v>10.52</v>
      </c>
      <c r="C401" s="218">
        <f t="shared" si="30"/>
        <v>-10.52</v>
      </c>
      <c r="D401" s="218">
        <v>0.81</v>
      </c>
      <c r="E401" s="218">
        <v>0.18</v>
      </c>
      <c r="F401" s="218">
        <v>4.5199999999999996</v>
      </c>
      <c r="Q401" s="218">
        <v>10.57</v>
      </c>
      <c r="R401" s="251">
        <f t="shared" si="31"/>
        <v>-10.57</v>
      </c>
      <c r="S401" s="218">
        <v>0.81</v>
      </c>
      <c r="T401" s="218">
        <v>0.18</v>
      </c>
      <c r="U401" s="218">
        <v>4.4800000000000004</v>
      </c>
      <c r="AF401" s="218">
        <v>10.49</v>
      </c>
      <c r="AG401" s="251">
        <f t="shared" si="32"/>
        <v>-10.49</v>
      </c>
      <c r="AH401" s="218">
        <v>0.81</v>
      </c>
      <c r="AI401" s="218">
        <v>0.18</v>
      </c>
      <c r="AJ401" s="218">
        <v>4.5599999999999996</v>
      </c>
      <c r="AV401" s="218">
        <v>10.48</v>
      </c>
      <c r="AW401" s="251">
        <f t="shared" si="33"/>
        <v>-10.48</v>
      </c>
      <c r="AX401" s="218">
        <v>0.81</v>
      </c>
      <c r="AY401" s="218">
        <v>0.18</v>
      </c>
      <c r="AZ401" s="218">
        <v>4.51</v>
      </c>
      <c r="BL401" s="218">
        <v>10.4</v>
      </c>
      <c r="BM401" s="251">
        <f t="shared" si="34"/>
        <v>-10.4</v>
      </c>
      <c r="BN401" s="218">
        <v>0.81</v>
      </c>
      <c r="BO401" s="218">
        <v>0.18</v>
      </c>
      <c r="BP401" s="218">
        <v>4.5</v>
      </c>
    </row>
    <row r="402" spans="2:68">
      <c r="B402" s="218">
        <v>10.54</v>
      </c>
      <c r="C402" s="218">
        <f t="shared" si="30"/>
        <v>-10.54</v>
      </c>
      <c r="D402" s="218">
        <v>0.81</v>
      </c>
      <c r="E402" s="218">
        <v>0.18</v>
      </c>
      <c r="F402" s="218">
        <v>4.5199999999999996</v>
      </c>
      <c r="Q402" s="218">
        <v>10.59</v>
      </c>
      <c r="R402" s="251">
        <f t="shared" si="31"/>
        <v>-10.59</v>
      </c>
      <c r="S402" s="218">
        <v>0.81</v>
      </c>
      <c r="T402" s="218">
        <v>0.18</v>
      </c>
      <c r="U402" s="218">
        <v>4.4800000000000004</v>
      </c>
      <c r="AF402" s="218">
        <v>10.51</v>
      </c>
      <c r="AG402" s="251">
        <f t="shared" si="32"/>
        <v>-10.51</v>
      </c>
      <c r="AH402" s="218">
        <v>0.81</v>
      </c>
      <c r="AI402" s="218">
        <v>0.18</v>
      </c>
      <c r="AJ402" s="218">
        <v>4.5599999999999996</v>
      </c>
      <c r="AV402" s="218">
        <v>10.5</v>
      </c>
      <c r="AW402" s="251">
        <f t="shared" si="33"/>
        <v>-10.5</v>
      </c>
      <c r="AX402" s="218">
        <v>0.81</v>
      </c>
      <c r="AY402" s="218">
        <v>0.18</v>
      </c>
      <c r="AZ402" s="218">
        <v>4.51</v>
      </c>
      <c r="BL402" s="218">
        <v>10.42</v>
      </c>
      <c r="BM402" s="251">
        <f t="shared" si="34"/>
        <v>-10.42</v>
      </c>
      <c r="BN402" s="218">
        <v>0.81</v>
      </c>
      <c r="BO402" s="218">
        <v>0.18</v>
      </c>
      <c r="BP402" s="218">
        <v>4.5</v>
      </c>
    </row>
    <row r="403" spans="2:68">
      <c r="B403" s="218">
        <v>10.57</v>
      </c>
      <c r="C403" s="218">
        <f t="shared" si="30"/>
        <v>-10.57</v>
      </c>
      <c r="D403" s="218">
        <v>0.81</v>
      </c>
      <c r="E403" s="218">
        <v>0.18</v>
      </c>
      <c r="F403" s="218">
        <v>4.5199999999999996</v>
      </c>
      <c r="Q403" s="218">
        <v>10.62</v>
      </c>
      <c r="R403" s="251">
        <f t="shared" si="31"/>
        <v>-10.62</v>
      </c>
      <c r="S403" s="218">
        <v>0.81</v>
      </c>
      <c r="T403" s="218">
        <v>0.18</v>
      </c>
      <c r="U403" s="218">
        <v>4.4800000000000004</v>
      </c>
      <c r="AF403" s="218">
        <v>10.54</v>
      </c>
      <c r="AG403" s="251">
        <f t="shared" si="32"/>
        <v>-10.54</v>
      </c>
      <c r="AH403" s="218">
        <v>0.81</v>
      </c>
      <c r="AI403" s="218">
        <v>0.18</v>
      </c>
      <c r="AJ403" s="218">
        <v>4.5599999999999996</v>
      </c>
      <c r="AV403" s="218">
        <v>10.53</v>
      </c>
      <c r="AW403" s="251">
        <f t="shared" si="33"/>
        <v>-10.53</v>
      </c>
      <c r="AX403" s="218">
        <v>0.81</v>
      </c>
      <c r="AY403" s="218">
        <v>0.18</v>
      </c>
      <c r="AZ403" s="218">
        <v>4.51</v>
      </c>
      <c r="BL403" s="218">
        <v>10.45</v>
      </c>
      <c r="BM403" s="251">
        <f t="shared" si="34"/>
        <v>-10.45</v>
      </c>
      <c r="BN403" s="218">
        <v>0.81</v>
      </c>
      <c r="BO403" s="218">
        <v>0.18</v>
      </c>
      <c r="BP403" s="218">
        <v>4.5</v>
      </c>
    </row>
    <row r="404" spans="2:68">
      <c r="B404" s="218">
        <v>10.59</v>
      </c>
      <c r="C404" s="218">
        <f t="shared" si="30"/>
        <v>-10.59</v>
      </c>
      <c r="D404" s="218">
        <v>0.81</v>
      </c>
      <c r="E404" s="218">
        <v>0.18</v>
      </c>
      <c r="F404" s="218">
        <v>4.51</v>
      </c>
      <c r="Q404" s="218">
        <v>10.64</v>
      </c>
      <c r="R404" s="251">
        <f t="shared" si="31"/>
        <v>-10.64</v>
      </c>
      <c r="S404" s="218">
        <v>0.81</v>
      </c>
      <c r="T404" s="218">
        <v>0.18</v>
      </c>
      <c r="U404" s="218">
        <v>4.4800000000000004</v>
      </c>
      <c r="AF404" s="218">
        <v>10.56</v>
      </c>
      <c r="AG404" s="251">
        <f t="shared" si="32"/>
        <v>-10.56</v>
      </c>
      <c r="AH404" s="218">
        <v>0.81</v>
      </c>
      <c r="AI404" s="218">
        <v>0.18</v>
      </c>
      <c r="AJ404" s="218">
        <v>4.5599999999999996</v>
      </c>
      <c r="AV404" s="218">
        <v>10.55</v>
      </c>
      <c r="AW404" s="251">
        <f t="shared" si="33"/>
        <v>-10.55</v>
      </c>
      <c r="AX404" s="218">
        <v>0.81</v>
      </c>
      <c r="AY404" s="218">
        <v>0.18</v>
      </c>
      <c r="AZ404" s="218">
        <v>4.51</v>
      </c>
      <c r="BL404" s="218">
        <v>10.47</v>
      </c>
      <c r="BM404" s="251">
        <f t="shared" si="34"/>
        <v>-10.47</v>
      </c>
      <c r="BN404" s="218">
        <v>0.81</v>
      </c>
      <c r="BO404" s="218">
        <v>0.18</v>
      </c>
      <c r="BP404" s="218">
        <v>4.49</v>
      </c>
    </row>
    <row r="405" spans="2:68">
      <c r="B405" s="218">
        <v>10.62</v>
      </c>
      <c r="C405" s="218">
        <f t="shared" si="30"/>
        <v>-10.62</v>
      </c>
      <c r="D405" s="218">
        <v>0.81</v>
      </c>
      <c r="E405" s="218">
        <v>0.18</v>
      </c>
      <c r="F405" s="218">
        <v>4.51</v>
      </c>
      <c r="Q405" s="218">
        <v>10.67</v>
      </c>
      <c r="R405" s="251">
        <f t="shared" si="31"/>
        <v>-10.67</v>
      </c>
      <c r="S405" s="218">
        <v>0.81</v>
      </c>
      <c r="T405" s="218">
        <v>0.18</v>
      </c>
      <c r="U405" s="218">
        <v>4.4800000000000004</v>
      </c>
      <c r="AF405" s="218">
        <v>10.59</v>
      </c>
      <c r="AG405" s="251">
        <f t="shared" si="32"/>
        <v>-10.59</v>
      </c>
      <c r="AH405" s="218">
        <v>0.81</v>
      </c>
      <c r="AI405" s="218">
        <v>0.18</v>
      </c>
      <c r="AJ405" s="218">
        <v>4.5599999999999996</v>
      </c>
      <c r="AV405" s="218">
        <v>10.58</v>
      </c>
      <c r="AW405" s="251">
        <f t="shared" si="33"/>
        <v>-10.58</v>
      </c>
      <c r="AX405" s="218">
        <v>0.81</v>
      </c>
      <c r="AY405" s="218">
        <v>0.18</v>
      </c>
      <c r="AZ405" s="218">
        <v>4.51</v>
      </c>
      <c r="BL405" s="218">
        <v>10.5</v>
      </c>
      <c r="BM405" s="251">
        <f t="shared" si="34"/>
        <v>-10.5</v>
      </c>
      <c r="BN405" s="218">
        <v>0.81</v>
      </c>
      <c r="BO405" s="218">
        <v>0.18</v>
      </c>
      <c r="BP405" s="218">
        <v>4.49</v>
      </c>
    </row>
    <row r="406" spans="2:68">
      <c r="B406" s="218">
        <v>10.64</v>
      </c>
      <c r="C406" s="218">
        <f t="shared" si="30"/>
        <v>-10.64</v>
      </c>
      <c r="D406" s="218">
        <v>0.81</v>
      </c>
      <c r="E406" s="218">
        <v>0.18</v>
      </c>
      <c r="F406" s="218">
        <v>4.51</v>
      </c>
      <c r="Q406" s="218">
        <v>10.69</v>
      </c>
      <c r="R406" s="251">
        <f t="shared" si="31"/>
        <v>-10.69</v>
      </c>
      <c r="S406" s="218">
        <v>0.81</v>
      </c>
      <c r="T406" s="218">
        <v>0.18</v>
      </c>
      <c r="U406" s="218">
        <v>4.4800000000000004</v>
      </c>
      <c r="AF406" s="218">
        <v>10.61</v>
      </c>
      <c r="AG406" s="251">
        <f t="shared" si="32"/>
        <v>-10.61</v>
      </c>
      <c r="AH406" s="218">
        <v>0.81</v>
      </c>
      <c r="AI406" s="218">
        <v>0.18</v>
      </c>
      <c r="AJ406" s="218">
        <v>4.5599999999999996</v>
      </c>
      <c r="AV406" s="218">
        <v>10.6</v>
      </c>
      <c r="AW406" s="251">
        <f t="shared" si="33"/>
        <v>-10.6</v>
      </c>
      <c r="AX406" s="218">
        <v>0.81</v>
      </c>
      <c r="AY406" s="218">
        <v>0.18</v>
      </c>
      <c r="AZ406" s="218">
        <v>4.51</v>
      </c>
      <c r="BL406" s="218">
        <v>10.52</v>
      </c>
      <c r="BM406" s="251">
        <f t="shared" si="34"/>
        <v>-10.52</v>
      </c>
      <c r="BN406" s="218">
        <v>0.81</v>
      </c>
      <c r="BO406" s="218">
        <v>0.18</v>
      </c>
      <c r="BP406" s="218">
        <v>4.49</v>
      </c>
    </row>
    <row r="407" spans="2:68">
      <c r="B407" s="218">
        <v>10.67</v>
      </c>
      <c r="C407" s="218">
        <f t="shared" si="30"/>
        <v>-10.67</v>
      </c>
      <c r="D407" s="218">
        <v>0.81</v>
      </c>
      <c r="E407" s="218">
        <v>0.18</v>
      </c>
      <c r="F407" s="218">
        <v>4.51</v>
      </c>
      <c r="Q407" s="218">
        <v>10.72</v>
      </c>
      <c r="R407" s="251">
        <f t="shared" si="31"/>
        <v>-10.72</v>
      </c>
      <c r="S407" s="218">
        <v>0.81</v>
      </c>
      <c r="T407" s="218">
        <v>0.18</v>
      </c>
      <c r="U407" s="218">
        <v>4.4800000000000004</v>
      </c>
      <c r="AF407" s="218">
        <v>10.64</v>
      </c>
      <c r="AG407" s="251">
        <f t="shared" si="32"/>
        <v>-10.64</v>
      </c>
      <c r="AH407" s="218">
        <v>0.81</v>
      </c>
      <c r="AI407" s="218">
        <v>0.18</v>
      </c>
      <c r="AJ407" s="218">
        <v>4.5599999999999996</v>
      </c>
      <c r="AV407" s="218">
        <v>10.63</v>
      </c>
      <c r="AW407" s="251">
        <f t="shared" si="33"/>
        <v>-10.63</v>
      </c>
      <c r="AX407" s="218">
        <v>0.81</v>
      </c>
      <c r="AY407" s="218">
        <v>0.18</v>
      </c>
      <c r="AZ407" s="218">
        <v>4.51</v>
      </c>
      <c r="BL407" s="218">
        <v>10.55</v>
      </c>
      <c r="BM407" s="251">
        <f t="shared" si="34"/>
        <v>-10.55</v>
      </c>
      <c r="BN407" s="218">
        <v>0.81</v>
      </c>
      <c r="BO407" s="218">
        <v>0.18</v>
      </c>
      <c r="BP407" s="218">
        <v>4.49</v>
      </c>
    </row>
    <row r="408" spans="2:68">
      <c r="B408" s="218">
        <v>10.69</v>
      </c>
      <c r="C408" s="218">
        <f t="shared" si="30"/>
        <v>-10.69</v>
      </c>
      <c r="D408" s="218">
        <v>0.81</v>
      </c>
      <c r="E408" s="218">
        <v>0.18</v>
      </c>
      <c r="F408" s="218">
        <v>4.51</v>
      </c>
      <c r="Q408" s="218">
        <v>10.74</v>
      </c>
      <c r="R408" s="251">
        <f t="shared" si="31"/>
        <v>-10.74</v>
      </c>
      <c r="S408" s="218">
        <v>0.81</v>
      </c>
      <c r="T408" s="218">
        <v>0.18</v>
      </c>
      <c r="U408" s="218">
        <v>4.4800000000000004</v>
      </c>
      <c r="AF408" s="218">
        <v>10.66</v>
      </c>
      <c r="AG408" s="251">
        <f t="shared" si="32"/>
        <v>-10.66</v>
      </c>
      <c r="AH408" s="218">
        <v>0.81</v>
      </c>
      <c r="AI408" s="218">
        <v>0.18</v>
      </c>
      <c r="AJ408" s="218">
        <v>4.5599999999999996</v>
      </c>
      <c r="AV408" s="218">
        <v>10.65</v>
      </c>
      <c r="AW408" s="251">
        <f t="shared" si="33"/>
        <v>-10.65</v>
      </c>
      <c r="AX408" s="218">
        <v>0.81</v>
      </c>
      <c r="AY408" s="218">
        <v>0.18</v>
      </c>
      <c r="AZ408" s="218">
        <v>4.51</v>
      </c>
      <c r="BL408" s="218">
        <v>10.57</v>
      </c>
      <c r="BM408" s="251">
        <f t="shared" si="34"/>
        <v>-10.57</v>
      </c>
      <c r="BN408" s="218">
        <v>0.81</v>
      </c>
      <c r="BO408" s="218">
        <v>0.18</v>
      </c>
      <c r="BP408" s="218">
        <v>4.49</v>
      </c>
    </row>
    <row r="409" spans="2:68">
      <c r="B409" s="218">
        <v>10.72</v>
      </c>
      <c r="C409" s="218">
        <f t="shared" si="30"/>
        <v>-10.72</v>
      </c>
      <c r="D409" s="218">
        <v>0.81</v>
      </c>
      <c r="E409" s="218">
        <v>0.18</v>
      </c>
      <c r="F409" s="218">
        <v>4.51</v>
      </c>
      <c r="Q409" s="218">
        <v>10.77</v>
      </c>
      <c r="R409" s="251">
        <f t="shared" si="31"/>
        <v>-10.77</v>
      </c>
      <c r="S409" s="218">
        <v>0.81</v>
      </c>
      <c r="T409" s="218">
        <v>0.18</v>
      </c>
      <c r="U409" s="218">
        <v>4.4800000000000004</v>
      </c>
      <c r="AF409" s="218">
        <v>10.69</v>
      </c>
      <c r="AG409" s="251">
        <f t="shared" si="32"/>
        <v>-10.69</v>
      </c>
      <c r="AH409" s="218">
        <v>0.81</v>
      </c>
      <c r="AI409" s="218">
        <v>0.18</v>
      </c>
      <c r="AJ409" s="218">
        <v>4.5599999999999996</v>
      </c>
      <c r="AV409" s="218">
        <v>10.68</v>
      </c>
      <c r="AW409" s="251">
        <f t="shared" si="33"/>
        <v>-10.68</v>
      </c>
      <c r="AX409" s="218">
        <v>0.81</v>
      </c>
      <c r="AY409" s="218">
        <v>0.18</v>
      </c>
      <c r="AZ409" s="218">
        <v>4.51</v>
      </c>
      <c r="BL409" s="218">
        <v>10.6</v>
      </c>
      <c r="BM409" s="251">
        <f t="shared" si="34"/>
        <v>-10.6</v>
      </c>
      <c r="BN409" s="218">
        <v>0.81</v>
      </c>
      <c r="BO409" s="218">
        <v>0.18</v>
      </c>
      <c r="BP409" s="218">
        <v>4.49</v>
      </c>
    </row>
    <row r="410" spans="2:68">
      <c r="B410" s="218">
        <v>10.74</v>
      </c>
      <c r="C410" s="218">
        <f t="shared" si="30"/>
        <v>-10.74</v>
      </c>
      <c r="D410" s="218">
        <v>0.81</v>
      </c>
      <c r="E410" s="218">
        <v>0.18</v>
      </c>
      <c r="F410" s="218">
        <v>4.51</v>
      </c>
      <c r="Q410" s="218">
        <v>10.79</v>
      </c>
      <c r="R410" s="251">
        <f t="shared" si="31"/>
        <v>-10.79</v>
      </c>
      <c r="S410" s="218">
        <v>0.81</v>
      </c>
      <c r="T410" s="218">
        <v>0.18</v>
      </c>
      <c r="U410" s="218">
        <v>4.4800000000000004</v>
      </c>
      <c r="AF410" s="218">
        <v>10.71</v>
      </c>
      <c r="AG410" s="251">
        <f t="shared" si="32"/>
        <v>-10.71</v>
      </c>
      <c r="AH410" s="218">
        <v>0.81</v>
      </c>
      <c r="AI410" s="218">
        <v>0.18</v>
      </c>
      <c r="AJ410" s="218">
        <v>4.5599999999999996</v>
      </c>
      <c r="AV410" s="218">
        <v>10.7</v>
      </c>
      <c r="AW410" s="251">
        <f t="shared" si="33"/>
        <v>-10.7</v>
      </c>
      <c r="AX410" s="218">
        <v>0.81</v>
      </c>
      <c r="AY410" s="218">
        <v>0.18</v>
      </c>
      <c r="AZ410" s="218">
        <v>4.51</v>
      </c>
      <c r="BL410" s="218">
        <v>10.62</v>
      </c>
      <c r="BM410" s="251">
        <f t="shared" si="34"/>
        <v>-10.62</v>
      </c>
      <c r="BN410" s="218">
        <v>0.81</v>
      </c>
      <c r="BO410" s="218">
        <v>0.18</v>
      </c>
      <c r="BP410" s="218">
        <v>4.49</v>
      </c>
    </row>
    <row r="411" spans="2:68">
      <c r="B411" s="218">
        <v>10.77</v>
      </c>
      <c r="C411" s="218">
        <f t="shared" si="30"/>
        <v>-10.77</v>
      </c>
      <c r="D411" s="218">
        <v>0.81</v>
      </c>
      <c r="E411" s="218">
        <v>0.18</v>
      </c>
      <c r="F411" s="218">
        <v>4.51</v>
      </c>
      <c r="Q411" s="218">
        <v>10.82</v>
      </c>
      <c r="R411" s="251">
        <f t="shared" si="31"/>
        <v>-10.82</v>
      </c>
      <c r="S411" s="218">
        <v>0.81</v>
      </c>
      <c r="T411" s="218">
        <v>0.18</v>
      </c>
      <c r="U411" s="218">
        <v>4.4800000000000004</v>
      </c>
      <c r="AF411" s="218">
        <v>10.74</v>
      </c>
      <c r="AG411" s="251">
        <f t="shared" si="32"/>
        <v>-10.74</v>
      </c>
      <c r="AH411" s="218">
        <v>0.81</v>
      </c>
      <c r="AI411" s="218">
        <v>0.18</v>
      </c>
      <c r="AJ411" s="218">
        <v>4.5599999999999996</v>
      </c>
      <c r="AV411" s="218">
        <v>10.73</v>
      </c>
      <c r="AW411" s="251">
        <f t="shared" si="33"/>
        <v>-10.73</v>
      </c>
      <c r="AX411" s="218">
        <v>0.81</v>
      </c>
      <c r="AY411" s="218">
        <v>0.18</v>
      </c>
      <c r="AZ411" s="218">
        <v>4.51</v>
      </c>
      <c r="BL411" s="218">
        <v>10.65</v>
      </c>
      <c r="BM411" s="251">
        <f t="shared" si="34"/>
        <v>-10.65</v>
      </c>
      <c r="BN411" s="218">
        <v>0.81</v>
      </c>
      <c r="BO411" s="218">
        <v>0.18</v>
      </c>
      <c r="BP411" s="218">
        <v>4.49</v>
      </c>
    </row>
    <row r="412" spans="2:68">
      <c r="B412" s="218">
        <v>10.79</v>
      </c>
      <c r="C412" s="218">
        <f t="shared" si="30"/>
        <v>-10.79</v>
      </c>
      <c r="D412" s="218">
        <v>0.81</v>
      </c>
      <c r="E412" s="218">
        <v>0.18</v>
      </c>
      <c r="F412" s="218">
        <v>4.51</v>
      </c>
      <c r="Q412" s="218">
        <v>10.84</v>
      </c>
      <c r="R412" s="251">
        <f t="shared" si="31"/>
        <v>-10.84</v>
      </c>
      <c r="S412" s="218">
        <v>0.81</v>
      </c>
      <c r="T412" s="218">
        <v>0.18</v>
      </c>
      <c r="U412" s="218">
        <v>4.4800000000000004</v>
      </c>
      <c r="AF412" s="218">
        <v>10.76</v>
      </c>
      <c r="AG412" s="251">
        <f t="shared" si="32"/>
        <v>-10.76</v>
      </c>
      <c r="AH412" s="218">
        <v>0.81</v>
      </c>
      <c r="AI412" s="218">
        <v>0.18</v>
      </c>
      <c r="AJ412" s="218">
        <v>4.5599999999999996</v>
      </c>
      <c r="AV412" s="218">
        <v>10.75</v>
      </c>
      <c r="AW412" s="251">
        <f t="shared" si="33"/>
        <v>-10.75</v>
      </c>
      <c r="AX412" s="218">
        <v>0.81</v>
      </c>
      <c r="AY412" s="218">
        <v>0.18</v>
      </c>
      <c r="AZ412" s="218">
        <v>4.51</v>
      </c>
      <c r="BL412" s="218">
        <v>10.67</v>
      </c>
      <c r="BM412" s="251">
        <f t="shared" si="34"/>
        <v>-10.67</v>
      </c>
      <c r="BN412" s="218">
        <v>0.81</v>
      </c>
      <c r="BO412" s="218">
        <v>0.18</v>
      </c>
      <c r="BP412" s="218">
        <v>4.49</v>
      </c>
    </row>
    <row r="413" spans="2:68">
      <c r="B413" s="218">
        <v>10.82</v>
      </c>
      <c r="C413" s="218">
        <f t="shared" si="30"/>
        <v>-10.82</v>
      </c>
      <c r="D413" s="218">
        <v>0.81</v>
      </c>
      <c r="E413" s="218">
        <v>0.18</v>
      </c>
      <c r="F413" s="218">
        <v>4.51</v>
      </c>
      <c r="Q413" s="218">
        <v>10.87</v>
      </c>
      <c r="R413" s="251">
        <f t="shared" si="31"/>
        <v>-10.87</v>
      </c>
      <c r="S413" s="218">
        <v>0.81</v>
      </c>
      <c r="T413" s="218">
        <v>0.18</v>
      </c>
      <c r="U413" s="218">
        <v>4.4800000000000004</v>
      </c>
      <c r="AF413" s="218">
        <v>10.79</v>
      </c>
      <c r="AG413" s="251">
        <f t="shared" si="32"/>
        <v>-10.79</v>
      </c>
      <c r="AH413" s="218">
        <v>0.81</v>
      </c>
      <c r="AI413" s="218">
        <v>0.18</v>
      </c>
      <c r="AJ413" s="218">
        <v>4.5599999999999996</v>
      </c>
      <c r="AV413" s="218">
        <v>10.78</v>
      </c>
      <c r="AW413" s="251">
        <f t="shared" si="33"/>
        <v>-10.78</v>
      </c>
      <c r="AX413" s="218">
        <v>0.81</v>
      </c>
      <c r="AY413" s="218">
        <v>0.18</v>
      </c>
      <c r="AZ413" s="218">
        <v>4.51</v>
      </c>
      <c r="BL413" s="218">
        <v>10.7</v>
      </c>
      <c r="BM413" s="251">
        <f t="shared" si="34"/>
        <v>-10.7</v>
      </c>
      <c r="BN413" s="218">
        <v>0.81</v>
      </c>
      <c r="BO413" s="218">
        <v>0.18</v>
      </c>
      <c r="BP413" s="218">
        <v>4.49</v>
      </c>
    </row>
    <row r="414" spans="2:68">
      <c r="B414" s="218">
        <v>10.84</v>
      </c>
      <c r="C414" s="218">
        <f t="shared" si="30"/>
        <v>-10.84</v>
      </c>
      <c r="D414" s="218">
        <v>0.81</v>
      </c>
      <c r="E414" s="218">
        <v>0.18</v>
      </c>
      <c r="F414" s="218">
        <v>4.51</v>
      </c>
      <c r="Q414" s="218">
        <v>10.89</v>
      </c>
      <c r="R414" s="251">
        <f t="shared" si="31"/>
        <v>-10.89</v>
      </c>
      <c r="S414" s="218">
        <v>0.81</v>
      </c>
      <c r="T414" s="218">
        <v>0.18</v>
      </c>
      <c r="U414" s="218">
        <v>4.4800000000000004</v>
      </c>
      <c r="AF414" s="218">
        <v>10.81</v>
      </c>
      <c r="AG414" s="251">
        <f t="shared" si="32"/>
        <v>-10.81</v>
      </c>
      <c r="AH414" s="218">
        <v>0.81</v>
      </c>
      <c r="AI414" s="218">
        <v>0.18</v>
      </c>
      <c r="AJ414" s="218">
        <v>4.5599999999999996</v>
      </c>
      <c r="AV414" s="218">
        <v>10.8</v>
      </c>
      <c r="AW414" s="251">
        <f t="shared" si="33"/>
        <v>-10.8</v>
      </c>
      <c r="AX414" s="218">
        <v>0.81</v>
      </c>
      <c r="AY414" s="218">
        <v>0.18</v>
      </c>
      <c r="AZ414" s="218">
        <v>4.51</v>
      </c>
      <c r="BL414" s="218">
        <v>10.72</v>
      </c>
      <c r="BM414" s="251">
        <f t="shared" si="34"/>
        <v>-10.72</v>
      </c>
      <c r="BN414" s="218">
        <v>0.81</v>
      </c>
      <c r="BO414" s="218">
        <v>0.18</v>
      </c>
      <c r="BP414" s="218">
        <v>4.49</v>
      </c>
    </row>
    <row r="415" spans="2:68">
      <c r="B415" s="218">
        <v>10.87</v>
      </c>
      <c r="C415" s="218">
        <f t="shared" si="30"/>
        <v>-10.87</v>
      </c>
      <c r="D415" s="218">
        <v>0.81</v>
      </c>
      <c r="E415" s="218">
        <v>0.18</v>
      </c>
      <c r="F415" s="218">
        <v>4.51</v>
      </c>
      <c r="Q415" s="218">
        <v>10.92</v>
      </c>
      <c r="R415" s="251">
        <f t="shared" si="31"/>
        <v>-10.92</v>
      </c>
      <c r="S415" s="218">
        <v>0.81</v>
      </c>
      <c r="T415" s="218">
        <v>0.18</v>
      </c>
      <c r="U415" s="218">
        <v>4.4800000000000004</v>
      </c>
      <c r="AF415" s="218">
        <v>10.84</v>
      </c>
      <c r="AG415" s="251">
        <f t="shared" si="32"/>
        <v>-10.84</v>
      </c>
      <c r="AH415" s="218">
        <v>0.81</v>
      </c>
      <c r="AI415" s="218">
        <v>0.18</v>
      </c>
      <c r="AJ415" s="218">
        <v>4.5599999999999996</v>
      </c>
      <c r="AV415" s="218">
        <v>10.83</v>
      </c>
      <c r="AW415" s="251">
        <f t="shared" si="33"/>
        <v>-10.83</v>
      </c>
      <c r="AX415" s="218">
        <v>0.81</v>
      </c>
      <c r="AY415" s="218">
        <v>0.18</v>
      </c>
      <c r="AZ415" s="218">
        <v>4.51</v>
      </c>
      <c r="BL415" s="218">
        <v>10.75</v>
      </c>
      <c r="BM415" s="251">
        <f t="shared" si="34"/>
        <v>-10.75</v>
      </c>
      <c r="BN415" s="218">
        <v>0.81</v>
      </c>
      <c r="BO415" s="218">
        <v>0.18</v>
      </c>
      <c r="BP415" s="218">
        <v>4.49</v>
      </c>
    </row>
    <row r="416" spans="2:68">
      <c r="B416" s="218">
        <v>10.89</v>
      </c>
      <c r="C416" s="218">
        <f t="shared" si="30"/>
        <v>-10.89</v>
      </c>
      <c r="D416" s="218">
        <v>0.81</v>
      </c>
      <c r="E416" s="218">
        <v>0.18</v>
      </c>
      <c r="F416" s="218">
        <v>4.51</v>
      </c>
      <c r="Q416" s="218">
        <v>10.94</v>
      </c>
      <c r="R416" s="251">
        <f t="shared" si="31"/>
        <v>-10.94</v>
      </c>
      <c r="S416" s="218">
        <v>0.81</v>
      </c>
      <c r="T416" s="218">
        <v>0.18</v>
      </c>
      <c r="U416" s="218">
        <v>4.4800000000000004</v>
      </c>
      <c r="AF416" s="218">
        <v>10.86</v>
      </c>
      <c r="AG416" s="251">
        <f t="shared" si="32"/>
        <v>-10.86</v>
      </c>
      <c r="AH416" s="218">
        <v>0.81</v>
      </c>
      <c r="AI416" s="218">
        <v>0.18</v>
      </c>
      <c r="AJ416" s="218">
        <v>4.5599999999999996</v>
      </c>
      <c r="AV416" s="218">
        <v>10.85</v>
      </c>
      <c r="AW416" s="251">
        <f t="shared" si="33"/>
        <v>-10.85</v>
      </c>
      <c r="AX416" s="218">
        <v>0.81</v>
      </c>
      <c r="AY416" s="218">
        <v>0.18</v>
      </c>
      <c r="AZ416" s="218">
        <v>4.51</v>
      </c>
      <c r="BL416" s="218">
        <v>10.77</v>
      </c>
      <c r="BM416" s="251">
        <f t="shared" si="34"/>
        <v>-10.77</v>
      </c>
      <c r="BN416" s="218">
        <v>0.81</v>
      </c>
      <c r="BO416" s="218">
        <v>0.18</v>
      </c>
      <c r="BP416" s="218">
        <v>4.49</v>
      </c>
    </row>
    <row r="417" spans="2:68">
      <c r="B417" s="218">
        <v>10.92</v>
      </c>
      <c r="C417" s="218">
        <f t="shared" si="30"/>
        <v>-10.92</v>
      </c>
      <c r="D417" s="218">
        <v>0.81</v>
      </c>
      <c r="E417" s="218">
        <v>0.18</v>
      </c>
      <c r="F417" s="218">
        <v>4.51</v>
      </c>
      <c r="Q417" s="218">
        <v>10.97</v>
      </c>
      <c r="R417" s="251">
        <f t="shared" si="31"/>
        <v>-10.97</v>
      </c>
      <c r="S417" s="218">
        <v>0.81</v>
      </c>
      <c r="T417" s="218">
        <v>0.18</v>
      </c>
      <c r="U417" s="218">
        <v>4.4800000000000004</v>
      </c>
      <c r="AF417" s="218">
        <v>10.89</v>
      </c>
      <c r="AG417" s="251">
        <f t="shared" si="32"/>
        <v>-10.89</v>
      </c>
      <c r="AH417" s="218">
        <v>0.81</v>
      </c>
      <c r="AI417" s="218">
        <v>0.18</v>
      </c>
      <c r="AJ417" s="218">
        <v>4.5599999999999996</v>
      </c>
      <c r="AV417" s="218">
        <v>10.88</v>
      </c>
      <c r="AW417" s="251">
        <f t="shared" si="33"/>
        <v>-10.88</v>
      </c>
      <c r="AX417" s="218">
        <v>0.81</v>
      </c>
      <c r="AY417" s="218">
        <v>0.18</v>
      </c>
      <c r="AZ417" s="218">
        <v>4.51</v>
      </c>
      <c r="BL417" s="218">
        <v>10.8</v>
      </c>
      <c r="BM417" s="251">
        <f t="shared" si="34"/>
        <v>-10.8</v>
      </c>
      <c r="BN417" s="218">
        <v>0.81</v>
      </c>
      <c r="BO417" s="218">
        <v>0.18</v>
      </c>
      <c r="BP417" s="218">
        <v>4.49</v>
      </c>
    </row>
    <row r="418" spans="2:68">
      <c r="B418" s="218">
        <v>10.94</v>
      </c>
      <c r="C418" s="218">
        <f t="shared" si="30"/>
        <v>-10.94</v>
      </c>
      <c r="D418" s="218">
        <v>0.81</v>
      </c>
      <c r="E418" s="218">
        <v>0.18</v>
      </c>
      <c r="F418" s="218">
        <v>4.51</v>
      </c>
      <c r="Q418" s="218">
        <v>10.99</v>
      </c>
      <c r="R418" s="251">
        <f t="shared" si="31"/>
        <v>-10.99</v>
      </c>
      <c r="S418" s="218">
        <v>0.81</v>
      </c>
      <c r="T418" s="218">
        <v>0.18</v>
      </c>
      <c r="U418" s="218">
        <v>4.4800000000000004</v>
      </c>
      <c r="AF418" s="218">
        <v>10.91</v>
      </c>
      <c r="AG418" s="251">
        <f t="shared" si="32"/>
        <v>-10.91</v>
      </c>
      <c r="AH418" s="218">
        <v>0.81</v>
      </c>
      <c r="AI418" s="218">
        <v>0.18</v>
      </c>
      <c r="AJ418" s="218">
        <v>4.55</v>
      </c>
      <c r="AV418" s="218">
        <v>10.9</v>
      </c>
      <c r="AW418" s="251">
        <f t="shared" si="33"/>
        <v>-10.9</v>
      </c>
      <c r="AX418" s="218">
        <v>0.81</v>
      </c>
      <c r="AY418" s="218">
        <v>0.18</v>
      </c>
      <c r="AZ418" s="218">
        <v>4.51</v>
      </c>
      <c r="BL418" s="218">
        <v>10.82</v>
      </c>
      <c r="BM418" s="251">
        <f t="shared" si="34"/>
        <v>-10.82</v>
      </c>
      <c r="BN418" s="218">
        <v>0.81</v>
      </c>
      <c r="BO418" s="218">
        <v>0.18</v>
      </c>
      <c r="BP418" s="218">
        <v>4.49</v>
      </c>
    </row>
    <row r="419" spans="2:68">
      <c r="B419" s="218">
        <v>10.97</v>
      </c>
      <c r="C419" s="218">
        <f t="shared" si="30"/>
        <v>-10.97</v>
      </c>
      <c r="D419" s="218">
        <v>0.81</v>
      </c>
      <c r="E419" s="218">
        <v>0.18</v>
      </c>
      <c r="F419" s="218">
        <v>4.51</v>
      </c>
      <c r="Q419" s="218">
        <v>11.02</v>
      </c>
      <c r="R419" s="251">
        <f t="shared" si="31"/>
        <v>-11.02</v>
      </c>
      <c r="S419" s="218">
        <v>0.81</v>
      </c>
      <c r="T419" s="218">
        <v>0.18</v>
      </c>
      <c r="U419" s="218">
        <v>4.4800000000000004</v>
      </c>
      <c r="AF419" s="218">
        <v>10.94</v>
      </c>
      <c r="AG419" s="251">
        <f t="shared" si="32"/>
        <v>-10.94</v>
      </c>
      <c r="AH419" s="218">
        <v>0.81</v>
      </c>
      <c r="AI419" s="218">
        <v>0.18</v>
      </c>
      <c r="AJ419" s="218">
        <v>4.55</v>
      </c>
      <c r="AV419" s="218">
        <v>10.93</v>
      </c>
      <c r="AW419" s="251">
        <f t="shared" si="33"/>
        <v>-10.93</v>
      </c>
      <c r="AX419" s="218">
        <v>0.81</v>
      </c>
      <c r="AY419" s="218">
        <v>0.18</v>
      </c>
      <c r="AZ419" s="218">
        <v>4.51</v>
      </c>
      <c r="BL419" s="218">
        <v>10.85</v>
      </c>
      <c r="BM419" s="251">
        <f t="shared" si="34"/>
        <v>-10.85</v>
      </c>
      <c r="BN419" s="218">
        <v>0.81</v>
      </c>
      <c r="BO419" s="218">
        <v>0.18</v>
      </c>
      <c r="BP419" s="218">
        <v>4.49</v>
      </c>
    </row>
    <row r="420" spans="2:68">
      <c r="B420" s="218">
        <v>10.99</v>
      </c>
      <c r="C420" s="218">
        <f t="shared" si="30"/>
        <v>-10.99</v>
      </c>
      <c r="D420" s="218">
        <v>0.81</v>
      </c>
      <c r="E420" s="218">
        <v>0.18</v>
      </c>
      <c r="F420" s="218">
        <v>4.51</v>
      </c>
      <c r="Q420" s="218">
        <v>11.04</v>
      </c>
      <c r="R420" s="251">
        <f t="shared" si="31"/>
        <v>-11.04</v>
      </c>
      <c r="S420" s="218">
        <v>0.81</v>
      </c>
      <c r="T420" s="218">
        <v>0.18</v>
      </c>
      <c r="U420" s="218">
        <v>4.4800000000000004</v>
      </c>
      <c r="AF420" s="218">
        <v>10.96</v>
      </c>
      <c r="AG420" s="251">
        <f t="shared" si="32"/>
        <v>-10.96</v>
      </c>
      <c r="AH420" s="218">
        <v>0.81</v>
      </c>
      <c r="AI420" s="218">
        <v>0.18</v>
      </c>
      <c r="AJ420" s="218">
        <v>4.55</v>
      </c>
      <c r="AV420" s="218">
        <v>10.95</v>
      </c>
      <c r="AW420" s="251">
        <f t="shared" si="33"/>
        <v>-10.95</v>
      </c>
      <c r="AX420" s="218">
        <v>0.81</v>
      </c>
      <c r="AY420" s="218">
        <v>0.18</v>
      </c>
      <c r="AZ420" s="218">
        <v>4.51</v>
      </c>
      <c r="BL420" s="218">
        <v>10.87</v>
      </c>
      <c r="BM420" s="251">
        <f t="shared" si="34"/>
        <v>-10.87</v>
      </c>
      <c r="BN420" s="218">
        <v>0.81</v>
      </c>
      <c r="BO420" s="218">
        <v>0.18</v>
      </c>
      <c r="BP420" s="218">
        <v>4.49</v>
      </c>
    </row>
    <row r="421" spans="2:68">
      <c r="B421" s="218">
        <v>11.02</v>
      </c>
      <c r="C421" s="218">
        <f t="shared" si="30"/>
        <v>-11.02</v>
      </c>
      <c r="D421" s="218">
        <v>0.81</v>
      </c>
      <c r="E421" s="218">
        <v>0.18</v>
      </c>
      <c r="F421" s="218">
        <v>4.51</v>
      </c>
      <c r="Q421" s="218">
        <v>11.07</v>
      </c>
      <c r="R421" s="251">
        <f t="shared" si="31"/>
        <v>-11.07</v>
      </c>
      <c r="S421" s="218">
        <v>0.81</v>
      </c>
      <c r="T421" s="218">
        <v>0.18</v>
      </c>
      <c r="U421" s="218">
        <v>4.4800000000000004</v>
      </c>
      <c r="AF421" s="218">
        <v>10.99</v>
      </c>
      <c r="AG421" s="251">
        <f t="shared" si="32"/>
        <v>-10.99</v>
      </c>
      <c r="AH421" s="218">
        <v>0.81</v>
      </c>
      <c r="AI421" s="218">
        <v>0.18</v>
      </c>
      <c r="AJ421" s="218">
        <v>4.55</v>
      </c>
      <c r="AV421" s="218">
        <v>10.98</v>
      </c>
      <c r="AW421" s="251">
        <f t="shared" si="33"/>
        <v>-10.98</v>
      </c>
      <c r="AX421" s="218">
        <v>0.81</v>
      </c>
      <c r="AY421" s="218">
        <v>0.18</v>
      </c>
      <c r="AZ421" s="218">
        <v>4.51</v>
      </c>
      <c r="BL421" s="218">
        <v>10.9</v>
      </c>
      <c r="BM421" s="251">
        <f t="shared" si="34"/>
        <v>-10.9</v>
      </c>
      <c r="BN421" s="218">
        <v>0.81</v>
      </c>
      <c r="BO421" s="218">
        <v>0.18</v>
      </c>
      <c r="BP421" s="218">
        <v>4.49</v>
      </c>
    </row>
    <row r="422" spans="2:68">
      <c r="B422" s="218">
        <v>11.04</v>
      </c>
      <c r="C422" s="218">
        <f t="shared" si="30"/>
        <v>-11.04</v>
      </c>
      <c r="D422" s="218">
        <v>0.81</v>
      </c>
      <c r="E422" s="218">
        <v>0.18</v>
      </c>
      <c r="F422" s="218">
        <v>4.51</v>
      </c>
      <c r="Q422" s="218">
        <v>11.09</v>
      </c>
      <c r="R422" s="251">
        <f t="shared" si="31"/>
        <v>-11.09</v>
      </c>
      <c r="S422" s="218">
        <v>0.81</v>
      </c>
      <c r="T422" s="218">
        <v>0.18</v>
      </c>
      <c r="U422" s="218">
        <v>4.4800000000000004</v>
      </c>
      <c r="AF422" s="218">
        <v>11.01</v>
      </c>
      <c r="AG422" s="251">
        <f t="shared" si="32"/>
        <v>-11.01</v>
      </c>
      <c r="AH422" s="218">
        <v>0.81</v>
      </c>
      <c r="AI422" s="218">
        <v>0.18</v>
      </c>
      <c r="AJ422" s="218">
        <v>4.55</v>
      </c>
      <c r="AV422" s="218">
        <v>11</v>
      </c>
      <c r="AW422" s="251">
        <f t="shared" si="33"/>
        <v>-11</v>
      </c>
      <c r="AX422" s="218">
        <v>0.81</v>
      </c>
      <c r="AY422" s="218">
        <v>0.18</v>
      </c>
      <c r="AZ422" s="218">
        <v>4.51</v>
      </c>
      <c r="BL422" s="218">
        <v>10.92</v>
      </c>
      <c r="BM422" s="251">
        <f t="shared" si="34"/>
        <v>-10.92</v>
      </c>
      <c r="BN422" s="218">
        <v>0.81</v>
      </c>
      <c r="BO422" s="218">
        <v>0.18</v>
      </c>
      <c r="BP422" s="218">
        <v>4.49</v>
      </c>
    </row>
    <row r="423" spans="2:68">
      <c r="B423" s="218">
        <v>11.07</v>
      </c>
      <c r="C423" s="218">
        <f t="shared" si="30"/>
        <v>-11.07</v>
      </c>
      <c r="D423" s="218">
        <v>0.81</v>
      </c>
      <c r="E423" s="218">
        <v>0.18</v>
      </c>
      <c r="F423" s="218">
        <v>4.51</v>
      </c>
      <c r="Q423" s="218">
        <v>11.12</v>
      </c>
      <c r="R423" s="251">
        <f t="shared" si="31"/>
        <v>-11.12</v>
      </c>
      <c r="S423" s="218">
        <v>0.81</v>
      </c>
      <c r="T423" s="218">
        <v>0.18</v>
      </c>
      <c r="U423" s="218">
        <v>4.4800000000000004</v>
      </c>
      <c r="AF423" s="218">
        <v>11.04</v>
      </c>
      <c r="AG423" s="251">
        <f t="shared" si="32"/>
        <v>-11.04</v>
      </c>
      <c r="AH423" s="218">
        <v>0.81</v>
      </c>
      <c r="AI423" s="218">
        <v>0.18</v>
      </c>
      <c r="AJ423" s="218">
        <v>4.55</v>
      </c>
      <c r="AV423" s="218">
        <v>11.03</v>
      </c>
      <c r="AW423" s="251">
        <f t="shared" si="33"/>
        <v>-11.03</v>
      </c>
      <c r="AX423" s="218">
        <v>0.81</v>
      </c>
      <c r="AY423" s="218">
        <v>0.18</v>
      </c>
      <c r="AZ423" s="218">
        <v>4.51</v>
      </c>
      <c r="BL423" s="218">
        <v>10.95</v>
      </c>
      <c r="BM423" s="251">
        <f t="shared" si="34"/>
        <v>-10.95</v>
      </c>
      <c r="BN423" s="218">
        <v>0.81</v>
      </c>
      <c r="BO423" s="218">
        <v>0.18</v>
      </c>
      <c r="BP423" s="218">
        <v>4.49</v>
      </c>
    </row>
    <row r="424" spans="2:68">
      <c r="B424" s="218">
        <v>11.09</v>
      </c>
      <c r="C424" s="218">
        <f t="shared" si="30"/>
        <v>-11.09</v>
      </c>
      <c r="D424" s="218">
        <v>0.81</v>
      </c>
      <c r="E424" s="218">
        <v>0.18</v>
      </c>
      <c r="F424" s="218">
        <v>4.51</v>
      </c>
      <c r="Q424" s="218">
        <v>11.14</v>
      </c>
      <c r="R424" s="251">
        <f t="shared" si="31"/>
        <v>-11.14</v>
      </c>
      <c r="S424" s="218">
        <v>0.81</v>
      </c>
      <c r="T424" s="218">
        <v>0.18</v>
      </c>
      <c r="U424" s="218">
        <v>4.4800000000000004</v>
      </c>
      <c r="AF424" s="218">
        <v>11.06</v>
      </c>
      <c r="AG424" s="251">
        <f t="shared" si="32"/>
        <v>-11.06</v>
      </c>
      <c r="AH424" s="218">
        <v>0.81</v>
      </c>
      <c r="AI424" s="218">
        <v>0.18</v>
      </c>
      <c r="AJ424" s="218">
        <v>4.55</v>
      </c>
      <c r="AV424" s="218">
        <v>11.05</v>
      </c>
      <c r="AW424" s="251">
        <f t="shared" si="33"/>
        <v>-11.05</v>
      </c>
      <c r="AX424" s="218">
        <v>0.81</v>
      </c>
      <c r="AY424" s="218">
        <v>0.18</v>
      </c>
      <c r="AZ424" s="218">
        <v>4.51</v>
      </c>
      <c r="BL424" s="218">
        <v>10.97</v>
      </c>
      <c r="BM424" s="251">
        <f t="shared" si="34"/>
        <v>-10.97</v>
      </c>
      <c r="BN424" s="218">
        <v>0.81</v>
      </c>
      <c r="BO424" s="218">
        <v>0.18</v>
      </c>
      <c r="BP424" s="218">
        <v>4.49</v>
      </c>
    </row>
    <row r="425" spans="2:68">
      <c r="B425" s="218">
        <v>11.12</v>
      </c>
      <c r="C425" s="218">
        <f t="shared" si="30"/>
        <v>-11.12</v>
      </c>
      <c r="D425" s="218">
        <v>0.81</v>
      </c>
      <c r="E425" s="218">
        <v>0.18</v>
      </c>
      <c r="F425" s="218">
        <v>4.51</v>
      </c>
      <c r="Q425" s="218">
        <v>11.17</v>
      </c>
      <c r="R425" s="251">
        <f t="shared" si="31"/>
        <v>-11.17</v>
      </c>
      <c r="S425" s="218">
        <v>0.81</v>
      </c>
      <c r="T425" s="218">
        <v>0.18</v>
      </c>
      <c r="U425" s="218">
        <v>4.4800000000000004</v>
      </c>
      <c r="AF425" s="218">
        <v>11.09</v>
      </c>
      <c r="AG425" s="251">
        <f t="shared" si="32"/>
        <v>-11.09</v>
      </c>
      <c r="AH425" s="218">
        <v>0.81</v>
      </c>
      <c r="AI425" s="218">
        <v>0.18</v>
      </c>
      <c r="AJ425" s="218">
        <v>4.55</v>
      </c>
      <c r="AV425" s="218">
        <v>11.08</v>
      </c>
      <c r="AW425" s="251">
        <f t="shared" si="33"/>
        <v>-11.08</v>
      </c>
      <c r="AX425" s="218">
        <v>0.81</v>
      </c>
      <c r="AY425" s="218">
        <v>0.18</v>
      </c>
      <c r="AZ425" s="218">
        <v>4.51</v>
      </c>
      <c r="BL425" s="218">
        <v>11</v>
      </c>
      <c r="BM425" s="251">
        <f t="shared" si="34"/>
        <v>-11</v>
      </c>
      <c r="BN425" s="218">
        <v>0.81</v>
      </c>
      <c r="BO425" s="218">
        <v>0.18</v>
      </c>
      <c r="BP425" s="218">
        <v>4.49</v>
      </c>
    </row>
    <row r="426" spans="2:68">
      <c r="B426" s="218">
        <v>11.14</v>
      </c>
      <c r="C426" s="218">
        <f t="shared" si="30"/>
        <v>-11.14</v>
      </c>
      <c r="D426" s="218">
        <v>0.81</v>
      </c>
      <c r="E426" s="218">
        <v>0.18</v>
      </c>
      <c r="F426" s="218">
        <v>4.51</v>
      </c>
      <c r="Q426" s="218">
        <v>11.19</v>
      </c>
      <c r="R426" s="251">
        <f t="shared" si="31"/>
        <v>-11.19</v>
      </c>
      <c r="S426" s="218">
        <v>0.81</v>
      </c>
      <c r="T426" s="218">
        <v>0.18</v>
      </c>
      <c r="U426" s="218">
        <v>4.4800000000000004</v>
      </c>
      <c r="AF426" s="218">
        <v>11.11</v>
      </c>
      <c r="AG426" s="251">
        <f t="shared" si="32"/>
        <v>-11.11</v>
      </c>
      <c r="AH426" s="218">
        <v>0.81</v>
      </c>
      <c r="AI426" s="218">
        <v>0.18</v>
      </c>
      <c r="AJ426" s="218">
        <v>4.55</v>
      </c>
      <c r="AV426" s="218">
        <v>11.1</v>
      </c>
      <c r="AW426" s="251">
        <f t="shared" si="33"/>
        <v>-11.1</v>
      </c>
      <c r="AX426" s="218">
        <v>0.81</v>
      </c>
      <c r="AY426" s="218">
        <v>0.18</v>
      </c>
      <c r="AZ426" s="218">
        <v>4.51</v>
      </c>
      <c r="BL426" s="218">
        <v>11.02</v>
      </c>
      <c r="BM426" s="251">
        <f t="shared" si="34"/>
        <v>-11.02</v>
      </c>
      <c r="BN426" s="218">
        <v>0.81</v>
      </c>
      <c r="BO426" s="218">
        <v>0.18</v>
      </c>
      <c r="BP426" s="218">
        <v>4.49</v>
      </c>
    </row>
    <row r="427" spans="2:68">
      <c r="B427" s="218">
        <v>11.17</v>
      </c>
      <c r="C427" s="218">
        <f t="shared" si="30"/>
        <v>-11.17</v>
      </c>
      <c r="D427" s="218">
        <v>0.81</v>
      </c>
      <c r="E427" s="218">
        <v>0.18</v>
      </c>
      <c r="F427" s="218">
        <v>4.51</v>
      </c>
      <c r="Q427" s="218">
        <v>11.22</v>
      </c>
      <c r="R427" s="251">
        <f t="shared" si="31"/>
        <v>-11.22</v>
      </c>
      <c r="S427" s="218">
        <v>0.81</v>
      </c>
      <c r="T427" s="218">
        <v>0.18</v>
      </c>
      <c r="U427" s="218">
        <v>4.4800000000000004</v>
      </c>
      <c r="AF427" s="218">
        <v>11.14</v>
      </c>
      <c r="AG427" s="251">
        <f t="shared" si="32"/>
        <v>-11.14</v>
      </c>
      <c r="AH427" s="218">
        <v>0.81</v>
      </c>
      <c r="AI427" s="218">
        <v>0.18</v>
      </c>
      <c r="AJ427" s="218">
        <v>4.55</v>
      </c>
      <c r="AV427" s="218">
        <v>11.13</v>
      </c>
      <c r="AW427" s="251">
        <f t="shared" si="33"/>
        <v>-11.13</v>
      </c>
      <c r="AX427" s="218">
        <v>0.81</v>
      </c>
      <c r="AY427" s="218">
        <v>0.18</v>
      </c>
      <c r="AZ427" s="218">
        <v>4.51</v>
      </c>
      <c r="BL427" s="218">
        <v>11.05</v>
      </c>
      <c r="BM427" s="251">
        <f t="shared" si="34"/>
        <v>-11.05</v>
      </c>
      <c r="BN427" s="218">
        <v>0.81</v>
      </c>
      <c r="BO427" s="218">
        <v>0.18</v>
      </c>
      <c r="BP427" s="218">
        <v>4.49</v>
      </c>
    </row>
    <row r="428" spans="2:68">
      <c r="B428" s="218">
        <v>11.19</v>
      </c>
      <c r="C428" s="218">
        <f t="shared" si="30"/>
        <v>-11.19</v>
      </c>
      <c r="D428" s="218">
        <v>0.81</v>
      </c>
      <c r="E428" s="218">
        <v>0.18</v>
      </c>
      <c r="F428" s="218">
        <v>4.51</v>
      </c>
      <c r="Q428" s="218">
        <v>11.24</v>
      </c>
      <c r="R428" s="251">
        <f t="shared" si="31"/>
        <v>-11.24</v>
      </c>
      <c r="S428" s="218">
        <v>0.81</v>
      </c>
      <c r="T428" s="218">
        <v>0.18</v>
      </c>
      <c r="U428" s="218">
        <v>4.4800000000000004</v>
      </c>
      <c r="AF428" s="218">
        <v>11.16</v>
      </c>
      <c r="AG428" s="251">
        <f t="shared" si="32"/>
        <v>-11.16</v>
      </c>
      <c r="AH428" s="218">
        <v>0.81</v>
      </c>
      <c r="AI428" s="218">
        <v>0.18</v>
      </c>
      <c r="AJ428" s="218">
        <v>4.55</v>
      </c>
      <c r="AV428" s="218">
        <v>11.15</v>
      </c>
      <c r="AW428" s="251">
        <f t="shared" si="33"/>
        <v>-11.15</v>
      </c>
      <c r="AX428" s="218">
        <v>0.81</v>
      </c>
      <c r="AY428" s="218">
        <v>0.18</v>
      </c>
      <c r="AZ428" s="218">
        <v>4.51</v>
      </c>
      <c r="BL428" s="218">
        <v>11.07</v>
      </c>
      <c r="BM428" s="251">
        <f t="shared" si="34"/>
        <v>-11.07</v>
      </c>
      <c r="BN428" s="218">
        <v>0.81</v>
      </c>
      <c r="BO428" s="218">
        <v>0.18</v>
      </c>
      <c r="BP428" s="218">
        <v>4.49</v>
      </c>
    </row>
    <row r="429" spans="2:68">
      <c r="B429" s="218">
        <v>11.22</v>
      </c>
      <c r="C429" s="218">
        <f t="shared" si="30"/>
        <v>-11.22</v>
      </c>
      <c r="D429" s="218">
        <v>0.81</v>
      </c>
      <c r="E429" s="218">
        <v>0.18</v>
      </c>
      <c r="F429" s="218">
        <v>4.51</v>
      </c>
      <c r="Q429" s="218">
        <v>11.27</v>
      </c>
      <c r="R429" s="251">
        <f t="shared" si="31"/>
        <v>-11.27</v>
      </c>
      <c r="S429" s="218">
        <v>0.81</v>
      </c>
      <c r="T429" s="218">
        <v>0.18</v>
      </c>
      <c r="U429" s="218">
        <v>4.4800000000000004</v>
      </c>
      <c r="AF429" s="218">
        <v>11.19</v>
      </c>
      <c r="AG429" s="251">
        <f t="shared" si="32"/>
        <v>-11.19</v>
      </c>
      <c r="AH429" s="218">
        <v>0.81</v>
      </c>
      <c r="AI429" s="218">
        <v>0.18</v>
      </c>
      <c r="AJ429" s="218">
        <v>4.55</v>
      </c>
      <c r="AV429" s="218">
        <v>11.18</v>
      </c>
      <c r="AW429" s="251">
        <f t="shared" si="33"/>
        <v>-11.18</v>
      </c>
      <c r="AX429" s="218">
        <v>0.81</v>
      </c>
      <c r="AY429" s="218">
        <v>0.18</v>
      </c>
      <c r="AZ429" s="218">
        <v>4.51</v>
      </c>
      <c r="BL429" s="218">
        <v>11.1</v>
      </c>
      <c r="BM429" s="251">
        <f t="shared" si="34"/>
        <v>-11.1</v>
      </c>
      <c r="BN429" s="218">
        <v>0.81</v>
      </c>
      <c r="BO429" s="218">
        <v>0.18</v>
      </c>
      <c r="BP429" s="218">
        <v>4.49</v>
      </c>
    </row>
    <row r="430" spans="2:68">
      <c r="B430" s="218">
        <v>11.24</v>
      </c>
      <c r="C430" s="218">
        <f t="shared" si="30"/>
        <v>-11.24</v>
      </c>
      <c r="D430" s="218">
        <v>0.81</v>
      </c>
      <c r="E430" s="218">
        <v>0.18</v>
      </c>
      <c r="F430" s="218">
        <v>4.51</v>
      </c>
      <c r="Q430" s="218">
        <v>11.29</v>
      </c>
      <c r="R430" s="251">
        <f t="shared" si="31"/>
        <v>-11.29</v>
      </c>
      <c r="S430" s="218">
        <v>0.81</v>
      </c>
      <c r="T430" s="218">
        <v>0.18</v>
      </c>
      <c r="U430" s="218">
        <v>4.4800000000000004</v>
      </c>
      <c r="AF430" s="218">
        <v>11.21</v>
      </c>
      <c r="AG430" s="251">
        <f t="shared" si="32"/>
        <v>-11.21</v>
      </c>
      <c r="AH430" s="218">
        <v>0.81</v>
      </c>
      <c r="AI430" s="218">
        <v>0.18</v>
      </c>
      <c r="AJ430" s="218">
        <v>4.55</v>
      </c>
      <c r="AV430" s="218">
        <v>11.2</v>
      </c>
      <c r="AW430" s="251">
        <f t="shared" si="33"/>
        <v>-11.2</v>
      </c>
      <c r="AX430" s="218">
        <v>0.81</v>
      </c>
      <c r="AY430" s="218">
        <v>0.18</v>
      </c>
      <c r="AZ430" s="218">
        <v>4.51</v>
      </c>
      <c r="BL430" s="218">
        <v>11.12</v>
      </c>
      <c r="BM430" s="251">
        <f t="shared" si="34"/>
        <v>-11.12</v>
      </c>
      <c r="BN430" s="218">
        <v>0.81</v>
      </c>
      <c r="BO430" s="218">
        <v>0.18</v>
      </c>
      <c r="BP430" s="218">
        <v>4.49</v>
      </c>
    </row>
    <row r="431" spans="2:68">
      <c r="B431" s="218">
        <v>11.27</v>
      </c>
      <c r="C431" s="218">
        <f t="shared" si="30"/>
        <v>-11.27</v>
      </c>
      <c r="D431" s="218">
        <v>0.81</v>
      </c>
      <c r="E431" s="218">
        <v>0.18</v>
      </c>
      <c r="F431" s="218">
        <v>4.51</v>
      </c>
      <c r="Q431" s="218">
        <v>11.32</v>
      </c>
      <c r="R431" s="251">
        <f t="shared" si="31"/>
        <v>-11.32</v>
      </c>
      <c r="S431" s="218">
        <v>0.81</v>
      </c>
      <c r="T431" s="218">
        <v>0.18</v>
      </c>
      <c r="U431" s="218">
        <v>4.4800000000000004</v>
      </c>
      <c r="AF431" s="218">
        <v>11.24</v>
      </c>
      <c r="AG431" s="251">
        <f t="shared" si="32"/>
        <v>-11.24</v>
      </c>
      <c r="AH431" s="218">
        <v>0.81</v>
      </c>
      <c r="AI431" s="218">
        <v>0.18</v>
      </c>
      <c r="AJ431" s="218">
        <v>4.55</v>
      </c>
      <c r="AV431" s="218">
        <v>11.23</v>
      </c>
      <c r="AW431" s="251">
        <f t="shared" si="33"/>
        <v>-11.23</v>
      </c>
      <c r="AX431" s="218">
        <v>0.81</v>
      </c>
      <c r="AY431" s="218">
        <v>0.18</v>
      </c>
      <c r="AZ431" s="218">
        <v>4.51</v>
      </c>
      <c r="BL431" s="218">
        <v>11.15</v>
      </c>
      <c r="BM431" s="251">
        <f t="shared" si="34"/>
        <v>-11.15</v>
      </c>
      <c r="BN431" s="218">
        <v>0.81</v>
      </c>
      <c r="BO431" s="218">
        <v>0.18</v>
      </c>
      <c r="BP431" s="218">
        <v>4.49</v>
      </c>
    </row>
    <row r="432" spans="2:68">
      <c r="B432" s="218">
        <v>11.29</v>
      </c>
      <c r="C432" s="218">
        <f t="shared" si="30"/>
        <v>-11.29</v>
      </c>
      <c r="D432" s="218">
        <v>0.81</v>
      </c>
      <c r="E432" s="218">
        <v>0.18</v>
      </c>
      <c r="F432" s="218">
        <v>4.51</v>
      </c>
      <c r="Q432" s="218">
        <v>11.34</v>
      </c>
      <c r="R432" s="251">
        <f t="shared" si="31"/>
        <v>-11.34</v>
      </c>
      <c r="S432" s="218">
        <v>0.81</v>
      </c>
      <c r="T432" s="218">
        <v>0.18</v>
      </c>
      <c r="U432" s="218">
        <v>4.4800000000000004</v>
      </c>
      <c r="AF432" s="218">
        <v>11.26</v>
      </c>
      <c r="AG432" s="251">
        <f t="shared" si="32"/>
        <v>-11.26</v>
      </c>
      <c r="AH432" s="218">
        <v>0.81</v>
      </c>
      <c r="AI432" s="218">
        <v>0.18</v>
      </c>
      <c r="AJ432" s="218">
        <v>4.55</v>
      </c>
      <c r="AV432" s="218">
        <v>11.25</v>
      </c>
      <c r="AW432" s="251">
        <f t="shared" si="33"/>
        <v>-11.25</v>
      </c>
      <c r="AX432" s="218">
        <v>0.81</v>
      </c>
      <c r="AY432" s="218">
        <v>0.18</v>
      </c>
      <c r="AZ432" s="218">
        <v>4.51</v>
      </c>
      <c r="BL432" s="218">
        <v>11.17</v>
      </c>
      <c r="BM432" s="251">
        <f t="shared" si="34"/>
        <v>-11.17</v>
      </c>
      <c r="BN432" s="218">
        <v>0.81</v>
      </c>
      <c r="BO432" s="218">
        <v>0.18</v>
      </c>
      <c r="BP432" s="218">
        <v>4.49</v>
      </c>
    </row>
    <row r="433" spans="2:68">
      <c r="B433" s="218">
        <v>11.32</v>
      </c>
      <c r="C433" s="218">
        <f t="shared" si="30"/>
        <v>-11.32</v>
      </c>
      <c r="D433" s="218">
        <v>0.81</v>
      </c>
      <c r="E433" s="218">
        <v>0.18</v>
      </c>
      <c r="F433" s="218">
        <v>4.51</v>
      </c>
      <c r="Q433" s="218">
        <v>11.37</v>
      </c>
      <c r="R433" s="251">
        <f t="shared" si="31"/>
        <v>-11.37</v>
      </c>
      <c r="S433" s="218">
        <v>0.81</v>
      </c>
      <c r="T433" s="218">
        <v>0.18</v>
      </c>
      <c r="U433" s="218">
        <v>4.4800000000000004</v>
      </c>
      <c r="AF433" s="218">
        <v>11.29</v>
      </c>
      <c r="AG433" s="251">
        <f t="shared" si="32"/>
        <v>-11.29</v>
      </c>
      <c r="AH433" s="218">
        <v>0.81</v>
      </c>
      <c r="AI433" s="218">
        <v>0.18</v>
      </c>
      <c r="AJ433" s="218">
        <v>4.55</v>
      </c>
      <c r="AV433" s="218">
        <v>11.28</v>
      </c>
      <c r="AW433" s="251">
        <f t="shared" si="33"/>
        <v>-11.28</v>
      </c>
      <c r="AX433" s="218">
        <v>0.81</v>
      </c>
      <c r="AY433" s="218">
        <v>0.18</v>
      </c>
      <c r="AZ433" s="218">
        <v>4.51</v>
      </c>
      <c r="BL433" s="218">
        <v>11.2</v>
      </c>
      <c r="BM433" s="251">
        <f t="shared" si="34"/>
        <v>-11.2</v>
      </c>
      <c r="BN433" s="218">
        <v>0.81</v>
      </c>
      <c r="BO433" s="218">
        <v>0.18</v>
      </c>
      <c r="BP433" s="218">
        <v>4.49</v>
      </c>
    </row>
    <row r="434" spans="2:68">
      <c r="B434" s="218">
        <v>11.34</v>
      </c>
      <c r="C434" s="218">
        <f t="shared" si="30"/>
        <v>-11.34</v>
      </c>
      <c r="D434" s="218">
        <v>0.81</v>
      </c>
      <c r="E434" s="218">
        <v>0.18</v>
      </c>
      <c r="F434" s="218">
        <v>4.51</v>
      </c>
      <c r="Q434" s="218">
        <v>11.39</v>
      </c>
      <c r="R434" s="251">
        <f t="shared" si="31"/>
        <v>-11.39</v>
      </c>
      <c r="S434" s="218">
        <v>0.81</v>
      </c>
      <c r="T434" s="218">
        <v>0.18</v>
      </c>
      <c r="U434" s="218">
        <v>4.4800000000000004</v>
      </c>
      <c r="AF434" s="218">
        <v>11.31</v>
      </c>
      <c r="AG434" s="251">
        <f t="shared" si="32"/>
        <v>-11.31</v>
      </c>
      <c r="AH434" s="218">
        <v>0.81</v>
      </c>
      <c r="AI434" s="218">
        <v>0.18</v>
      </c>
      <c r="AJ434" s="218">
        <v>4.55</v>
      </c>
      <c r="AV434" s="218">
        <v>11.3</v>
      </c>
      <c r="AW434" s="251">
        <f t="shared" si="33"/>
        <v>-11.3</v>
      </c>
      <c r="AX434" s="218">
        <v>0.81</v>
      </c>
      <c r="AY434" s="218">
        <v>0.18</v>
      </c>
      <c r="AZ434" s="218">
        <v>4.51</v>
      </c>
      <c r="BL434" s="218">
        <v>11.22</v>
      </c>
      <c r="BM434" s="251">
        <f t="shared" si="34"/>
        <v>-11.22</v>
      </c>
      <c r="BN434" s="218">
        <v>0.81</v>
      </c>
      <c r="BO434" s="218">
        <v>0.18</v>
      </c>
      <c r="BP434" s="218">
        <v>4.49</v>
      </c>
    </row>
    <row r="435" spans="2:68">
      <c r="B435" s="218">
        <v>11.37</v>
      </c>
      <c r="C435" s="218">
        <f t="shared" si="30"/>
        <v>-11.37</v>
      </c>
      <c r="D435" s="218">
        <v>0.81</v>
      </c>
      <c r="E435" s="218">
        <v>0.18</v>
      </c>
      <c r="F435" s="218">
        <v>4.51</v>
      </c>
      <c r="Q435" s="218">
        <v>11.42</v>
      </c>
      <c r="R435" s="251">
        <f t="shared" si="31"/>
        <v>-11.42</v>
      </c>
      <c r="S435" s="218">
        <v>0.81</v>
      </c>
      <c r="T435" s="218">
        <v>0.18</v>
      </c>
      <c r="U435" s="218">
        <v>4.4800000000000004</v>
      </c>
      <c r="AF435" s="218">
        <v>11.34</v>
      </c>
      <c r="AG435" s="251">
        <f t="shared" si="32"/>
        <v>-11.34</v>
      </c>
      <c r="AH435" s="218">
        <v>0.81</v>
      </c>
      <c r="AI435" s="218">
        <v>0.18</v>
      </c>
      <c r="AJ435" s="218">
        <v>4.55</v>
      </c>
      <c r="AV435" s="218">
        <v>11.33</v>
      </c>
      <c r="AW435" s="251">
        <f t="shared" si="33"/>
        <v>-11.33</v>
      </c>
      <c r="AX435" s="218">
        <v>0.81</v>
      </c>
      <c r="AY435" s="218">
        <v>0.18</v>
      </c>
      <c r="AZ435" s="218">
        <v>4.51</v>
      </c>
      <c r="BL435" s="218">
        <v>11.25</v>
      </c>
      <c r="BM435" s="251">
        <f t="shared" si="34"/>
        <v>-11.25</v>
      </c>
      <c r="BN435" s="218">
        <v>0.81</v>
      </c>
      <c r="BO435" s="218">
        <v>0.18</v>
      </c>
      <c r="BP435" s="218">
        <v>4.49</v>
      </c>
    </row>
    <row r="436" spans="2:68">
      <c r="B436" s="218">
        <v>11.39</v>
      </c>
      <c r="C436" s="218">
        <f t="shared" si="30"/>
        <v>-11.39</v>
      </c>
      <c r="D436" s="218">
        <v>0.81</v>
      </c>
      <c r="E436" s="218">
        <v>0.18</v>
      </c>
      <c r="F436" s="218">
        <v>4.51</v>
      </c>
      <c r="Q436" s="218">
        <v>11.44</v>
      </c>
      <c r="R436" s="251">
        <f t="shared" si="31"/>
        <v>-11.44</v>
      </c>
      <c r="S436" s="218">
        <v>0.81</v>
      </c>
      <c r="T436" s="218">
        <v>0.18</v>
      </c>
      <c r="U436" s="218">
        <v>4.4800000000000004</v>
      </c>
      <c r="AF436" s="218">
        <v>11.36</v>
      </c>
      <c r="AG436" s="251">
        <f t="shared" si="32"/>
        <v>-11.36</v>
      </c>
      <c r="AH436" s="218">
        <v>0.81</v>
      </c>
      <c r="AI436" s="218">
        <v>0.18</v>
      </c>
      <c r="AJ436" s="218">
        <v>4.55</v>
      </c>
      <c r="AV436" s="218">
        <v>11.35</v>
      </c>
      <c r="AW436" s="251">
        <f t="shared" si="33"/>
        <v>-11.35</v>
      </c>
      <c r="AX436" s="218">
        <v>0.81</v>
      </c>
      <c r="AY436" s="218">
        <v>0.18</v>
      </c>
      <c r="AZ436" s="218">
        <v>4.51</v>
      </c>
      <c r="BL436" s="218">
        <v>11.27</v>
      </c>
      <c r="BM436" s="251">
        <f t="shared" si="34"/>
        <v>-11.27</v>
      </c>
      <c r="BN436" s="218">
        <v>0.81</v>
      </c>
      <c r="BO436" s="218">
        <v>0.18</v>
      </c>
      <c r="BP436" s="218">
        <v>4.49</v>
      </c>
    </row>
    <row r="437" spans="2:68">
      <c r="B437" s="218">
        <v>11.42</v>
      </c>
      <c r="C437" s="218">
        <f t="shared" si="30"/>
        <v>-11.42</v>
      </c>
      <c r="D437" s="218">
        <v>0.81</v>
      </c>
      <c r="E437" s="218">
        <v>0.18</v>
      </c>
      <c r="F437" s="218">
        <v>4.51</v>
      </c>
      <c r="Q437" s="218">
        <v>11.47</v>
      </c>
      <c r="R437" s="251">
        <f t="shared" si="31"/>
        <v>-11.47</v>
      </c>
      <c r="S437" s="218">
        <v>0.81</v>
      </c>
      <c r="T437" s="218">
        <v>0.18</v>
      </c>
      <c r="U437" s="218">
        <v>4.4800000000000004</v>
      </c>
      <c r="AF437" s="218">
        <v>11.39</v>
      </c>
      <c r="AG437" s="251">
        <f t="shared" si="32"/>
        <v>-11.39</v>
      </c>
      <c r="AH437" s="218">
        <v>0.81</v>
      </c>
      <c r="AI437" s="218">
        <v>0.18</v>
      </c>
      <c r="AJ437" s="218">
        <v>4.55</v>
      </c>
      <c r="AV437" s="218">
        <v>11.38</v>
      </c>
      <c r="AW437" s="251">
        <f t="shared" si="33"/>
        <v>-11.38</v>
      </c>
      <c r="AX437" s="218">
        <v>0.81</v>
      </c>
      <c r="AY437" s="218">
        <v>0.18</v>
      </c>
      <c r="AZ437" s="218">
        <v>4.51</v>
      </c>
      <c r="BL437" s="218">
        <v>11.3</v>
      </c>
      <c r="BM437" s="251">
        <f t="shared" si="34"/>
        <v>-11.3</v>
      </c>
      <c r="BN437" s="218">
        <v>0.81</v>
      </c>
      <c r="BO437" s="218">
        <v>0.18</v>
      </c>
      <c r="BP437" s="218">
        <v>4.49</v>
      </c>
    </row>
    <row r="438" spans="2:68">
      <c r="B438" s="218">
        <v>11.44</v>
      </c>
      <c r="C438" s="218">
        <f t="shared" si="30"/>
        <v>-11.44</v>
      </c>
      <c r="D438" s="218">
        <v>0.81</v>
      </c>
      <c r="E438" s="218">
        <v>0.18</v>
      </c>
      <c r="F438" s="218">
        <v>4.51</v>
      </c>
      <c r="Q438" s="218">
        <v>11.49</v>
      </c>
      <c r="R438" s="251">
        <f t="shared" si="31"/>
        <v>-11.49</v>
      </c>
      <c r="S438" s="218">
        <v>0.81</v>
      </c>
      <c r="T438" s="218">
        <v>0.18</v>
      </c>
      <c r="U438" s="218">
        <v>4.4800000000000004</v>
      </c>
      <c r="AF438" s="218">
        <v>11.41</v>
      </c>
      <c r="AG438" s="251">
        <f t="shared" si="32"/>
        <v>-11.41</v>
      </c>
      <c r="AH438" s="218">
        <v>0.81</v>
      </c>
      <c r="AI438" s="218">
        <v>0.18</v>
      </c>
      <c r="AJ438" s="218">
        <v>4.55</v>
      </c>
      <c r="AV438" s="218">
        <v>11.4</v>
      </c>
      <c r="AW438" s="251">
        <f t="shared" si="33"/>
        <v>-11.4</v>
      </c>
      <c r="AX438" s="218">
        <v>0.81</v>
      </c>
      <c r="AY438" s="218">
        <v>0.18</v>
      </c>
      <c r="AZ438" s="218">
        <v>4.51</v>
      </c>
      <c r="BL438" s="218">
        <v>11.32</v>
      </c>
      <c r="BM438" s="251">
        <f t="shared" si="34"/>
        <v>-11.32</v>
      </c>
      <c r="BN438" s="218">
        <v>0.81</v>
      </c>
      <c r="BO438" s="218">
        <v>0.18</v>
      </c>
      <c r="BP438" s="218">
        <v>4.49</v>
      </c>
    </row>
    <row r="439" spans="2:68">
      <c r="B439" s="218">
        <v>11.47</v>
      </c>
      <c r="C439" s="218">
        <f t="shared" si="30"/>
        <v>-11.47</v>
      </c>
      <c r="D439" s="218">
        <v>0.81</v>
      </c>
      <c r="E439" s="218">
        <v>0.18</v>
      </c>
      <c r="F439" s="218">
        <v>4.51</v>
      </c>
      <c r="Q439" s="218">
        <v>11.52</v>
      </c>
      <c r="R439" s="251">
        <f t="shared" si="31"/>
        <v>-11.52</v>
      </c>
      <c r="S439" s="218">
        <v>0.81</v>
      </c>
      <c r="T439" s="218">
        <v>0.18</v>
      </c>
      <c r="U439" s="218">
        <v>4.4800000000000004</v>
      </c>
      <c r="AF439" s="218">
        <v>11.44</v>
      </c>
      <c r="AG439" s="251">
        <f t="shared" si="32"/>
        <v>-11.44</v>
      </c>
      <c r="AH439" s="218">
        <v>0.81</v>
      </c>
      <c r="AI439" s="218">
        <v>0.18</v>
      </c>
      <c r="AJ439" s="218">
        <v>4.55</v>
      </c>
      <c r="AV439" s="218">
        <v>11.43</v>
      </c>
      <c r="AW439" s="251">
        <f t="shared" si="33"/>
        <v>-11.43</v>
      </c>
      <c r="AX439" s="218">
        <v>0.81</v>
      </c>
      <c r="AY439" s="218">
        <v>0.18</v>
      </c>
      <c r="AZ439" s="218">
        <v>4.51</v>
      </c>
      <c r="BL439" s="218">
        <v>11.35</v>
      </c>
      <c r="BM439" s="251">
        <f t="shared" si="34"/>
        <v>-11.35</v>
      </c>
      <c r="BN439" s="218">
        <v>0.81</v>
      </c>
      <c r="BO439" s="218">
        <v>0.18</v>
      </c>
      <c r="BP439" s="218">
        <v>4.49</v>
      </c>
    </row>
    <row r="440" spans="2:68">
      <c r="B440" s="218">
        <v>11.49</v>
      </c>
      <c r="C440" s="218">
        <f t="shared" si="30"/>
        <v>-11.49</v>
      </c>
      <c r="D440" s="218">
        <v>0.81</v>
      </c>
      <c r="E440" s="218">
        <v>0.18</v>
      </c>
      <c r="F440" s="218">
        <v>4.51</v>
      </c>
      <c r="Q440" s="218">
        <v>11.54</v>
      </c>
      <c r="R440" s="251">
        <f t="shared" si="31"/>
        <v>-11.54</v>
      </c>
      <c r="S440" s="218">
        <v>0.81</v>
      </c>
      <c r="T440" s="218">
        <v>0.18</v>
      </c>
      <c r="U440" s="218">
        <v>4.4800000000000004</v>
      </c>
      <c r="AF440" s="218">
        <v>11.46</v>
      </c>
      <c r="AG440" s="251">
        <f t="shared" si="32"/>
        <v>-11.46</v>
      </c>
      <c r="AH440" s="218">
        <v>0.81</v>
      </c>
      <c r="AI440" s="218">
        <v>0.18</v>
      </c>
      <c r="AJ440" s="218">
        <v>4.55</v>
      </c>
      <c r="AV440" s="218">
        <v>11.45</v>
      </c>
      <c r="AW440" s="251">
        <f t="shared" si="33"/>
        <v>-11.45</v>
      </c>
      <c r="AX440" s="218">
        <v>0.81</v>
      </c>
      <c r="AY440" s="218">
        <v>0.18</v>
      </c>
      <c r="AZ440" s="218">
        <v>4.51</v>
      </c>
      <c r="BL440" s="218">
        <v>11.37</v>
      </c>
      <c r="BM440" s="251">
        <f t="shared" si="34"/>
        <v>-11.37</v>
      </c>
      <c r="BN440" s="218">
        <v>0.81</v>
      </c>
      <c r="BO440" s="218">
        <v>0.18</v>
      </c>
      <c r="BP440" s="218">
        <v>4.49</v>
      </c>
    </row>
    <row r="441" spans="2:68">
      <c r="B441" s="218">
        <v>11.52</v>
      </c>
      <c r="C441" s="218">
        <f t="shared" si="30"/>
        <v>-11.52</v>
      </c>
      <c r="D441" s="218">
        <v>0.81</v>
      </c>
      <c r="E441" s="218">
        <v>0.18</v>
      </c>
      <c r="F441" s="218">
        <v>4.51</v>
      </c>
      <c r="Q441" s="218">
        <v>11.57</v>
      </c>
      <c r="R441" s="251">
        <f t="shared" si="31"/>
        <v>-11.57</v>
      </c>
      <c r="S441" s="218">
        <v>0.81</v>
      </c>
      <c r="T441" s="218">
        <v>0.18</v>
      </c>
      <c r="U441" s="218">
        <v>4.4800000000000004</v>
      </c>
      <c r="AF441" s="218">
        <v>11.49</v>
      </c>
      <c r="AG441" s="251">
        <f t="shared" si="32"/>
        <v>-11.49</v>
      </c>
      <c r="AH441" s="218">
        <v>0.81</v>
      </c>
      <c r="AI441" s="218">
        <v>0.18</v>
      </c>
      <c r="AJ441" s="218">
        <v>4.55</v>
      </c>
      <c r="AV441" s="218">
        <v>11.48</v>
      </c>
      <c r="AW441" s="251">
        <f t="shared" si="33"/>
        <v>-11.48</v>
      </c>
      <c r="AX441" s="218">
        <v>0.81</v>
      </c>
      <c r="AY441" s="218">
        <v>0.18</v>
      </c>
      <c r="AZ441" s="218">
        <v>4.51</v>
      </c>
      <c r="BL441" s="218">
        <v>11.4</v>
      </c>
      <c r="BM441" s="251">
        <f t="shared" si="34"/>
        <v>-11.4</v>
      </c>
      <c r="BN441" s="218">
        <v>0.81</v>
      </c>
      <c r="BO441" s="218">
        <v>0.18</v>
      </c>
      <c r="BP441" s="218">
        <v>4.49</v>
      </c>
    </row>
    <row r="442" spans="2:68">
      <c r="B442" s="218">
        <v>11.54</v>
      </c>
      <c r="C442" s="218">
        <f t="shared" si="30"/>
        <v>-11.54</v>
      </c>
      <c r="D442" s="218">
        <v>0.81</v>
      </c>
      <c r="E442" s="218">
        <v>0.18</v>
      </c>
      <c r="F442" s="218">
        <v>4.51</v>
      </c>
      <c r="Q442" s="218">
        <v>11.59</v>
      </c>
      <c r="R442" s="251">
        <f t="shared" si="31"/>
        <v>-11.59</v>
      </c>
      <c r="S442" s="218">
        <v>0.81</v>
      </c>
      <c r="T442" s="218">
        <v>0.18</v>
      </c>
      <c r="U442" s="218">
        <v>4.4800000000000004</v>
      </c>
      <c r="AF442" s="218">
        <v>11.51</v>
      </c>
      <c r="AG442" s="251">
        <f t="shared" si="32"/>
        <v>-11.51</v>
      </c>
      <c r="AH442" s="218">
        <v>0.81</v>
      </c>
      <c r="AI442" s="218">
        <v>0.18</v>
      </c>
      <c r="AJ442" s="218">
        <v>4.55</v>
      </c>
      <c r="AV442" s="218">
        <v>11.5</v>
      </c>
      <c r="AW442" s="251">
        <f t="shared" si="33"/>
        <v>-11.5</v>
      </c>
      <c r="AX442" s="218">
        <v>0.81</v>
      </c>
      <c r="AY442" s="218">
        <v>0.18</v>
      </c>
      <c r="AZ442" s="218">
        <v>4.51</v>
      </c>
      <c r="BL442" s="218">
        <v>11.42</v>
      </c>
      <c r="BM442" s="251">
        <f t="shared" si="34"/>
        <v>-11.42</v>
      </c>
      <c r="BN442" s="218">
        <v>0.81</v>
      </c>
      <c r="BO442" s="218">
        <v>0.18</v>
      </c>
      <c r="BP442" s="218">
        <v>4.49</v>
      </c>
    </row>
    <row r="443" spans="2:68">
      <c r="B443" s="218">
        <v>11.57</v>
      </c>
      <c r="C443" s="218">
        <f t="shared" si="30"/>
        <v>-11.57</v>
      </c>
      <c r="D443" s="218">
        <v>0.81</v>
      </c>
      <c r="E443" s="218">
        <v>0.18</v>
      </c>
      <c r="F443" s="218">
        <v>4.51</v>
      </c>
      <c r="Q443" s="218">
        <v>11.62</v>
      </c>
      <c r="R443" s="251">
        <f t="shared" si="31"/>
        <v>-11.62</v>
      </c>
      <c r="S443" s="218">
        <v>0.81</v>
      </c>
      <c r="T443" s="218">
        <v>0.18</v>
      </c>
      <c r="U443" s="218">
        <v>4.4800000000000004</v>
      </c>
      <c r="AF443" s="218">
        <v>11.54</v>
      </c>
      <c r="AG443" s="251">
        <f t="shared" si="32"/>
        <v>-11.54</v>
      </c>
      <c r="AH443" s="218">
        <v>0.81</v>
      </c>
      <c r="AI443" s="218">
        <v>0.18</v>
      </c>
      <c r="AJ443" s="218">
        <v>4.55</v>
      </c>
      <c r="AV443" s="218">
        <v>11.53</v>
      </c>
      <c r="AW443" s="251">
        <f t="shared" si="33"/>
        <v>-11.53</v>
      </c>
      <c r="AX443" s="218">
        <v>0.81</v>
      </c>
      <c r="AY443" s="218">
        <v>0.18</v>
      </c>
      <c r="AZ443" s="218">
        <v>4.51</v>
      </c>
      <c r="BL443" s="218">
        <v>11.45</v>
      </c>
      <c r="BM443" s="251">
        <f t="shared" si="34"/>
        <v>-11.45</v>
      </c>
      <c r="BN443" s="218">
        <v>0.81</v>
      </c>
      <c r="BO443" s="218">
        <v>0.18</v>
      </c>
      <c r="BP443" s="218">
        <v>4.49</v>
      </c>
    </row>
    <row r="444" spans="2:68">
      <c r="B444" s="218">
        <v>11.59</v>
      </c>
      <c r="C444" s="218">
        <f t="shared" si="30"/>
        <v>-11.59</v>
      </c>
      <c r="D444" s="218">
        <v>0.81</v>
      </c>
      <c r="E444" s="218">
        <v>0.18</v>
      </c>
      <c r="F444" s="218">
        <v>4.51</v>
      </c>
      <c r="Q444" s="218">
        <v>11.64</v>
      </c>
      <c r="R444" s="251">
        <f t="shared" si="31"/>
        <v>-11.64</v>
      </c>
      <c r="S444" s="218">
        <v>0.81</v>
      </c>
      <c r="T444" s="218">
        <v>0.18</v>
      </c>
      <c r="U444" s="218">
        <v>4.4800000000000004</v>
      </c>
      <c r="AF444" s="218">
        <v>11.56</v>
      </c>
      <c r="AG444" s="251">
        <f t="shared" si="32"/>
        <v>-11.56</v>
      </c>
      <c r="AH444" s="218">
        <v>0.81</v>
      </c>
      <c r="AI444" s="218">
        <v>0.18</v>
      </c>
      <c r="AJ444" s="218">
        <v>4.55</v>
      </c>
      <c r="AV444" s="218">
        <v>11.55</v>
      </c>
      <c r="AW444" s="251">
        <f t="shared" si="33"/>
        <v>-11.55</v>
      </c>
      <c r="AX444" s="218">
        <v>0.81</v>
      </c>
      <c r="AY444" s="218">
        <v>0.18</v>
      </c>
      <c r="AZ444" s="218">
        <v>4.51</v>
      </c>
      <c r="BL444" s="218">
        <v>11.47</v>
      </c>
      <c r="BM444" s="251">
        <f t="shared" si="34"/>
        <v>-11.47</v>
      </c>
      <c r="BN444" s="218">
        <v>0.81</v>
      </c>
      <c r="BO444" s="218">
        <v>0.18</v>
      </c>
      <c r="BP444" s="218">
        <v>4.49</v>
      </c>
    </row>
    <row r="445" spans="2:68">
      <c r="B445" s="218">
        <v>11.62</v>
      </c>
      <c r="C445" s="218">
        <f t="shared" si="30"/>
        <v>-11.62</v>
      </c>
      <c r="D445" s="218">
        <v>0.81</v>
      </c>
      <c r="E445" s="218">
        <v>0.18</v>
      </c>
      <c r="F445" s="218">
        <v>4.51</v>
      </c>
      <c r="Q445" s="218">
        <v>11.67</v>
      </c>
      <c r="R445" s="251">
        <f t="shared" si="31"/>
        <v>-11.67</v>
      </c>
      <c r="S445" s="218">
        <v>0.81</v>
      </c>
      <c r="T445" s="218">
        <v>0.18</v>
      </c>
      <c r="U445" s="218">
        <v>4.4800000000000004</v>
      </c>
      <c r="AF445" s="218">
        <v>11.59</v>
      </c>
      <c r="AG445" s="251">
        <f t="shared" si="32"/>
        <v>-11.59</v>
      </c>
      <c r="AH445" s="218">
        <v>0.81</v>
      </c>
      <c r="AI445" s="218">
        <v>0.18</v>
      </c>
      <c r="AJ445" s="218">
        <v>4.55</v>
      </c>
      <c r="AV445" s="218">
        <v>11.58</v>
      </c>
      <c r="AW445" s="251">
        <f t="shared" si="33"/>
        <v>-11.58</v>
      </c>
      <c r="AX445" s="218">
        <v>0.81</v>
      </c>
      <c r="AY445" s="218">
        <v>0.18</v>
      </c>
      <c r="AZ445" s="218">
        <v>4.51</v>
      </c>
      <c r="BL445" s="218">
        <v>11.5</v>
      </c>
      <c r="BM445" s="251">
        <f t="shared" si="34"/>
        <v>-11.5</v>
      </c>
      <c r="BN445" s="218">
        <v>0.81</v>
      </c>
      <c r="BO445" s="218">
        <v>0.18</v>
      </c>
      <c r="BP445" s="218">
        <v>4.49</v>
      </c>
    </row>
    <row r="446" spans="2:68">
      <c r="B446" s="218">
        <v>11.64</v>
      </c>
      <c r="C446" s="218">
        <f t="shared" si="30"/>
        <v>-11.64</v>
      </c>
      <c r="D446" s="218">
        <v>0.81</v>
      </c>
      <c r="E446" s="218">
        <v>0.18</v>
      </c>
      <c r="F446" s="218">
        <v>4.51</v>
      </c>
      <c r="Q446" s="218">
        <v>11.69</v>
      </c>
      <c r="R446" s="251">
        <f t="shared" si="31"/>
        <v>-11.69</v>
      </c>
      <c r="S446" s="218">
        <v>0.81</v>
      </c>
      <c r="T446" s="218">
        <v>0.18</v>
      </c>
      <c r="U446" s="218">
        <v>4.4800000000000004</v>
      </c>
      <c r="AF446" s="218">
        <v>11.61</v>
      </c>
      <c r="AG446" s="251">
        <f t="shared" si="32"/>
        <v>-11.61</v>
      </c>
      <c r="AH446" s="218">
        <v>0.81</v>
      </c>
      <c r="AI446" s="218">
        <v>0.18</v>
      </c>
      <c r="AJ446" s="218">
        <v>4.55</v>
      </c>
      <c r="AV446" s="218">
        <v>11.6</v>
      </c>
      <c r="AW446" s="251">
        <f t="shared" si="33"/>
        <v>-11.6</v>
      </c>
      <c r="AX446" s="218">
        <v>0.81</v>
      </c>
      <c r="AY446" s="218">
        <v>0.18</v>
      </c>
      <c r="AZ446" s="218">
        <v>4.51</v>
      </c>
      <c r="BL446" s="218">
        <v>11.52</v>
      </c>
      <c r="BM446" s="251">
        <f t="shared" si="34"/>
        <v>-11.52</v>
      </c>
      <c r="BN446" s="218">
        <v>0.81</v>
      </c>
      <c r="BO446" s="218">
        <v>0.18</v>
      </c>
      <c r="BP446" s="218">
        <v>4.49</v>
      </c>
    </row>
    <row r="447" spans="2:68">
      <c r="B447" s="218">
        <v>11.67</v>
      </c>
      <c r="C447" s="218">
        <f t="shared" si="30"/>
        <v>-11.67</v>
      </c>
      <c r="D447" s="218">
        <v>0.81</v>
      </c>
      <c r="E447" s="218">
        <v>0.18</v>
      </c>
      <c r="F447" s="218">
        <v>4.51</v>
      </c>
      <c r="Q447" s="218">
        <v>11.72</v>
      </c>
      <c r="R447" s="251">
        <f t="shared" si="31"/>
        <v>-11.72</v>
      </c>
      <c r="S447" s="218">
        <v>0.81</v>
      </c>
      <c r="T447" s="218">
        <v>0.18</v>
      </c>
      <c r="U447" s="218">
        <v>4.4800000000000004</v>
      </c>
      <c r="AF447" s="218">
        <v>11.64</v>
      </c>
      <c r="AG447" s="251">
        <f t="shared" si="32"/>
        <v>-11.64</v>
      </c>
      <c r="AH447" s="218">
        <v>0.81</v>
      </c>
      <c r="AI447" s="218">
        <v>0.18</v>
      </c>
      <c r="AJ447" s="218">
        <v>4.55</v>
      </c>
      <c r="AV447" s="218">
        <v>11.63</v>
      </c>
      <c r="AW447" s="251">
        <f t="shared" si="33"/>
        <v>-11.63</v>
      </c>
      <c r="AX447" s="218">
        <v>0.81</v>
      </c>
      <c r="AY447" s="218">
        <v>0.18</v>
      </c>
      <c r="AZ447" s="218">
        <v>4.51</v>
      </c>
      <c r="BL447" s="218">
        <v>11.55</v>
      </c>
      <c r="BM447" s="251">
        <f t="shared" si="34"/>
        <v>-11.55</v>
      </c>
      <c r="BN447" s="218">
        <v>0.81</v>
      </c>
      <c r="BO447" s="218">
        <v>0.18</v>
      </c>
      <c r="BP447" s="218">
        <v>4.49</v>
      </c>
    </row>
    <row r="448" spans="2:68">
      <c r="B448" s="218">
        <v>11.69</v>
      </c>
      <c r="C448" s="218">
        <f t="shared" si="30"/>
        <v>-11.69</v>
      </c>
      <c r="D448" s="218">
        <v>0.81</v>
      </c>
      <c r="E448" s="218">
        <v>0.18</v>
      </c>
      <c r="F448" s="218">
        <v>4.51</v>
      </c>
      <c r="Q448" s="218">
        <v>11.74</v>
      </c>
      <c r="R448" s="251">
        <f t="shared" si="31"/>
        <v>-11.74</v>
      </c>
      <c r="S448" s="218">
        <v>0.81</v>
      </c>
      <c r="T448" s="218">
        <v>0.18</v>
      </c>
      <c r="U448" s="218">
        <v>4.4800000000000004</v>
      </c>
      <c r="AF448" s="218">
        <v>11.66</v>
      </c>
      <c r="AG448" s="251">
        <f t="shared" si="32"/>
        <v>-11.66</v>
      </c>
      <c r="AH448" s="218">
        <v>0.81</v>
      </c>
      <c r="AI448" s="218">
        <v>0.18</v>
      </c>
      <c r="AJ448" s="218">
        <v>4.55</v>
      </c>
      <c r="AV448" s="218">
        <v>11.65</v>
      </c>
      <c r="AW448" s="251">
        <f t="shared" si="33"/>
        <v>-11.65</v>
      </c>
      <c r="AX448" s="218">
        <v>0.81</v>
      </c>
      <c r="AY448" s="218">
        <v>0.18</v>
      </c>
      <c r="AZ448" s="218">
        <v>4.51</v>
      </c>
      <c r="BL448" s="218">
        <v>11.57</v>
      </c>
      <c r="BM448" s="251">
        <f t="shared" si="34"/>
        <v>-11.57</v>
      </c>
      <c r="BN448" s="218">
        <v>0.81</v>
      </c>
      <c r="BO448" s="218">
        <v>0.18</v>
      </c>
      <c r="BP448" s="218">
        <v>4.49</v>
      </c>
    </row>
    <row r="449" spans="2:68">
      <c r="B449" s="218">
        <v>11.72</v>
      </c>
      <c r="C449" s="218">
        <f t="shared" si="30"/>
        <v>-11.72</v>
      </c>
      <c r="D449" s="218">
        <v>0.81</v>
      </c>
      <c r="E449" s="218">
        <v>0.18</v>
      </c>
      <c r="F449" s="218">
        <v>4.51</v>
      </c>
      <c r="Q449" s="218">
        <v>11.77</v>
      </c>
      <c r="R449" s="251">
        <f t="shared" si="31"/>
        <v>-11.77</v>
      </c>
      <c r="S449" s="218">
        <v>0.81</v>
      </c>
      <c r="T449" s="218">
        <v>0.18</v>
      </c>
      <c r="U449" s="218">
        <v>4.4800000000000004</v>
      </c>
      <c r="AF449" s="218">
        <v>11.69</v>
      </c>
      <c r="AG449" s="251">
        <f t="shared" si="32"/>
        <v>-11.69</v>
      </c>
      <c r="AH449" s="218">
        <v>0.81</v>
      </c>
      <c r="AI449" s="218">
        <v>0.18</v>
      </c>
      <c r="AJ449" s="218">
        <v>4.55</v>
      </c>
      <c r="AV449" s="218">
        <v>11.68</v>
      </c>
      <c r="AW449" s="251">
        <f t="shared" si="33"/>
        <v>-11.68</v>
      </c>
      <c r="AX449" s="218">
        <v>0.81</v>
      </c>
      <c r="AY449" s="218">
        <v>0.18</v>
      </c>
      <c r="AZ449" s="218">
        <v>4.51</v>
      </c>
      <c r="BL449" s="218">
        <v>11.6</v>
      </c>
      <c r="BM449" s="251">
        <f t="shared" si="34"/>
        <v>-11.6</v>
      </c>
      <c r="BN449" s="218">
        <v>0.81</v>
      </c>
      <c r="BO449" s="218">
        <v>0.18</v>
      </c>
      <c r="BP449" s="218">
        <v>4.49</v>
      </c>
    </row>
    <row r="450" spans="2:68">
      <c r="B450" s="218">
        <v>11.74</v>
      </c>
      <c r="C450" s="218">
        <f t="shared" si="30"/>
        <v>-11.74</v>
      </c>
      <c r="D450" s="218">
        <v>0.81</v>
      </c>
      <c r="E450" s="218">
        <v>0.18</v>
      </c>
      <c r="F450" s="218">
        <v>4.51</v>
      </c>
      <c r="Q450" s="218">
        <v>11.79</v>
      </c>
      <c r="R450" s="251">
        <f t="shared" si="31"/>
        <v>-11.79</v>
      </c>
      <c r="S450" s="218">
        <v>0.81</v>
      </c>
      <c r="T450" s="218">
        <v>0.18</v>
      </c>
      <c r="U450" s="218">
        <v>4.4800000000000004</v>
      </c>
      <c r="AF450" s="218">
        <v>11.71</v>
      </c>
      <c r="AG450" s="251">
        <f t="shared" si="32"/>
        <v>-11.71</v>
      </c>
      <c r="AH450" s="218">
        <v>0.81</v>
      </c>
      <c r="AI450" s="218">
        <v>0.18</v>
      </c>
      <c r="AJ450" s="218">
        <v>4.55</v>
      </c>
      <c r="AV450" s="218">
        <v>11.7</v>
      </c>
      <c r="AW450" s="251">
        <f t="shared" si="33"/>
        <v>-11.7</v>
      </c>
      <c r="AX450" s="218">
        <v>0.81</v>
      </c>
      <c r="AY450" s="218">
        <v>0.18</v>
      </c>
      <c r="AZ450" s="218">
        <v>4.51</v>
      </c>
      <c r="BL450" s="218">
        <v>11.62</v>
      </c>
      <c r="BM450" s="251">
        <f t="shared" si="34"/>
        <v>-11.62</v>
      </c>
      <c r="BN450" s="218">
        <v>0.81</v>
      </c>
      <c r="BO450" s="218">
        <v>0.18</v>
      </c>
      <c r="BP450" s="218">
        <v>4.49</v>
      </c>
    </row>
    <row r="451" spans="2:68">
      <c r="B451" s="218">
        <v>11.77</v>
      </c>
      <c r="C451" s="218">
        <f t="shared" si="30"/>
        <v>-11.77</v>
      </c>
      <c r="D451" s="218">
        <v>0.81</v>
      </c>
      <c r="E451" s="218">
        <v>0.18</v>
      </c>
      <c r="F451" s="218">
        <v>4.5199999999999996</v>
      </c>
      <c r="Q451" s="218">
        <v>11.82</v>
      </c>
      <c r="R451" s="251">
        <f t="shared" si="31"/>
        <v>-11.82</v>
      </c>
      <c r="S451" s="218">
        <v>0.81</v>
      </c>
      <c r="T451" s="218">
        <v>0.18</v>
      </c>
      <c r="U451" s="218">
        <v>4.49</v>
      </c>
      <c r="AF451" s="218">
        <v>11.74</v>
      </c>
      <c r="AG451" s="251">
        <f t="shared" si="32"/>
        <v>-11.74</v>
      </c>
      <c r="AH451" s="218">
        <v>0.81</v>
      </c>
      <c r="AI451" s="218">
        <v>0.18</v>
      </c>
      <c r="AJ451" s="218">
        <v>4.55</v>
      </c>
      <c r="AV451" s="218">
        <v>11.73</v>
      </c>
      <c r="AW451" s="251">
        <f t="shared" si="33"/>
        <v>-11.73</v>
      </c>
      <c r="AX451" s="218">
        <v>0.81</v>
      </c>
      <c r="AY451" s="218">
        <v>0.18</v>
      </c>
      <c r="AZ451" s="218">
        <v>4.51</v>
      </c>
      <c r="BL451" s="218">
        <v>11.65</v>
      </c>
      <c r="BM451" s="251">
        <f t="shared" si="34"/>
        <v>-11.65</v>
      </c>
      <c r="BN451" s="218">
        <v>0.81</v>
      </c>
      <c r="BO451" s="218">
        <v>0.18</v>
      </c>
      <c r="BP451" s="218">
        <v>4.49</v>
      </c>
    </row>
    <row r="452" spans="2:68">
      <c r="B452" s="218">
        <v>11.79</v>
      </c>
      <c r="C452" s="218">
        <f t="shared" si="30"/>
        <v>-11.79</v>
      </c>
      <c r="D452" s="218">
        <v>0.81</v>
      </c>
      <c r="E452" s="218">
        <v>0.18</v>
      </c>
      <c r="F452" s="218">
        <v>4.5199999999999996</v>
      </c>
      <c r="Q452" s="218">
        <v>11.84</v>
      </c>
      <c r="R452" s="251">
        <f t="shared" si="31"/>
        <v>-11.84</v>
      </c>
      <c r="S452" s="218">
        <v>0.81</v>
      </c>
      <c r="T452" s="218">
        <v>0.18</v>
      </c>
      <c r="U452" s="218">
        <v>4.49</v>
      </c>
      <c r="AF452" s="218">
        <v>11.76</v>
      </c>
      <c r="AG452" s="251">
        <f t="shared" si="32"/>
        <v>-11.76</v>
      </c>
      <c r="AH452" s="218">
        <v>0.81</v>
      </c>
      <c r="AI452" s="218">
        <v>0.18</v>
      </c>
      <c r="AJ452" s="218">
        <v>4.55</v>
      </c>
      <c r="AV452" s="218">
        <v>11.75</v>
      </c>
      <c r="AW452" s="251">
        <f t="shared" si="33"/>
        <v>-11.75</v>
      </c>
      <c r="AX452" s="218">
        <v>0.81</v>
      </c>
      <c r="AY452" s="218">
        <v>0.18</v>
      </c>
      <c r="AZ452" s="218">
        <v>4.51</v>
      </c>
      <c r="BL452" s="218">
        <v>11.67</v>
      </c>
      <c r="BM452" s="251">
        <f t="shared" si="34"/>
        <v>-11.67</v>
      </c>
      <c r="BN452" s="218">
        <v>0.81</v>
      </c>
      <c r="BO452" s="218">
        <v>0.18</v>
      </c>
      <c r="BP452" s="218">
        <v>4.49</v>
      </c>
    </row>
    <row r="453" spans="2:68">
      <c r="B453" s="218">
        <v>11.82</v>
      </c>
      <c r="C453" s="218">
        <f t="shared" si="30"/>
        <v>-11.82</v>
      </c>
      <c r="D453" s="218">
        <v>0.81</v>
      </c>
      <c r="E453" s="218">
        <v>0.18</v>
      </c>
      <c r="F453" s="218">
        <v>4.5199999999999996</v>
      </c>
      <c r="Q453" s="218">
        <v>11.87</v>
      </c>
      <c r="R453" s="251">
        <f t="shared" si="31"/>
        <v>-11.87</v>
      </c>
      <c r="S453" s="218">
        <v>0.81</v>
      </c>
      <c r="T453" s="218">
        <v>0.18</v>
      </c>
      <c r="U453" s="218">
        <v>4.49</v>
      </c>
      <c r="AF453" s="218">
        <v>11.79</v>
      </c>
      <c r="AG453" s="251">
        <f t="shared" si="32"/>
        <v>-11.79</v>
      </c>
      <c r="AH453" s="218">
        <v>0.81</v>
      </c>
      <c r="AI453" s="218">
        <v>0.18</v>
      </c>
      <c r="AJ453" s="218">
        <v>4.5599999999999996</v>
      </c>
      <c r="AV453" s="218">
        <v>11.78</v>
      </c>
      <c r="AW453" s="251">
        <f t="shared" si="33"/>
        <v>-11.78</v>
      </c>
      <c r="AX453" s="218">
        <v>0.81</v>
      </c>
      <c r="AY453" s="218">
        <v>0.18</v>
      </c>
      <c r="AZ453" s="218">
        <v>4.51</v>
      </c>
      <c r="BL453" s="218">
        <v>11.7</v>
      </c>
      <c r="BM453" s="251">
        <f t="shared" si="34"/>
        <v>-11.7</v>
      </c>
      <c r="BN453" s="218">
        <v>0.81</v>
      </c>
      <c r="BO453" s="218">
        <v>0.18</v>
      </c>
      <c r="BP453" s="218">
        <v>4.49</v>
      </c>
    </row>
    <row r="454" spans="2:68">
      <c r="B454" s="218">
        <v>11.84</v>
      </c>
      <c r="C454" s="218">
        <f t="shared" ref="C454:C517" si="35">$F$2-B454</f>
        <v>-11.84</v>
      </c>
      <c r="D454" s="218">
        <v>0.81</v>
      </c>
      <c r="E454" s="218">
        <v>0.18</v>
      </c>
      <c r="F454" s="218">
        <v>4.5199999999999996</v>
      </c>
      <c r="Q454" s="218">
        <v>11.89</v>
      </c>
      <c r="R454" s="251">
        <f t="shared" ref="R454:R517" si="36">$U$2-Q454</f>
        <v>-11.89</v>
      </c>
      <c r="S454" s="218">
        <v>0.81</v>
      </c>
      <c r="T454" s="218">
        <v>0.18</v>
      </c>
      <c r="U454" s="218">
        <v>4.49</v>
      </c>
      <c r="AF454" s="218">
        <v>11.81</v>
      </c>
      <c r="AG454" s="251">
        <f t="shared" ref="AG454:AG517" si="37">$AJ$2-AF454</f>
        <v>-11.81</v>
      </c>
      <c r="AH454" s="218">
        <v>0.81</v>
      </c>
      <c r="AI454" s="218">
        <v>0.18</v>
      </c>
      <c r="AJ454" s="218">
        <v>4.5599999999999996</v>
      </c>
      <c r="AV454" s="218">
        <v>11.8</v>
      </c>
      <c r="AW454" s="251">
        <f t="shared" ref="AW454:AW517" si="38">$AZ$2-AV454</f>
        <v>-11.8</v>
      </c>
      <c r="AX454" s="218">
        <v>0.81</v>
      </c>
      <c r="AY454" s="218">
        <v>0.18</v>
      </c>
      <c r="AZ454" s="218">
        <v>4.51</v>
      </c>
      <c r="BL454" s="218">
        <v>11.72</v>
      </c>
      <c r="BM454" s="251">
        <f t="shared" ref="BM454:BM517" si="39">$AZ$2-BL454</f>
        <v>-11.72</v>
      </c>
      <c r="BN454" s="218">
        <v>0.81</v>
      </c>
      <c r="BO454" s="218">
        <v>0.18</v>
      </c>
      <c r="BP454" s="218">
        <v>4.49</v>
      </c>
    </row>
    <row r="455" spans="2:68">
      <c r="B455" s="218">
        <v>11.87</v>
      </c>
      <c r="C455" s="218">
        <f t="shared" si="35"/>
        <v>-11.87</v>
      </c>
      <c r="D455" s="218">
        <v>0.81</v>
      </c>
      <c r="E455" s="218">
        <v>0.18</v>
      </c>
      <c r="F455" s="218">
        <v>4.5199999999999996</v>
      </c>
      <c r="Q455" s="218">
        <v>11.92</v>
      </c>
      <c r="R455" s="251">
        <f t="shared" si="36"/>
        <v>-11.92</v>
      </c>
      <c r="S455" s="218">
        <v>0.81</v>
      </c>
      <c r="T455" s="218">
        <v>0.18</v>
      </c>
      <c r="U455" s="218">
        <v>4.49</v>
      </c>
      <c r="AF455" s="218">
        <v>11.84</v>
      </c>
      <c r="AG455" s="251">
        <f t="shared" si="37"/>
        <v>-11.84</v>
      </c>
      <c r="AH455" s="218">
        <v>0.81</v>
      </c>
      <c r="AI455" s="218">
        <v>0.18</v>
      </c>
      <c r="AJ455" s="218">
        <v>4.5599999999999996</v>
      </c>
      <c r="AV455" s="218">
        <v>11.83</v>
      </c>
      <c r="AW455" s="251">
        <f t="shared" si="38"/>
        <v>-11.83</v>
      </c>
      <c r="AX455" s="218">
        <v>0.81</v>
      </c>
      <c r="AY455" s="218">
        <v>0.18</v>
      </c>
      <c r="AZ455" s="218">
        <v>4.51</v>
      </c>
      <c r="BL455" s="218">
        <v>11.75</v>
      </c>
      <c r="BM455" s="251">
        <f t="shared" si="39"/>
        <v>-11.75</v>
      </c>
      <c r="BN455" s="218">
        <v>0.81</v>
      </c>
      <c r="BO455" s="218">
        <v>0.18</v>
      </c>
      <c r="BP455" s="218">
        <v>4.49</v>
      </c>
    </row>
    <row r="456" spans="2:68">
      <c r="B456" s="218">
        <v>11.89</v>
      </c>
      <c r="C456" s="218">
        <f t="shared" si="35"/>
        <v>-11.89</v>
      </c>
      <c r="D456" s="218">
        <v>0.81</v>
      </c>
      <c r="E456" s="218">
        <v>0.18</v>
      </c>
      <c r="F456" s="218">
        <v>4.5199999999999996</v>
      </c>
      <c r="Q456" s="218">
        <v>11.94</v>
      </c>
      <c r="R456" s="251">
        <f t="shared" si="36"/>
        <v>-11.94</v>
      </c>
      <c r="S456" s="218">
        <v>0.81</v>
      </c>
      <c r="T456" s="218">
        <v>0.18</v>
      </c>
      <c r="U456" s="218">
        <v>4.49</v>
      </c>
      <c r="AF456" s="218">
        <v>11.86</v>
      </c>
      <c r="AG456" s="251">
        <f t="shared" si="37"/>
        <v>-11.86</v>
      </c>
      <c r="AH456" s="218">
        <v>0.81</v>
      </c>
      <c r="AI456" s="218">
        <v>0.18</v>
      </c>
      <c r="AJ456" s="218">
        <v>4.5599999999999996</v>
      </c>
      <c r="AV456" s="218">
        <v>11.85</v>
      </c>
      <c r="AW456" s="251">
        <f t="shared" si="38"/>
        <v>-11.85</v>
      </c>
      <c r="AX456" s="218">
        <v>0.81</v>
      </c>
      <c r="AY456" s="218">
        <v>0.18</v>
      </c>
      <c r="AZ456" s="218">
        <v>4.51</v>
      </c>
      <c r="BL456" s="218">
        <v>11.77</v>
      </c>
      <c r="BM456" s="251">
        <f t="shared" si="39"/>
        <v>-11.77</v>
      </c>
      <c r="BN456" s="218">
        <v>0.81</v>
      </c>
      <c r="BO456" s="218">
        <v>0.18</v>
      </c>
      <c r="BP456" s="218">
        <v>4.49</v>
      </c>
    </row>
    <row r="457" spans="2:68">
      <c r="B457" s="218">
        <v>11.92</v>
      </c>
      <c r="C457" s="218">
        <f t="shared" si="35"/>
        <v>-11.92</v>
      </c>
      <c r="D457" s="218">
        <v>0.81</v>
      </c>
      <c r="E457" s="218">
        <v>0.18</v>
      </c>
      <c r="F457" s="218">
        <v>4.5199999999999996</v>
      </c>
      <c r="Q457" s="218">
        <v>11.97</v>
      </c>
      <c r="R457" s="251">
        <f t="shared" si="36"/>
        <v>-11.97</v>
      </c>
      <c r="S457" s="218">
        <v>0.81</v>
      </c>
      <c r="T457" s="218">
        <v>0.18</v>
      </c>
      <c r="U457" s="218">
        <v>4.49</v>
      </c>
      <c r="AF457" s="218">
        <v>11.89</v>
      </c>
      <c r="AG457" s="251">
        <f t="shared" si="37"/>
        <v>-11.89</v>
      </c>
      <c r="AH457" s="218">
        <v>0.81</v>
      </c>
      <c r="AI457" s="218">
        <v>0.18</v>
      </c>
      <c r="AJ457" s="218">
        <v>4.5599999999999996</v>
      </c>
      <c r="AV457" s="218">
        <v>11.88</v>
      </c>
      <c r="AW457" s="251">
        <f t="shared" si="38"/>
        <v>-11.88</v>
      </c>
      <c r="AX457" s="218">
        <v>0.81</v>
      </c>
      <c r="AY457" s="218">
        <v>0.18</v>
      </c>
      <c r="AZ457" s="218">
        <v>4.51</v>
      </c>
      <c r="BL457" s="218">
        <v>11.8</v>
      </c>
      <c r="BM457" s="251">
        <f t="shared" si="39"/>
        <v>-11.8</v>
      </c>
      <c r="BN457" s="218">
        <v>0.81</v>
      </c>
      <c r="BO457" s="218">
        <v>0.18</v>
      </c>
      <c r="BP457" s="218">
        <v>4.49</v>
      </c>
    </row>
    <row r="458" spans="2:68">
      <c r="B458" s="218">
        <v>11.94</v>
      </c>
      <c r="C458" s="218">
        <f t="shared" si="35"/>
        <v>-11.94</v>
      </c>
      <c r="D458" s="218">
        <v>0.81</v>
      </c>
      <c r="E458" s="218">
        <v>0.18</v>
      </c>
      <c r="F458" s="218">
        <v>4.5199999999999996</v>
      </c>
      <c r="Q458" s="218">
        <v>11.99</v>
      </c>
      <c r="R458" s="251">
        <f t="shared" si="36"/>
        <v>-11.99</v>
      </c>
      <c r="S458" s="218">
        <v>0.81</v>
      </c>
      <c r="T458" s="218">
        <v>0.18</v>
      </c>
      <c r="U458" s="218">
        <v>4.49</v>
      </c>
      <c r="AF458" s="218">
        <v>11.91</v>
      </c>
      <c r="AG458" s="251">
        <f t="shared" si="37"/>
        <v>-11.91</v>
      </c>
      <c r="AH458" s="218">
        <v>0.81</v>
      </c>
      <c r="AI458" s="218">
        <v>0.18</v>
      </c>
      <c r="AJ458" s="218">
        <v>4.5599999999999996</v>
      </c>
      <c r="AV458" s="218">
        <v>11.9</v>
      </c>
      <c r="AW458" s="251">
        <f t="shared" si="38"/>
        <v>-11.9</v>
      </c>
      <c r="AX458" s="218">
        <v>0.81</v>
      </c>
      <c r="AY458" s="218">
        <v>0.18</v>
      </c>
      <c r="AZ458" s="218">
        <v>4.51</v>
      </c>
      <c r="BL458" s="218">
        <v>11.82</v>
      </c>
      <c r="BM458" s="251">
        <f t="shared" si="39"/>
        <v>-11.82</v>
      </c>
      <c r="BN458" s="218">
        <v>0.81</v>
      </c>
      <c r="BO458" s="218">
        <v>0.18</v>
      </c>
      <c r="BP458" s="218">
        <v>4.49</v>
      </c>
    </row>
    <row r="459" spans="2:68">
      <c r="B459" s="218">
        <v>11.97</v>
      </c>
      <c r="C459" s="218">
        <f t="shared" si="35"/>
        <v>-11.97</v>
      </c>
      <c r="D459" s="218">
        <v>0.81</v>
      </c>
      <c r="E459" s="218">
        <v>0.18</v>
      </c>
      <c r="F459" s="218">
        <v>4.5199999999999996</v>
      </c>
      <c r="Q459" s="218">
        <v>12.02</v>
      </c>
      <c r="R459" s="251">
        <f t="shared" si="36"/>
        <v>-12.02</v>
      </c>
      <c r="S459" s="218">
        <v>0.81</v>
      </c>
      <c r="T459" s="218">
        <v>0.18</v>
      </c>
      <c r="U459" s="218">
        <v>4.49</v>
      </c>
      <c r="AF459" s="218">
        <v>11.94</v>
      </c>
      <c r="AG459" s="251">
        <f t="shared" si="37"/>
        <v>-11.94</v>
      </c>
      <c r="AH459" s="218">
        <v>0.81</v>
      </c>
      <c r="AI459" s="218">
        <v>0.18</v>
      </c>
      <c r="AJ459" s="218">
        <v>4.5599999999999996</v>
      </c>
      <c r="AV459" s="218">
        <v>11.93</v>
      </c>
      <c r="AW459" s="251">
        <f t="shared" si="38"/>
        <v>-11.93</v>
      </c>
      <c r="AX459" s="218">
        <v>0.81</v>
      </c>
      <c r="AY459" s="218">
        <v>0.18</v>
      </c>
      <c r="AZ459" s="218">
        <v>4.51</v>
      </c>
      <c r="BL459" s="218">
        <v>11.85</v>
      </c>
      <c r="BM459" s="251">
        <f t="shared" si="39"/>
        <v>-11.85</v>
      </c>
      <c r="BN459" s="218">
        <v>0.81</v>
      </c>
      <c r="BO459" s="218">
        <v>0.18</v>
      </c>
      <c r="BP459" s="218">
        <v>4.49</v>
      </c>
    </row>
    <row r="460" spans="2:68">
      <c r="B460" s="218">
        <v>11.99</v>
      </c>
      <c r="C460" s="218">
        <f t="shared" si="35"/>
        <v>-11.99</v>
      </c>
      <c r="D460" s="218">
        <v>0.81</v>
      </c>
      <c r="E460" s="218">
        <v>0.18</v>
      </c>
      <c r="F460" s="218">
        <v>4.5199999999999996</v>
      </c>
      <c r="Q460" s="218">
        <v>12.04</v>
      </c>
      <c r="R460" s="251">
        <f t="shared" si="36"/>
        <v>-12.04</v>
      </c>
      <c r="S460" s="218">
        <v>0.81</v>
      </c>
      <c r="T460" s="218">
        <v>0.18</v>
      </c>
      <c r="U460" s="218">
        <v>4.49</v>
      </c>
      <c r="AF460" s="218">
        <v>11.96</v>
      </c>
      <c r="AG460" s="251">
        <f t="shared" si="37"/>
        <v>-11.96</v>
      </c>
      <c r="AH460" s="218">
        <v>0.81</v>
      </c>
      <c r="AI460" s="218">
        <v>0.18</v>
      </c>
      <c r="AJ460" s="218">
        <v>4.5599999999999996</v>
      </c>
      <c r="AV460" s="218">
        <v>11.95</v>
      </c>
      <c r="AW460" s="251">
        <f t="shared" si="38"/>
        <v>-11.95</v>
      </c>
      <c r="AX460" s="218">
        <v>0.81</v>
      </c>
      <c r="AY460" s="218">
        <v>0.18</v>
      </c>
      <c r="AZ460" s="218">
        <v>4.51</v>
      </c>
      <c r="BL460" s="218">
        <v>11.87</v>
      </c>
      <c r="BM460" s="251">
        <f t="shared" si="39"/>
        <v>-11.87</v>
      </c>
      <c r="BN460" s="218">
        <v>0.81</v>
      </c>
      <c r="BO460" s="218">
        <v>0.18</v>
      </c>
      <c r="BP460" s="218">
        <v>4.49</v>
      </c>
    </row>
    <row r="461" spans="2:68">
      <c r="B461" s="218">
        <v>12.02</v>
      </c>
      <c r="C461" s="218">
        <f t="shared" si="35"/>
        <v>-12.02</v>
      </c>
      <c r="D461" s="218">
        <v>0.81</v>
      </c>
      <c r="E461" s="218">
        <v>0.18</v>
      </c>
      <c r="F461" s="218">
        <v>4.5199999999999996</v>
      </c>
      <c r="Q461" s="218">
        <v>12.07</v>
      </c>
      <c r="R461" s="251">
        <f t="shared" si="36"/>
        <v>-12.07</v>
      </c>
      <c r="S461" s="218">
        <v>0.81</v>
      </c>
      <c r="T461" s="218">
        <v>0.18</v>
      </c>
      <c r="U461" s="218">
        <v>4.49</v>
      </c>
      <c r="AF461" s="218">
        <v>11.99</v>
      </c>
      <c r="AG461" s="251">
        <f t="shared" si="37"/>
        <v>-11.99</v>
      </c>
      <c r="AH461" s="218">
        <v>0.81</v>
      </c>
      <c r="AI461" s="218">
        <v>0.18</v>
      </c>
      <c r="AJ461" s="218">
        <v>4.5599999999999996</v>
      </c>
      <c r="AV461" s="218">
        <v>11.98</v>
      </c>
      <c r="AW461" s="251">
        <f t="shared" si="38"/>
        <v>-11.98</v>
      </c>
      <c r="AX461" s="218">
        <v>0.81</v>
      </c>
      <c r="AY461" s="218">
        <v>0.18</v>
      </c>
      <c r="AZ461" s="218">
        <v>4.51</v>
      </c>
      <c r="BL461" s="218">
        <v>11.9</v>
      </c>
      <c r="BM461" s="251">
        <f t="shared" si="39"/>
        <v>-11.9</v>
      </c>
      <c r="BN461" s="218">
        <v>0.81</v>
      </c>
      <c r="BO461" s="218">
        <v>0.18</v>
      </c>
      <c r="BP461" s="218">
        <v>4.5</v>
      </c>
    </row>
    <row r="462" spans="2:68">
      <c r="B462" s="218">
        <v>12.04</v>
      </c>
      <c r="C462" s="218">
        <f t="shared" si="35"/>
        <v>-12.04</v>
      </c>
      <c r="D462" s="218">
        <v>0.81</v>
      </c>
      <c r="E462" s="218">
        <v>0.18</v>
      </c>
      <c r="F462" s="218">
        <v>4.5199999999999996</v>
      </c>
      <c r="Q462" s="218">
        <v>12.09</v>
      </c>
      <c r="R462" s="251">
        <f t="shared" si="36"/>
        <v>-12.09</v>
      </c>
      <c r="S462" s="218">
        <v>0.81</v>
      </c>
      <c r="T462" s="218">
        <v>0.18</v>
      </c>
      <c r="U462" s="218">
        <v>4.49</v>
      </c>
      <c r="AF462" s="218">
        <v>12.01</v>
      </c>
      <c r="AG462" s="251">
        <f t="shared" si="37"/>
        <v>-12.01</v>
      </c>
      <c r="AH462" s="218">
        <v>0.81</v>
      </c>
      <c r="AI462" s="218">
        <v>0.18</v>
      </c>
      <c r="AJ462" s="218">
        <v>4.5599999999999996</v>
      </c>
      <c r="AV462" s="218">
        <v>12</v>
      </c>
      <c r="AW462" s="251">
        <f t="shared" si="38"/>
        <v>-12</v>
      </c>
      <c r="AX462" s="218">
        <v>0.81</v>
      </c>
      <c r="AY462" s="218">
        <v>0.18</v>
      </c>
      <c r="AZ462" s="218">
        <v>4.51</v>
      </c>
      <c r="BL462" s="218">
        <v>11.92</v>
      </c>
      <c r="BM462" s="251">
        <f t="shared" si="39"/>
        <v>-11.92</v>
      </c>
      <c r="BN462" s="218">
        <v>0.81</v>
      </c>
      <c r="BO462" s="218">
        <v>0.18</v>
      </c>
      <c r="BP462" s="218">
        <v>4.5</v>
      </c>
    </row>
    <row r="463" spans="2:68">
      <c r="B463" s="218">
        <v>12.07</v>
      </c>
      <c r="C463" s="218">
        <f t="shared" si="35"/>
        <v>-12.07</v>
      </c>
      <c r="D463" s="218">
        <v>0.81</v>
      </c>
      <c r="E463" s="218">
        <v>0.18</v>
      </c>
      <c r="F463" s="218">
        <v>4.5199999999999996</v>
      </c>
      <c r="Q463" s="218">
        <v>12.12</v>
      </c>
      <c r="R463" s="251">
        <f t="shared" si="36"/>
        <v>-12.12</v>
      </c>
      <c r="S463" s="218">
        <v>0.81</v>
      </c>
      <c r="T463" s="218">
        <v>0.18</v>
      </c>
      <c r="U463" s="218">
        <v>4.49</v>
      </c>
      <c r="AF463" s="218">
        <v>12.04</v>
      </c>
      <c r="AG463" s="251">
        <f t="shared" si="37"/>
        <v>-12.04</v>
      </c>
      <c r="AH463" s="218">
        <v>0.81</v>
      </c>
      <c r="AI463" s="218">
        <v>0.18</v>
      </c>
      <c r="AJ463" s="218">
        <v>4.5599999999999996</v>
      </c>
      <c r="AV463" s="218">
        <v>12.03</v>
      </c>
      <c r="AW463" s="251">
        <f t="shared" si="38"/>
        <v>-12.03</v>
      </c>
      <c r="AX463" s="218">
        <v>0.81</v>
      </c>
      <c r="AY463" s="218">
        <v>0.18</v>
      </c>
      <c r="AZ463" s="218">
        <v>4.51</v>
      </c>
      <c r="BL463" s="218">
        <v>11.95</v>
      </c>
      <c r="BM463" s="251">
        <f t="shared" si="39"/>
        <v>-11.95</v>
      </c>
      <c r="BN463" s="218">
        <v>0.81</v>
      </c>
      <c r="BO463" s="218">
        <v>0.18</v>
      </c>
      <c r="BP463" s="218">
        <v>4.5</v>
      </c>
    </row>
    <row r="464" spans="2:68">
      <c r="B464" s="218">
        <v>12.09</v>
      </c>
      <c r="C464" s="218">
        <f t="shared" si="35"/>
        <v>-12.09</v>
      </c>
      <c r="D464" s="218">
        <v>0.81</v>
      </c>
      <c r="E464" s="218">
        <v>0.18</v>
      </c>
      <c r="F464" s="218">
        <v>4.5199999999999996</v>
      </c>
      <c r="Q464" s="218">
        <v>12.14</v>
      </c>
      <c r="R464" s="251">
        <f t="shared" si="36"/>
        <v>-12.14</v>
      </c>
      <c r="S464" s="218">
        <v>0.81</v>
      </c>
      <c r="T464" s="218">
        <v>0.18</v>
      </c>
      <c r="U464" s="218">
        <v>4.49</v>
      </c>
      <c r="AF464" s="218">
        <v>12.06</v>
      </c>
      <c r="AG464" s="251">
        <f t="shared" si="37"/>
        <v>-12.06</v>
      </c>
      <c r="AH464" s="218">
        <v>0.81</v>
      </c>
      <c r="AI464" s="218">
        <v>0.18</v>
      </c>
      <c r="AJ464" s="218">
        <v>4.5599999999999996</v>
      </c>
      <c r="AV464" s="218">
        <v>12.05</v>
      </c>
      <c r="AW464" s="251">
        <f t="shared" si="38"/>
        <v>-12.05</v>
      </c>
      <c r="AX464" s="218">
        <v>0.81</v>
      </c>
      <c r="AY464" s="218">
        <v>0.18</v>
      </c>
      <c r="AZ464" s="218">
        <v>4.51</v>
      </c>
      <c r="BL464" s="218">
        <v>11.97</v>
      </c>
      <c r="BM464" s="251">
        <f t="shared" si="39"/>
        <v>-11.97</v>
      </c>
      <c r="BN464" s="218">
        <v>0.81</v>
      </c>
      <c r="BO464" s="218">
        <v>0.18</v>
      </c>
      <c r="BP464" s="218">
        <v>4.5</v>
      </c>
    </row>
    <row r="465" spans="2:68">
      <c r="B465" s="218">
        <v>12.12</v>
      </c>
      <c r="C465" s="218">
        <f t="shared" si="35"/>
        <v>-12.12</v>
      </c>
      <c r="D465" s="218">
        <v>0.82</v>
      </c>
      <c r="E465" s="218">
        <v>0.18</v>
      </c>
      <c r="F465" s="218">
        <v>4.55</v>
      </c>
      <c r="Q465" s="218">
        <v>12.17</v>
      </c>
      <c r="R465" s="251">
        <f t="shared" si="36"/>
        <v>-12.17</v>
      </c>
      <c r="S465" s="218">
        <v>0.81</v>
      </c>
      <c r="T465" s="218">
        <v>0.18</v>
      </c>
      <c r="U465" s="218">
        <v>4.49</v>
      </c>
      <c r="AF465" s="218">
        <v>12.09</v>
      </c>
      <c r="AG465" s="251">
        <f t="shared" si="37"/>
        <v>-12.09</v>
      </c>
      <c r="AH465" s="218">
        <v>0.81</v>
      </c>
      <c r="AI465" s="218">
        <v>0.18</v>
      </c>
      <c r="AJ465" s="218">
        <v>4.5599999999999996</v>
      </c>
      <c r="AV465" s="218">
        <v>12.08</v>
      </c>
      <c r="AW465" s="251">
        <f t="shared" si="38"/>
        <v>-12.08</v>
      </c>
      <c r="AX465" s="218">
        <v>0.81</v>
      </c>
      <c r="AY465" s="218">
        <v>0.18</v>
      </c>
      <c r="AZ465" s="218">
        <v>4.5199999999999996</v>
      </c>
      <c r="BL465" s="218">
        <v>12</v>
      </c>
      <c r="BM465" s="251">
        <f t="shared" si="39"/>
        <v>-12</v>
      </c>
      <c r="BN465" s="218">
        <v>0.81</v>
      </c>
      <c r="BO465" s="218">
        <v>0.18</v>
      </c>
      <c r="BP465" s="218">
        <v>4.5</v>
      </c>
    </row>
    <row r="466" spans="2:68">
      <c r="B466" s="218">
        <v>12.14</v>
      </c>
      <c r="C466" s="218">
        <f t="shared" si="35"/>
        <v>-12.14</v>
      </c>
      <c r="D466" s="218">
        <v>0.82</v>
      </c>
      <c r="E466" s="218">
        <v>0.18</v>
      </c>
      <c r="F466" s="218">
        <v>4.55</v>
      </c>
      <c r="Q466" s="218">
        <v>12.19</v>
      </c>
      <c r="R466" s="251">
        <f t="shared" si="36"/>
        <v>-12.19</v>
      </c>
      <c r="S466" s="218">
        <v>0.81</v>
      </c>
      <c r="T466" s="218">
        <v>0.18</v>
      </c>
      <c r="U466" s="218">
        <v>4.49</v>
      </c>
      <c r="AF466" s="218">
        <v>12.11</v>
      </c>
      <c r="AG466" s="251">
        <f t="shared" si="37"/>
        <v>-12.11</v>
      </c>
      <c r="AH466" s="218">
        <v>0.81</v>
      </c>
      <c r="AI466" s="218">
        <v>0.18</v>
      </c>
      <c r="AJ466" s="218">
        <v>4.5599999999999996</v>
      </c>
      <c r="AV466" s="218">
        <v>12.1</v>
      </c>
      <c r="AW466" s="251">
        <f t="shared" si="38"/>
        <v>-12.1</v>
      </c>
      <c r="AX466" s="218">
        <v>0.81</v>
      </c>
      <c r="AY466" s="218">
        <v>0.18</v>
      </c>
      <c r="AZ466" s="218">
        <v>4.5199999999999996</v>
      </c>
      <c r="BL466" s="218">
        <v>12.02</v>
      </c>
      <c r="BM466" s="251">
        <f t="shared" si="39"/>
        <v>-12.02</v>
      </c>
      <c r="BN466" s="218">
        <v>0.81</v>
      </c>
      <c r="BO466" s="218">
        <v>0.18</v>
      </c>
      <c r="BP466" s="218">
        <v>4.5</v>
      </c>
    </row>
    <row r="467" spans="2:68">
      <c r="B467" s="218">
        <v>12.17</v>
      </c>
      <c r="C467" s="218">
        <f t="shared" si="35"/>
        <v>-12.17</v>
      </c>
      <c r="D467" s="218">
        <v>0.82</v>
      </c>
      <c r="E467" s="218">
        <v>0.18</v>
      </c>
      <c r="F467" s="218">
        <v>4.55</v>
      </c>
      <c r="Q467" s="218">
        <v>12.22</v>
      </c>
      <c r="R467" s="251">
        <f t="shared" si="36"/>
        <v>-12.22</v>
      </c>
      <c r="S467" s="218">
        <v>0.81</v>
      </c>
      <c r="T467" s="218">
        <v>0.18</v>
      </c>
      <c r="U467" s="218">
        <v>4.49</v>
      </c>
      <c r="AF467" s="218">
        <v>12.14</v>
      </c>
      <c r="AG467" s="251">
        <f t="shared" si="37"/>
        <v>-12.14</v>
      </c>
      <c r="AH467" s="218">
        <v>0.81</v>
      </c>
      <c r="AI467" s="218">
        <v>0.18</v>
      </c>
      <c r="AJ467" s="218">
        <v>4.5599999999999996</v>
      </c>
      <c r="AV467" s="218">
        <v>12.13</v>
      </c>
      <c r="AW467" s="251">
        <f t="shared" si="38"/>
        <v>-12.13</v>
      </c>
      <c r="AX467" s="218">
        <v>0.81</v>
      </c>
      <c r="AY467" s="218">
        <v>0.18</v>
      </c>
      <c r="AZ467" s="218">
        <v>4.5199999999999996</v>
      </c>
      <c r="BL467" s="218">
        <v>12.05</v>
      </c>
      <c r="BM467" s="251">
        <f t="shared" si="39"/>
        <v>-12.05</v>
      </c>
      <c r="BN467" s="218">
        <v>0.81</v>
      </c>
      <c r="BO467" s="218">
        <v>0.18</v>
      </c>
      <c r="BP467" s="218">
        <v>4.5</v>
      </c>
    </row>
    <row r="468" spans="2:68">
      <c r="B468" s="218">
        <v>12.19</v>
      </c>
      <c r="C468" s="218">
        <f t="shared" si="35"/>
        <v>-12.19</v>
      </c>
      <c r="D468" s="218">
        <v>0.82</v>
      </c>
      <c r="E468" s="218">
        <v>0.18</v>
      </c>
      <c r="F468" s="218">
        <v>4.55</v>
      </c>
      <c r="Q468" s="218">
        <v>12.24</v>
      </c>
      <c r="R468" s="251">
        <f t="shared" si="36"/>
        <v>-12.24</v>
      </c>
      <c r="S468" s="218">
        <v>0.81</v>
      </c>
      <c r="T468" s="218">
        <v>0.18</v>
      </c>
      <c r="U468" s="218">
        <v>4.49</v>
      </c>
      <c r="AF468" s="218">
        <v>12.16</v>
      </c>
      <c r="AG468" s="251">
        <f t="shared" si="37"/>
        <v>-12.16</v>
      </c>
      <c r="AH468" s="218">
        <v>0.81</v>
      </c>
      <c r="AI468" s="218">
        <v>0.18</v>
      </c>
      <c r="AJ468" s="218">
        <v>4.5599999999999996</v>
      </c>
      <c r="AV468" s="218">
        <v>12.15</v>
      </c>
      <c r="AW468" s="251">
        <f t="shared" si="38"/>
        <v>-12.15</v>
      </c>
      <c r="AX468" s="218">
        <v>0.81</v>
      </c>
      <c r="AY468" s="218">
        <v>0.18</v>
      </c>
      <c r="AZ468" s="218">
        <v>4.5199999999999996</v>
      </c>
      <c r="BL468" s="218">
        <v>12.07</v>
      </c>
      <c r="BM468" s="251">
        <f t="shared" si="39"/>
        <v>-12.07</v>
      </c>
      <c r="BN468" s="218">
        <v>0.81</v>
      </c>
      <c r="BO468" s="218">
        <v>0.18</v>
      </c>
      <c r="BP468" s="218">
        <v>4.5</v>
      </c>
    </row>
    <row r="469" spans="2:68">
      <c r="B469" s="218">
        <v>12.22</v>
      </c>
      <c r="C469" s="218">
        <f t="shared" si="35"/>
        <v>-12.22</v>
      </c>
      <c r="D469" s="218">
        <v>0.82</v>
      </c>
      <c r="E469" s="218">
        <v>0.18</v>
      </c>
      <c r="F469" s="218">
        <v>4.55</v>
      </c>
      <c r="Q469" s="218">
        <v>12.27</v>
      </c>
      <c r="R469" s="251">
        <f t="shared" si="36"/>
        <v>-12.27</v>
      </c>
      <c r="S469" s="218">
        <v>0.81</v>
      </c>
      <c r="T469" s="218">
        <v>0.18</v>
      </c>
      <c r="U469" s="218">
        <v>4.5</v>
      </c>
      <c r="AF469" s="218">
        <v>12.19</v>
      </c>
      <c r="AG469" s="251">
        <f t="shared" si="37"/>
        <v>-12.19</v>
      </c>
      <c r="AH469" s="218">
        <v>0.81</v>
      </c>
      <c r="AI469" s="218">
        <v>0.18</v>
      </c>
      <c r="AJ469" s="218">
        <v>4.5599999999999996</v>
      </c>
      <c r="AV469" s="218">
        <v>12.18</v>
      </c>
      <c r="AW469" s="251">
        <f t="shared" si="38"/>
        <v>-12.18</v>
      </c>
      <c r="AX469" s="218">
        <v>0.81</v>
      </c>
      <c r="AY469" s="218">
        <v>0.18</v>
      </c>
      <c r="AZ469" s="218">
        <v>4.5199999999999996</v>
      </c>
      <c r="BL469" s="218">
        <v>12.1</v>
      </c>
      <c r="BM469" s="251">
        <f t="shared" si="39"/>
        <v>-12.1</v>
      </c>
      <c r="BN469" s="218">
        <v>0.81</v>
      </c>
      <c r="BO469" s="218">
        <v>0.18</v>
      </c>
      <c r="BP469" s="218">
        <v>4.5</v>
      </c>
    </row>
    <row r="470" spans="2:68">
      <c r="B470" s="218">
        <v>12.24</v>
      </c>
      <c r="C470" s="218">
        <f t="shared" si="35"/>
        <v>-12.24</v>
      </c>
      <c r="D470" s="218">
        <v>0.82</v>
      </c>
      <c r="E470" s="218">
        <v>0.18</v>
      </c>
      <c r="F470" s="218">
        <v>4.55</v>
      </c>
      <c r="Q470" s="218">
        <v>12.29</v>
      </c>
      <c r="R470" s="251">
        <f t="shared" si="36"/>
        <v>-12.29</v>
      </c>
      <c r="S470" s="218">
        <v>0.81</v>
      </c>
      <c r="T470" s="218">
        <v>0.18</v>
      </c>
      <c r="U470" s="218">
        <v>4.5</v>
      </c>
      <c r="AF470" s="218">
        <v>12.21</v>
      </c>
      <c r="AG470" s="251">
        <f t="shared" si="37"/>
        <v>-12.21</v>
      </c>
      <c r="AH470" s="218">
        <v>0.82</v>
      </c>
      <c r="AI470" s="218">
        <v>0.18</v>
      </c>
      <c r="AJ470" s="218">
        <v>4.59</v>
      </c>
      <c r="AV470" s="218">
        <v>12.2</v>
      </c>
      <c r="AW470" s="251">
        <f t="shared" si="38"/>
        <v>-12.2</v>
      </c>
      <c r="AX470" s="218">
        <v>0.81</v>
      </c>
      <c r="AY470" s="218">
        <v>0.18</v>
      </c>
      <c r="AZ470" s="218">
        <v>4.5199999999999996</v>
      </c>
      <c r="BL470" s="218">
        <v>12.12</v>
      </c>
      <c r="BM470" s="251">
        <f t="shared" si="39"/>
        <v>-12.12</v>
      </c>
      <c r="BN470" s="218">
        <v>0.81</v>
      </c>
      <c r="BO470" s="218">
        <v>0.18</v>
      </c>
      <c r="BP470" s="218">
        <v>4.5</v>
      </c>
    </row>
    <row r="471" spans="2:68">
      <c r="B471" s="218">
        <v>12.27</v>
      </c>
      <c r="C471" s="218">
        <f t="shared" si="35"/>
        <v>-12.27</v>
      </c>
      <c r="D471" s="218">
        <v>0.82</v>
      </c>
      <c r="E471" s="218">
        <v>0.18</v>
      </c>
      <c r="F471" s="218">
        <v>4.55</v>
      </c>
      <c r="Q471" s="218">
        <v>12.32</v>
      </c>
      <c r="R471" s="251">
        <f t="shared" si="36"/>
        <v>-12.32</v>
      </c>
      <c r="S471" s="218">
        <v>0.82</v>
      </c>
      <c r="T471" s="218">
        <v>0.18</v>
      </c>
      <c r="U471" s="218">
        <v>4.5199999999999996</v>
      </c>
      <c r="AF471" s="218">
        <v>12.24</v>
      </c>
      <c r="AG471" s="251">
        <f t="shared" si="37"/>
        <v>-12.24</v>
      </c>
      <c r="AH471" s="218">
        <v>0.82</v>
      </c>
      <c r="AI471" s="218">
        <v>0.18</v>
      </c>
      <c r="AJ471" s="218">
        <v>4.59</v>
      </c>
      <c r="AV471" s="218">
        <v>12.23</v>
      </c>
      <c r="AW471" s="251">
        <f t="shared" si="38"/>
        <v>-12.23</v>
      </c>
      <c r="AX471" s="218">
        <v>0.82</v>
      </c>
      <c r="AY471" s="218">
        <v>0.18</v>
      </c>
      <c r="AZ471" s="218">
        <v>4.55</v>
      </c>
      <c r="BL471" s="218">
        <v>12.15</v>
      </c>
      <c r="BM471" s="251">
        <f t="shared" si="39"/>
        <v>-12.15</v>
      </c>
      <c r="BN471" s="218">
        <v>0.81</v>
      </c>
      <c r="BO471" s="218">
        <v>0.18</v>
      </c>
      <c r="BP471" s="218">
        <v>4.5</v>
      </c>
    </row>
    <row r="472" spans="2:68">
      <c r="B472" s="218">
        <v>12.29</v>
      </c>
      <c r="C472" s="218">
        <f t="shared" si="35"/>
        <v>-12.29</v>
      </c>
      <c r="D472" s="218">
        <v>0.82</v>
      </c>
      <c r="E472" s="218">
        <v>0.18</v>
      </c>
      <c r="F472" s="218">
        <v>4.55</v>
      </c>
      <c r="Q472" s="218">
        <v>12.34</v>
      </c>
      <c r="R472" s="251">
        <f t="shared" si="36"/>
        <v>-12.34</v>
      </c>
      <c r="S472" s="218">
        <v>0.82</v>
      </c>
      <c r="T472" s="218">
        <v>0.18</v>
      </c>
      <c r="U472" s="218">
        <v>4.5199999999999996</v>
      </c>
      <c r="AF472" s="218">
        <v>12.26</v>
      </c>
      <c r="AG472" s="251">
        <f t="shared" si="37"/>
        <v>-12.26</v>
      </c>
      <c r="AH472" s="218">
        <v>0.82</v>
      </c>
      <c r="AI472" s="218">
        <v>0.18</v>
      </c>
      <c r="AJ472" s="218">
        <v>4.59</v>
      </c>
      <c r="AV472" s="218">
        <v>12.25</v>
      </c>
      <c r="AW472" s="251">
        <f t="shared" si="38"/>
        <v>-12.25</v>
      </c>
      <c r="AX472" s="218">
        <v>0.82</v>
      </c>
      <c r="AY472" s="218">
        <v>0.18</v>
      </c>
      <c r="AZ472" s="218">
        <v>4.55</v>
      </c>
      <c r="BL472" s="218">
        <v>12.17</v>
      </c>
      <c r="BM472" s="251">
        <f t="shared" si="39"/>
        <v>-12.17</v>
      </c>
      <c r="BN472" s="218">
        <v>0.81</v>
      </c>
      <c r="BO472" s="218">
        <v>0.18</v>
      </c>
      <c r="BP472" s="218">
        <v>4.5</v>
      </c>
    </row>
    <row r="473" spans="2:68">
      <c r="B473" s="218">
        <v>12.32</v>
      </c>
      <c r="C473" s="218">
        <f t="shared" si="35"/>
        <v>-12.32</v>
      </c>
      <c r="D473" s="218">
        <v>0.82</v>
      </c>
      <c r="E473" s="218">
        <v>0.18</v>
      </c>
      <c r="F473" s="218">
        <v>4.55</v>
      </c>
      <c r="Q473" s="218">
        <v>12.37</v>
      </c>
      <c r="R473" s="251">
        <f t="shared" si="36"/>
        <v>-12.37</v>
      </c>
      <c r="S473" s="218">
        <v>0.82</v>
      </c>
      <c r="T473" s="218">
        <v>0.18</v>
      </c>
      <c r="U473" s="218">
        <v>4.5199999999999996</v>
      </c>
      <c r="AF473" s="218">
        <v>12.29</v>
      </c>
      <c r="AG473" s="251">
        <f t="shared" si="37"/>
        <v>-12.29</v>
      </c>
      <c r="AH473" s="218">
        <v>0.82</v>
      </c>
      <c r="AI473" s="218">
        <v>0.18</v>
      </c>
      <c r="AJ473" s="218">
        <v>4.59</v>
      </c>
      <c r="AV473" s="218">
        <v>12.28</v>
      </c>
      <c r="AW473" s="251">
        <f t="shared" si="38"/>
        <v>-12.28</v>
      </c>
      <c r="AX473" s="218">
        <v>0.82</v>
      </c>
      <c r="AY473" s="218">
        <v>0.18</v>
      </c>
      <c r="AZ473" s="218">
        <v>4.55</v>
      </c>
      <c r="BL473" s="218">
        <v>12.2</v>
      </c>
      <c r="BM473" s="251">
        <f t="shared" si="39"/>
        <v>-12.2</v>
      </c>
      <c r="BN473" s="218">
        <v>0.81</v>
      </c>
      <c r="BO473" s="218">
        <v>0.18</v>
      </c>
      <c r="BP473" s="218">
        <v>4.5</v>
      </c>
    </row>
    <row r="474" spans="2:68">
      <c r="B474" s="218">
        <v>12.34</v>
      </c>
      <c r="C474" s="218">
        <f t="shared" si="35"/>
        <v>-12.34</v>
      </c>
      <c r="D474" s="218">
        <v>0.82</v>
      </c>
      <c r="E474" s="218">
        <v>0.18</v>
      </c>
      <c r="F474" s="218">
        <v>4.55</v>
      </c>
      <c r="Q474" s="218">
        <v>12.39</v>
      </c>
      <c r="R474" s="251">
        <f t="shared" si="36"/>
        <v>-12.39</v>
      </c>
      <c r="S474" s="218">
        <v>0.82</v>
      </c>
      <c r="T474" s="218">
        <v>0.18</v>
      </c>
      <c r="U474" s="218">
        <v>4.5199999999999996</v>
      </c>
      <c r="AF474" s="218">
        <v>12.31</v>
      </c>
      <c r="AG474" s="251">
        <f t="shared" si="37"/>
        <v>-12.31</v>
      </c>
      <c r="AH474" s="218">
        <v>0.82</v>
      </c>
      <c r="AI474" s="218">
        <v>0.18</v>
      </c>
      <c r="AJ474" s="218">
        <v>4.59</v>
      </c>
      <c r="AV474" s="218">
        <v>12.3</v>
      </c>
      <c r="AW474" s="251">
        <f t="shared" si="38"/>
        <v>-12.3</v>
      </c>
      <c r="AX474" s="218">
        <v>0.82</v>
      </c>
      <c r="AY474" s="218">
        <v>0.18</v>
      </c>
      <c r="AZ474" s="218">
        <v>4.54</v>
      </c>
      <c r="BL474" s="218">
        <v>12.22</v>
      </c>
      <c r="BM474" s="251">
        <f t="shared" si="39"/>
        <v>-12.22</v>
      </c>
      <c r="BN474" s="218">
        <v>0.81</v>
      </c>
      <c r="BO474" s="218">
        <v>0.18</v>
      </c>
      <c r="BP474" s="218">
        <v>4.5</v>
      </c>
    </row>
    <row r="475" spans="2:68">
      <c r="B475" s="218">
        <v>12.37</v>
      </c>
      <c r="C475" s="218">
        <f t="shared" si="35"/>
        <v>-12.37</v>
      </c>
      <c r="D475" s="218">
        <v>0.82</v>
      </c>
      <c r="E475" s="218">
        <v>0.18</v>
      </c>
      <c r="F475" s="218">
        <v>4.55</v>
      </c>
      <c r="Q475" s="218">
        <v>12.42</v>
      </c>
      <c r="R475" s="251">
        <f t="shared" si="36"/>
        <v>-12.42</v>
      </c>
      <c r="S475" s="218">
        <v>0.82</v>
      </c>
      <c r="T475" s="218">
        <v>0.18</v>
      </c>
      <c r="U475" s="218">
        <v>4.5199999999999996</v>
      </c>
      <c r="AF475" s="218">
        <v>12.34</v>
      </c>
      <c r="AG475" s="251">
        <f t="shared" si="37"/>
        <v>-12.34</v>
      </c>
      <c r="AH475" s="218">
        <v>0.82</v>
      </c>
      <c r="AI475" s="218">
        <v>0.18</v>
      </c>
      <c r="AJ475" s="218">
        <v>4.59</v>
      </c>
      <c r="AV475" s="218">
        <v>12.33</v>
      </c>
      <c r="AW475" s="251">
        <f t="shared" si="38"/>
        <v>-12.33</v>
      </c>
      <c r="AX475" s="218">
        <v>0.82</v>
      </c>
      <c r="AY475" s="218">
        <v>0.18</v>
      </c>
      <c r="AZ475" s="218">
        <v>4.54</v>
      </c>
      <c r="BL475" s="218">
        <v>12.25</v>
      </c>
      <c r="BM475" s="251">
        <f t="shared" si="39"/>
        <v>-12.25</v>
      </c>
      <c r="BN475" s="218">
        <v>0.81</v>
      </c>
      <c r="BO475" s="218">
        <v>0.18</v>
      </c>
      <c r="BP475" s="218">
        <v>4.5</v>
      </c>
    </row>
    <row r="476" spans="2:68">
      <c r="B476" s="218">
        <v>12.39</v>
      </c>
      <c r="C476" s="218">
        <f t="shared" si="35"/>
        <v>-12.39</v>
      </c>
      <c r="D476" s="218">
        <v>0.82</v>
      </c>
      <c r="E476" s="218">
        <v>0.18</v>
      </c>
      <c r="F476" s="218">
        <v>4.55</v>
      </c>
      <c r="Q476" s="218">
        <v>12.44</v>
      </c>
      <c r="R476" s="251">
        <f t="shared" si="36"/>
        <v>-12.44</v>
      </c>
      <c r="S476" s="218">
        <v>0.82</v>
      </c>
      <c r="T476" s="218">
        <v>0.18</v>
      </c>
      <c r="U476" s="218">
        <v>4.5199999999999996</v>
      </c>
      <c r="AF476" s="218">
        <v>12.36</v>
      </c>
      <c r="AG476" s="251">
        <f t="shared" si="37"/>
        <v>-12.36</v>
      </c>
      <c r="AH476" s="218">
        <v>0.82</v>
      </c>
      <c r="AI476" s="218">
        <v>0.18</v>
      </c>
      <c r="AJ476" s="218">
        <v>4.59</v>
      </c>
      <c r="AV476" s="218">
        <v>12.35</v>
      </c>
      <c r="AW476" s="251">
        <f t="shared" si="38"/>
        <v>-12.35</v>
      </c>
      <c r="AX476" s="218">
        <v>0.82</v>
      </c>
      <c r="AY476" s="218">
        <v>0.18</v>
      </c>
      <c r="AZ476" s="218">
        <v>4.54</v>
      </c>
      <c r="BL476" s="218">
        <v>12.27</v>
      </c>
      <c r="BM476" s="251">
        <f t="shared" si="39"/>
        <v>-12.27</v>
      </c>
      <c r="BN476" s="218">
        <v>0.81</v>
      </c>
      <c r="BO476" s="218">
        <v>0.18</v>
      </c>
      <c r="BP476" s="218">
        <v>4.5</v>
      </c>
    </row>
    <row r="477" spans="2:68">
      <c r="B477" s="218">
        <v>12.42</v>
      </c>
      <c r="C477" s="218">
        <f t="shared" si="35"/>
        <v>-12.42</v>
      </c>
      <c r="D477" s="218">
        <v>0.82</v>
      </c>
      <c r="E477" s="218">
        <v>0.18</v>
      </c>
      <c r="F477" s="218">
        <v>4.54</v>
      </c>
      <c r="Q477" s="218">
        <v>12.47</v>
      </c>
      <c r="R477" s="251">
        <f t="shared" si="36"/>
        <v>-12.47</v>
      </c>
      <c r="S477" s="218">
        <v>0.82</v>
      </c>
      <c r="T477" s="218">
        <v>0.18</v>
      </c>
      <c r="U477" s="218">
        <v>4.5199999999999996</v>
      </c>
      <c r="AF477" s="218">
        <v>12.39</v>
      </c>
      <c r="AG477" s="251">
        <f t="shared" si="37"/>
        <v>-12.39</v>
      </c>
      <c r="AH477" s="218">
        <v>0.82</v>
      </c>
      <c r="AI477" s="218">
        <v>0.18</v>
      </c>
      <c r="AJ477" s="218">
        <v>4.59</v>
      </c>
      <c r="AV477" s="218">
        <v>12.38</v>
      </c>
      <c r="AW477" s="251">
        <f t="shared" si="38"/>
        <v>-12.38</v>
      </c>
      <c r="AX477" s="218">
        <v>0.82</v>
      </c>
      <c r="AY477" s="218">
        <v>0.18</v>
      </c>
      <c r="AZ477" s="218">
        <v>4.54</v>
      </c>
      <c r="BL477" s="218">
        <v>12.3</v>
      </c>
      <c r="BM477" s="251">
        <f t="shared" si="39"/>
        <v>-12.3</v>
      </c>
      <c r="BN477" s="218">
        <v>0.81</v>
      </c>
      <c r="BO477" s="218">
        <v>0.18</v>
      </c>
      <c r="BP477" s="218">
        <v>4.5</v>
      </c>
    </row>
    <row r="478" spans="2:68">
      <c r="B478" s="218">
        <v>12.44</v>
      </c>
      <c r="C478" s="218">
        <f t="shared" si="35"/>
        <v>-12.44</v>
      </c>
      <c r="D478" s="218">
        <v>0.82</v>
      </c>
      <c r="E478" s="218">
        <v>0.18</v>
      </c>
      <c r="F478" s="218">
        <v>4.54</v>
      </c>
      <c r="Q478" s="218">
        <v>12.49</v>
      </c>
      <c r="R478" s="251">
        <f t="shared" si="36"/>
        <v>-12.49</v>
      </c>
      <c r="S478" s="218">
        <v>0.82</v>
      </c>
      <c r="T478" s="218">
        <v>0.18</v>
      </c>
      <c r="U478" s="218">
        <v>4.5199999999999996</v>
      </c>
      <c r="AF478" s="218">
        <v>12.41</v>
      </c>
      <c r="AG478" s="251">
        <f t="shared" si="37"/>
        <v>-12.41</v>
      </c>
      <c r="AH478" s="218">
        <v>0.82</v>
      </c>
      <c r="AI478" s="218">
        <v>0.18</v>
      </c>
      <c r="AJ478" s="218">
        <v>4.59</v>
      </c>
      <c r="AV478" s="218">
        <v>12.4</v>
      </c>
      <c r="AW478" s="251">
        <f t="shared" si="38"/>
        <v>-12.4</v>
      </c>
      <c r="AX478" s="218">
        <v>0.82</v>
      </c>
      <c r="AY478" s="218">
        <v>0.18</v>
      </c>
      <c r="AZ478" s="218">
        <v>4.54</v>
      </c>
      <c r="BL478" s="218">
        <v>12.32</v>
      </c>
      <c r="BM478" s="251">
        <f t="shared" si="39"/>
        <v>-12.32</v>
      </c>
      <c r="BN478" s="218">
        <v>0.81</v>
      </c>
      <c r="BO478" s="218">
        <v>0.18</v>
      </c>
      <c r="BP478" s="218">
        <v>4.5</v>
      </c>
    </row>
    <row r="479" spans="2:68">
      <c r="B479" s="218">
        <v>12.47</v>
      </c>
      <c r="C479" s="218">
        <f t="shared" si="35"/>
        <v>-12.47</v>
      </c>
      <c r="D479" s="218">
        <v>0.82</v>
      </c>
      <c r="E479" s="218">
        <v>0.18</v>
      </c>
      <c r="F479" s="218">
        <v>4.54</v>
      </c>
      <c r="Q479" s="218">
        <v>12.52</v>
      </c>
      <c r="R479" s="251">
        <f t="shared" si="36"/>
        <v>-12.52</v>
      </c>
      <c r="S479" s="218">
        <v>0.82</v>
      </c>
      <c r="T479" s="218">
        <v>0.18</v>
      </c>
      <c r="U479" s="218">
        <v>4.5199999999999996</v>
      </c>
      <c r="AF479" s="218">
        <v>12.44</v>
      </c>
      <c r="AG479" s="251">
        <f t="shared" si="37"/>
        <v>-12.44</v>
      </c>
      <c r="AH479" s="218">
        <v>0.82</v>
      </c>
      <c r="AI479" s="218">
        <v>0.18</v>
      </c>
      <c r="AJ479" s="218">
        <v>4.58</v>
      </c>
      <c r="AV479" s="218">
        <v>12.43</v>
      </c>
      <c r="AW479" s="251">
        <f t="shared" si="38"/>
        <v>-12.43</v>
      </c>
      <c r="AX479" s="218">
        <v>0.82</v>
      </c>
      <c r="AY479" s="218">
        <v>0.18</v>
      </c>
      <c r="AZ479" s="218">
        <v>4.54</v>
      </c>
      <c r="BL479" s="218">
        <v>12.35</v>
      </c>
      <c r="BM479" s="251">
        <f t="shared" si="39"/>
        <v>-12.35</v>
      </c>
      <c r="BN479" s="218">
        <v>0.82</v>
      </c>
      <c r="BO479" s="218">
        <v>0.18</v>
      </c>
      <c r="BP479" s="218">
        <v>4.53</v>
      </c>
    </row>
    <row r="480" spans="2:68">
      <c r="B480" s="218">
        <v>12.49</v>
      </c>
      <c r="C480" s="218">
        <f t="shared" si="35"/>
        <v>-12.49</v>
      </c>
      <c r="D480" s="218">
        <v>0.82</v>
      </c>
      <c r="E480" s="218">
        <v>0.18</v>
      </c>
      <c r="F480" s="218">
        <v>4.54</v>
      </c>
      <c r="Q480" s="218">
        <v>12.54</v>
      </c>
      <c r="R480" s="251">
        <f t="shared" si="36"/>
        <v>-12.54</v>
      </c>
      <c r="S480" s="218">
        <v>0.82</v>
      </c>
      <c r="T480" s="218">
        <v>0.18</v>
      </c>
      <c r="U480" s="218">
        <v>4.5199999999999996</v>
      </c>
      <c r="AF480" s="218">
        <v>12.46</v>
      </c>
      <c r="AG480" s="251">
        <f t="shared" si="37"/>
        <v>-12.46</v>
      </c>
      <c r="AH480" s="218">
        <v>0.82</v>
      </c>
      <c r="AI480" s="218">
        <v>0.18</v>
      </c>
      <c r="AJ480" s="218">
        <v>4.58</v>
      </c>
      <c r="AV480" s="218">
        <v>12.45</v>
      </c>
      <c r="AW480" s="251">
        <f t="shared" si="38"/>
        <v>-12.45</v>
      </c>
      <c r="AX480" s="218">
        <v>0.82</v>
      </c>
      <c r="AY480" s="218">
        <v>0.18</v>
      </c>
      <c r="AZ480" s="218">
        <v>4.54</v>
      </c>
      <c r="BL480" s="218">
        <v>12.37</v>
      </c>
      <c r="BM480" s="251">
        <f t="shared" si="39"/>
        <v>-12.37</v>
      </c>
      <c r="BN480" s="218">
        <v>0.82</v>
      </c>
      <c r="BO480" s="218">
        <v>0.18</v>
      </c>
      <c r="BP480" s="218">
        <v>4.53</v>
      </c>
    </row>
    <row r="481" spans="2:68">
      <c r="B481" s="218">
        <v>12.52</v>
      </c>
      <c r="C481" s="218">
        <f t="shared" si="35"/>
        <v>-12.52</v>
      </c>
      <c r="D481" s="218">
        <v>0.82</v>
      </c>
      <c r="E481" s="218">
        <v>0.18</v>
      </c>
      <c r="F481" s="218">
        <v>4.54</v>
      </c>
      <c r="Q481" s="218">
        <v>12.57</v>
      </c>
      <c r="R481" s="251">
        <f t="shared" si="36"/>
        <v>-12.57</v>
      </c>
      <c r="S481" s="218">
        <v>0.82</v>
      </c>
      <c r="T481" s="218">
        <v>0.18</v>
      </c>
      <c r="U481" s="218">
        <v>4.5199999999999996</v>
      </c>
      <c r="AF481" s="218">
        <v>12.49</v>
      </c>
      <c r="AG481" s="251">
        <f t="shared" si="37"/>
        <v>-12.49</v>
      </c>
      <c r="AH481" s="218">
        <v>0.82</v>
      </c>
      <c r="AI481" s="218">
        <v>0.18</v>
      </c>
      <c r="AJ481" s="218">
        <v>4.58</v>
      </c>
      <c r="AV481" s="218">
        <v>12.48</v>
      </c>
      <c r="AW481" s="251">
        <f t="shared" si="38"/>
        <v>-12.48</v>
      </c>
      <c r="AX481" s="218">
        <v>0.82</v>
      </c>
      <c r="AY481" s="218">
        <v>0.18</v>
      </c>
      <c r="AZ481" s="218">
        <v>4.54</v>
      </c>
      <c r="BL481" s="218">
        <v>12.4</v>
      </c>
      <c r="BM481" s="251">
        <f t="shared" si="39"/>
        <v>-12.4</v>
      </c>
      <c r="BN481" s="218">
        <v>0.82</v>
      </c>
      <c r="BO481" s="218">
        <v>0.18</v>
      </c>
      <c r="BP481" s="218">
        <v>4.53</v>
      </c>
    </row>
    <row r="482" spans="2:68">
      <c r="B482" s="218">
        <v>12.54</v>
      </c>
      <c r="C482" s="218">
        <f t="shared" si="35"/>
        <v>-12.54</v>
      </c>
      <c r="D482" s="218">
        <v>0.82</v>
      </c>
      <c r="E482" s="218">
        <v>0.18</v>
      </c>
      <c r="F482" s="218">
        <v>4.54</v>
      </c>
      <c r="Q482" s="218">
        <v>12.59</v>
      </c>
      <c r="R482" s="251">
        <f t="shared" si="36"/>
        <v>-12.59</v>
      </c>
      <c r="S482" s="218">
        <v>0.82</v>
      </c>
      <c r="T482" s="218">
        <v>0.18</v>
      </c>
      <c r="U482" s="218">
        <v>4.5199999999999996</v>
      </c>
      <c r="AF482" s="218">
        <v>12.51</v>
      </c>
      <c r="AG482" s="251">
        <f t="shared" si="37"/>
        <v>-12.51</v>
      </c>
      <c r="AH482" s="218">
        <v>0.82</v>
      </c>
      <c r="AI482" s="218">
        <v>0.18</v>
      </c>
      <c r="AJ482" s="218">
        <v>4.58</v>
      </c>
      <c r="AV482" s="218">
        <v>12.5</v>
      </c>
      <c r="AW482" s="251">
        <f t="shared" si="38"/>
        <v>-12.5</v>
      </c>
      <c r="AX482" s="218">
        <v>0.82</v>
      </c>
      <c r="AY482" s="218">
        <v>0.18</v>
      </c>
      <c r="AZ482" s="218">
        <v>4.54</v>
      </c>
      <c r="BL482" s="218">
        <v>12.42</v>
      </c>
      <c r="BM482" s="251">
        <f t="shared" si="39"/>
        <v>-12.42</v>
      </c>
      <c r="BN482" s="218">
        <v>0.82</v>
      </c>
      <c r="BO482" s="218">
        <v>0.18</v>
      </c>
      <c r="BP482" s="218">
        <v>4.53</v>
      </c>
    </row>
    <row r="483" spans="2:68">
      <c r="B483" s="218">
        <v>12.57</v>
      </c>
      <c r="C483" s="218">
        <f t="shared" si="35"/>
        <v>-12.57</v>
      </c>
      <c r="D483" s="218">
        <v>0.82</v>
      </c>
      <c r="E483" s="218">
        <v>0.18</v>
      </c>
      <c r="F483" s="218">
        <v>4.54</v>
      </c>
      <c r="Q483" s="218">
        <v>12.62</v>
      </c>
      <c r="R483" s="251">
        <f t="shared" si="36"/>
        <v>-12.62</v>
      </c>
      <c r="S483" s="218">
        <v>0.82</v>
      </c>
      <c r="T483" s="218">
        <v>0.18</v>
      </c>
      <c r="U483" s="218">
        <v>4.5199999999999996</v>
      </c>
      <c r="AF483" s="218">
        <v>12.54</v>
      </c>
      <c r="AG483" s="251">
        <f t="shared" si="37"/>
        <v>-12.54</v>
      </c>
      <c r="AH483" s="218">
        <v>0.82</v>
      </c>
      <c r="AI483" s="218">
        <v>0.18</v>
      </c>
      <c r="AJ483" s="218">
        <v>4.58</v>
      </c>
      <c r="AV483" s="218">
        <v>12.53</v>
      </c>
      <c r="AW483" s="251">
        <f t="shared" si="38"/>
        <v>-12.53</v>
      </c>
      <c r="AX483" s="218">
        <v>0.82</v>
      </c>
      <c r="AY483" s="218">
        <v>0.18</v>
      </c>
      <c r="AZ483" s="218">
        <v>4.54</v>
      </c>
      <c r="BL483" s="218">
        <v>12.45</v>
      </c>
      <c r="BM483" s="251">
        <f t="shared" si="39"/>
        <v>-12.45</v>
      </c>
      <c r="BN483" s="218">
        <v>0.82</v>
      </c>
      <c r="BO483" s="218">
        <v>0.18</v>
      </c>
      <c r="BP483" s="218">
        <v>4.53</v>
      </c>
    </row>
    <row r="484" spans="2:68">
      <c r="B484" s="218">
        <v>12.59</v>
      </c>
      <c r="C484" s="218">
        <f t="shared" si="35"/>
        <v>-12.59</v>
      </c>
      <c r="D484" s="218">
        <v>0.82</v>
      </c>
      <c r="E484" s="218">
        <v>0.18</v>
      </c>
      <c r="F484" s="218">
        <v>4.54</v>
      </c>
      <c r="Q484" s="218">
        <v>12.64</v>
      </c>
      <c r="R484" s="251">
        <f t="shared" si="36"/>
        <v>-12.64</v>
      </c>
      <c r="S484" s="218">
        <v>0.82</v>
      </c>
      <c r="T484" s="218">
        <v>0.18</v>
      </c>
      <c r="U484" s="218">
        <v>4.5199999999999996</v>
      </c>
      <c r="AF484" s="218">
        <v>12.56</v>
      </c>
      <c r="AG484" s="251">
        <f t="shared" si="37"/>
        <v>-12.56</v>
      </c>
      <c r="AH484" s="218">
        <v>0.82</v>
      </c>
      <c r="AI484" s="218">
        <v>0.18</v>
      </c>
      <c r="AJ484" s="218">
        <v>4.58</v>
      </c>
      <c r="AV484" s="218">
        <v>12.55</v>
      </c>
      <c r="AW484" s="251">
        <f t="shared" si="38"/>
        <v>-12.55</v>
      </c>
      <c r="AX484" s="218">
        <v>0.82</v>
      </c>
      <c r="AY484" s="218">
        <v>0.18</v>
      </c>
      <c r="AZ484" s="218">
        <v>4.54</v>
      </c>
      <c r="BL484" s="218">
        <v>12.47</v>
      </c>
      <c r="BM484" s="251">
        <f t="shared" si="39"/>
        <v>-12.47</v>
      </c>
      <c r="BN484" s="218">
        <v>0.82</v>
      </c>
      <c r="BO484" s="218">
        <v>0.18</v>
      </c>
      <c r="BP484" s="218">
        <v>4.53</v>
      </c>
    </row>
    <row r="485" spans="2:68">
      <c r="B485" s="218">
        <v>12.62</v>
      </c>
      <c r="C485" s="218">
        <f t="shared" si="35"/>
        <v>-12.62</v>
      </c>
      <c r="D485" s="218">
        <v>0.81</v>
      </c>
      <c r="E485" s="218">
        <v>0.18</v>
      </c>
      <c r="F485" s="218">
        <v>4.54</v>
      </c>
      <c r="Q485" s="218">
        <v>12.67</v>
      </c>
      <c r="R485" s="251">
        <f t="shared" si="36"/>
        <v>-12.67</v>
      </c>
      <c r="S485" s="218">
        <v>0.82</v>
      </c>
      <c r="T485" s="218">
        <v>0.18</v>
      </c>
      <c r="U485" s="218">
        <v>4.5199999999999996</v>
      </c>
      <c r="AF485" s="218">
        <v>12.59</v>
      </c>
      <c r="AG485" s="251">
        <f t="shared" si="37"/>
        <v>-12.59</v>
      </c>
      <c r="AH485" s="218">
        <v>0.82</v>
      </c>
      <c r="AI485" s="218">
        <v>0.18</v>
      </c>
      <c r="AJ485" s="218">
        <v>4.58</v>
      </c>
      <c r="AV485" s="218">
        <v>12.58</v>
      </c>
      <c r="AW485" s="251">
        <f t="shared" si="38"/>
        <v>-12.58</v>
      </c>
      <c r="AX485" s="218">
        <v>0.82</v>
      </c>
      <c r="AY485" s="218">
        <v>0.18</v>
      </c>
      <c r="AZ485" s="218">
        <v>4.54</v>
      </c>
      <c r="BL485" s="218">
        <v>12.5</v>
      </c>
      <c r="BM485" s="251">
        <f t="shared" si="39"/>
        <v>-12.5</v>
      </c>
      <c r="BN485" s="218">
        <v>0.82</v>
      </c>
      <c r="BO485" s="218">
        <v>0.18</v>
      </c>
      <c r="BP485" s="218">
        <v>4.53</v>
      </c>
    </row>
    <row r="486" spans="2:68">
      <c r="B486" s="218">
        <v>12.64</v>
      </c>
      <c r="C486" s="218">
        <f t="shared" si="35"/>
        <v>-12.64</v>
      </c>
      <c r="D486" s="218">
        <v>0.81</v>
      </c>
      <c r="E486" s="218">
        <v>0.18</v>
      </c>
      <c r="F486" s="218">
        <v>4.54</v>
      </c>
      <c r="Q486" s="218">
        <v>12.69</v>
      </c>
      <c r="R486" s="251">
        <f t="shared" si="36"/>
        <v>-12.69</v>
      </c>
      <c r="S486" s="218">
        <v>0.82</v>
      </c>
      <c r="T486" s="218">
        <v>0.18</v>
      </c>
      <c r="U486" s="218">
        <v>4.5199999999999996</v>
      </c>
      <c r="AF486" s="218">
        <v>12.61</v>
      </c>
      <c r="AG486" s="251">
        <f t="shared" si="37"/>
        <v>-12.61</v>
      </c>
      <c r="AH486" s="218">
        <v>0.82</v>
      </c>
      <c r="AI486" s="218">
        <v>0.18</v>
      </c>
      <c r="AJ486" s="218">
        <v>4.58</v>
      </c>
      <c r="AV486" s="218">
        <v>12.6</v>
      </c>
      <c r="AW486" s="251">
        <f t="shared" si="38"/>
        <v>-12.6</v>
      </c>
      <c r="AX486" s="218">
        <v>0.82</v>
      </c>
      <c r="AY486" s="218">
        <v>0.18</v>
      </c>
      <c r="AZ486" s="218">
        <v>4.54</v>
      </c>
      <c r="BL486" s="218">
        <v>12.52</v>
      </c>
      <c r="BM486" s="251">
        <f t="shared" si="39"/>
        <v>-12.52</v>
      </c>
      <c r="BN486" s="218">
        <v>0.82</v>
      </c>
      <c r="BO486" s="218">
        <v>0.18</v>
      </c>
      <c r="BP486" s="218">
        <v>4.53</v>
      </c>
    </row>
    <row r="487" spans="2:68">
      <c r="B487" s="218">
        <v>12.67</v>
      </c>
      <c r="C487" s="218">
        <f t="shared" si="35"/>
        <v>-12.67</v>
      </c>
      <c r="D487" s="218">
        <v>0.81</v>
      </c>
      <c r="E487" s="218">
        <v>0.18</v>
      </c>
      <c r="F487" s="218">
        <v>4.54</v>
      </c>
      <c r="Q487" s="218">
        <v>12.72</v>
      </c>
      <c r="R487" s="251">
        <f t="shared" si="36"/>
        <v>-12.72</v>
      </c>
      <c r="S487" s="218">
        <v>0.82</v>
      </c>
      <c r="T487" s="218">
        <v>0.18</v>
      </c>
      <c r="U487" s="218">
        <v>4.5199999999999996</v>
      </c>
      <c r="AF487" s="218">
        <v>12.64</v>
      </c>
      <c r="AG487" s="251">
        <f t="shared" si="37"/>
        <v>-12.64</v>
      </c>
      <c r="AH487" s="218">
        <v>0.82</v>
      </c>
      <c r="AI487" s="218">
        <v>0.18</v>
      </c>
      <c r="AJ487" s="218">
        <v>4.58</v>
      </c>
      <c r="AV487" s="218">
        <v>12.63</v>
      </c>
      <c r="AW487" s="251">
        <f t="shared" si="38"/>
        <v>-12.63</v>
      </c>
      <c r="AX487" s="218">
        <v>0.82</v>
      </c>
      <c r="AY487" s="218">
        <v>0.18</v>
      </c>
      <c r="AZ487" s="218">
        <v>4.54</v>
      </c>
      <c r="BL487" s="218">
        <v>12.55</v>
      </c>
      <c r="BM487" s="251">
        <f t="shared" si="39"/>
        <v>-12.55</v>
      </c>
      <c r="BN487" s="218">
        <v>0.82</v>
      </c>
      <c r="BO487" s="218">
        <v>0.18</v>
      </c>
      <c r="BP487" s="218">
        <v>4.53</v>
      </c>
    </row>
    <row r="488" spans="2:68">
      <c r="B488" s="218">
        <v>12.69</v>
      </c>
      <c r="C488" s="218">
        <f t="shared" si="35"/>
        <v>-12.69</v>
      </c>
      <c r="D488" s="218">
        <v>0.81</v>
      </c>
      <c r="E488" s="218">
        <v>0.18</v>
      </c>
      <c r="F488" s="218">
        <v>4.54</v>
      </c>
      <c r="Q488" s="218">
        <v>12.74</v>
      </c>
      <c r="R488" s="251">
        <f t="shared" si="36"/>
        <v>-12.74</v>
      </c>
      <c r="S488" s="218">
        <v>0.82</v>
      </c>
      <c r="T488" s="218">
        <v>0.18</v>
      </c>
      <c r="U488" s="218">
        <v>4.5199999999999996</v>
      </c>
      <c r="AF488" s="218">
        <v>12.66</v>
      </c>
      <c r="AG488" s="251">
        <f t="shared" si="37"/>
        <v>-12.66</v>
      </c>
      <c r="AH488" s="218">
        <v>0.82</v>
      </c>
      <c r="AI488" s="218">
        <v>0.18</v>
      </c>
      <c r="AJ488" s="218">
        <v>4.58</v>
      </c>
      <c r="AV488" s="218">
        <v>12.65</v>
      </c>
      <c r="AW488" s="251">
        <f t="shared" si="38"/>
        <v>-12.65</v>
      </c>
      <c r="AX488" s="218">
        <v>0.82</v>
      </c>
      <c r="AY488" s="218">
        <v>0.18</v>
      </c>
      <c r="AZ488" s="218">
        <v>4.54</v>
      </c>
      <c r="BL488" s="218">
        <v>12.57</v>
      </c>
      <c r="BM488" s="251">
        <f t="shared" si="39"/>
        <v>-12.57</v>
      </c>
      <c r="BN488" s="218">
        <v>0.82</v>
      </c>
      <c r="BO488" s="218">
        <v>0.18</v>
      </c>
      <c r="BP488" s="218">
        <v>4.53</v>
      </c>
    </row>
    <row r="489" spans="2:68">
      <c r="B489" s="218">
        <v>12.72</v>
      </c>
      <c r="C489" s="218">
        <f t="shared" si="35"/>
        <v>-12.72</v>
      </c>
      <c r="D489" s="218">
        <v>0.81</v>
      </c>
      <c r="E489" s="218">
        <v>0.18</v>
      </c>
      <c r="F489" s="218">
        <v>4.54</v>
      </c>
      <c r="Q489" s="218">
        <v>12.77</v>
      </c>
      <c r="R489" s="251">
        <f t="shared" si="36"/>
        <v>-12.77</v>
      </c>
      <c r="S489" s="218">
        <v>0.82</v>
      </c>
      <c r="T489" s="218">
        <v>0.18</v>
      </c>
      <c r="U489" s="218">
        <v>4.5199999999999996</v>
      </c>
      <c r="AF489" s="218">
        <v>12.69</v>
      </c>
      <c r="AG489" s="251">
        <f t="shared" si="37"/>
        <v>-12.69</v>
      </c>
      <c r="AH489" s="218">
        <v>0.81</v>
      </c>
      <c r="AI489" s="218">
        <v>0.18</v>
      </c>
      <c r="AJ489" s="218">
        <v>4.58</v>
      </c>
      <c r="AV489" s="218">
        <v>12.68</v>
      </c>
      <c r="AW489" s="251">
        <f t="shared" si="38"/>
        <v>-12.68</v>
      </c>
      <c r="AX489" s="218">
        <v>0.82</v>
      </c>
      <c r="AY489" s="218">
        <v>0.18</v>
      </c>
      <c r="AZ489" s="218">
        <v>4.54</v>
      </c>
      <c r="BL489" s="218">
        <v>12.6</v>
      </c>
      <c r="BM489" s="251">
        <f t="shared" si="39"/>
        <v>-12.6</v>
      </c>
      <c r="BN489" s="218">
        <v>0.82</v>
      </c>
      <c r="BO489" s="218">
        <v>0.18</v>
      </c>
      <c r="BP489" s="218">
        <v>4.53</v>
      </c>
    </row>
    <row r="490" spans="2:68">
      <c r="B490" s="218">
        <v>12.74</v>
      </c>
      <c r="C490" s="218">
        <f t="shared" si="35"/>
        <v>-12.74</v>
      </c>
      <c r="D490" s="218">
        <v>0.81</v>
      </c>
      <c r="E490" s="218">
        <v>0.18</v>
      </c>
      <c r="F490" s="218">
        <v>4.54</v>
      </c>
      <c r="Q490" s="218">
        <v>12.79</v>
      </c>
      <c r="R490" s="251">
        <f t="shared" si="36"/>
        <v>-12.79</v>
      </c>
      <c r="S490" s="218">
        <v>0.82</v>
      </c>
      <c r="T490" s="218">
        <v>0.18</v>
      </c>
      <c r="U490" s="218">
        <v>4.5199999999999996</v>
      </c>
      <c r="AF490" s="218">
        <v>12.71</v>
      </c>
      <c r="AG490" s="251">
        <f t="shared" si="37"/>
        <v>-12.71</v>
      </c>
      <c r="AH490" s="218">
        <v>0.81</v>
      </c>
      <c r="AI490" s="218">
        <v>0.18</v>
      </c>
      <c r="AJ490" s="218">
        <v>4.58</v>
      </c>
      <c r="AV490" s="218">
        <v>12.7</v>
      </c>
      <c r="AW490" s="251">
        <f t="shared" si="38"/>
        <v>-12.7</v>
      </c>
      <c r="AX490" s="218">
        <v>0.81</v>
      </c>
      <c r="AY490" s="218">
        <v>0.18</v>
      </c>
      <c r="AZ490" s="218">
        <v>4.54</v>
      </c>
      <c r="BL490" s="218">
        <v>12.62</v>
      </c>
      <c r="BM490" s="251">
        <f t="shared" si="39"/>
        <v>-12.62</v>
      </c>
      <c r="BN490" s="218">
        <v>0.82</v>
      </c>
      <c r="BO490" s="218">
        <v>0.18</v>
      </c>
      <c r="BP490" s="218">
        <v>4.53</v>
      </c>
    </row>
    <row r="491" spans="2:68">
      <c r="B491" s="218">
        <v>12.77</v>
      </c>
      <c r="C491" s="218">
        <f t="shared" si="35"/>
        <v>-12.77</v>
      </c>
      <c r="D491" s="218">
        <v>0.81</v>
      </c>
      <c r="E491" s="218">
        <v>0.18</v>
      </c>
      <c r="F491" s="218">
        <v>4.54</v>
      </c>
      <c r="Q491" s="218">
        <v>12.82</v>
      </c>
      <c r="R491" s="251">
        <f t="shared" si="36"/>
        <v>-12.82</v>
      </c>
      <c r="S491" s="218">
        <v>0.81</v>
      </c>
      <c r="T491" s="218">
        <v>0.18</v>
      </c>
      <c r="U491" s="218">
        <v>4.5199999999999996</v>
      </c>
      <c r="AF491" s="218">
        <v>12.74</v>
      </c>
      <c r="AG491" s="251">
        <f t="shared" si="37"/>
        <v>-12.74</v>
      </c>
      <c r="AH491" s="218">
        <v>0.81</v>
      </c>
      <c r="AI491" s="218">
        <v>0.18</v>
      </c>
      <c r="AJ491" s="218">
        <v>4.58</v>
      </c>
      <c r="AV491" s="218">
        <v>12.73</v>
      </c>
      <c r="AW491" s="251">
        <f t="shared" si="38"/>
        <v>-12.73</v>
      </c>
      <c r="AX491" s="218">
        <v>0.81</v>
      </c>
      <c r="AY491" s="218">
        <v>0.18</v>
      </c>
      <c r="AZ491" s="218">
        <v>4.54</v>
      </c>
      <c r="BL491" s="218">
        <v>12.65</v>
      </c>
      <c r="BM491" s="251">
        <f t="shared" si="39"/>
        <v>-12.65</v>
      </c>
      <c r="BN491" s="218">
        <v>0.82</v>
      </c>
      <c r="BO491" s="218">
        <v>0.18</v>
      </c>
      <c r="BP491" s="218">
        <v>4.53</v>
      </c>
    </row>
    <row r="492" spans="2:68">
      <c r="B492" s="218">
        <v>12.79</v>
      </c>
      <c r="C492" s="218">
        <f t="shared" si="35"/>
        <v>-12.79</v>
      </c>
      <c r="D492" s="218">
        <v>0.81</v>
      </c>
      <c r="E492" s="218">
        <v>0.18</v>
      </c>
      <c r="F492" s="218">
        <v>4.54</v>
      </c>
      <c r="Q492" s="218">
        <v>12.84</v>
      </c>
      <c r="R492" s="251">
        <f t="shared" si="36"/>
        <v>-12.84</v>
      </c>
      <c r="S492" s="218">
        <v>0.81</v>
      </c>
      <c r="T492" s="218">
        <v>0.18</v>
      </c>
      <c r="U492" s="218">
        <v>4.5199999999999996</v>
      </c>
      <c r="AF492" s="218">
        <v>12.76</v>
      </c>
      <c r="AG492" s="251">
        <f t="shared" si="37"/>
        <v>-12.76</v>
      </c>
      <c r="AH492" s="218">
        <v>0.81</v>
      </c>
      <c r="AI492" s="218">
        <v>0.18</v>
      </c>
      <c r="AJ492" s="218">
        <v>4.58</v>
      </c>
      <c r="AV492" s="218">
        <v>12.75</v>
      </c>
      <c r="AW492" s="251">
        <f t="shared" si="38"/>
        <v>-12.75</v>
      </c>
      <c r="AX492" s="218">
        <v>0.81</v>
      </c>
      <c r="AY492" s="218">
        <v>0.18</v>
      </c>
      <c r="AZ492" s="218">
        <v>4.54</v>
      </c>
      <c r="BL492" s="218">
        <v>12.67</v>
      </c>
      <c r="BM492" s="251">
        <f t="shared" si="39"/>
        <v>-12.67</v>
      </c>
      <c r="BN492" s="218">
        <v>0.82</v>
      </c>
      <c r="BO492" s="218">
        <v>0.18</v>
      </c>
      <c r="BP492" s="218">
        <v>4.53</v>
      </c>
    </row>
    <row r="493" spans="2:68">
      <c r="B493" s="218">
        <v>12.82</v>
      </c>
      <c r="C493" s="218">
        <f t="shared" si="35"/>
        <v>-12.82</v>
      </c>
      <c r="D493" s="218">
        <v>0.81</v>
      </c>
      <c r="E493" s="218">
        <v>0.18</v>
      </c>
      <c r="F493" s="218">
        <v>4.54</v>
      </c>
      <c r="Q493" s="218">
        <v>12.87</v>
      </c>
      <c r="R493" s="251">
        <f t="shared" si="36"/>
        <v>-12.87</v>
      </c>
      <c r="S493" s="218">
        <v>0.81</v>
      </c>
      <c r="T493" s="218">
        <v>0.18</v>
      </c>
      <c r="U493" s="218">
        <v>4.5199999999999996</v>
      </c>
      <c r="AF493" s="218">
        <v>12.79</v>
      </c>
      <c r="AG493" s="251">
        <f t="shared" si="37"/>
        <v>-12.79</v>
      </c>
      <c r="AH493" s="218">
        <v>0.81</v>
      </c>
      <c r="AI493" s="218">
        <v>0.18</v>
      </c>
      <c r="AJ493" s="218">
        <v>4.58</v>
      </c>
      <c r="AV493" s="218">
        <v>12.78</v>
      </c>
      <c r="AW493" s="251">
        <f t="shared" si="38"/>
        <v>-12.78</v>
      </c>
      <c r="AX493" s="218">
        <v>0.81</v>
      </c>
      <c r="AY493" s="218">
        <v>0.18</v>
      </c>
      <c r="AZ493" s="218">
        <v>4.54</v>
      </c>
      <c r="BL493" s="218">
        <v>12.7</v>
      </c>
      <c r="BM493" s="251">
        <f t="shared" si="39"/>
        <v>-12.7</v>
      </c>
      <c r="BN493" s="218">
        <v>0.82</v>
      </c>
      <c r="BO493" s="218">
        <v>0.18</v>
      </c>
      <c r="BP493" s="218">
        <v>4.53</v>
      </c>
    </row>
    <row r="494" spans="2:68">
      <c r="B494" s="218">
        <v>12.84</v>
      </c>
      <c r="C494" s="218">
        <f t="shared" si="35"/>
        <v>-12.84</v>
      </c>
      <c r="D494" s="218">
        <v>0.81</v>
      </c>
      <c r="E494" s="218">
        <v>0.18</v>
      </c>
      <c r="F494" s="218">
        <v>4.54</v>
      </c>
      <c r="Q494" s="218">
        <v>12.89</v>
      </c>
      <c r="R494" s="251">
        <f t="shared" si="36"/>
        <v>-12.89</v>
      </c>
      <c r="S494" s="218">
        <v>0.81</v>
      </c>
      <c r="T494" s="218">
        <v>0.18</v>
      </c>
      <c r="U494" s="218">
        <v>4.5199999999999996</v>
      </c>
      <c r="AF494" s="218">
        <v>12.81</v>
      </c>
      <c r="AG494" s="251">
        <f t="shared" si="37"/>
        <v>-12.81</v>
      </c>
      <c r="AH494" s="218">
        <v>0.81</v>
      </c>
      <c r="AI494" s="218">
        <v>0.18</v>
      </c>
      <c r="AJ494" s="218">
        <v>4.58</v>
      </c>
      <c r="AV494" s="218">
        <v>12.8</v>
      </c>
      <c r="AW494" s="251">
        <f t="shared" si="38"/>
        <v>-12.8</v>
      </c>
      <c r="AX494" s="218">
        <v>0.81</v>
      </c>
      <c r="AY494" s="218">
        <v>0.18</v>
      </c>
      <c r="AZ494" s="218">
        <v>4.54</v>
      </c>
      <c r="BL494" s="218">
        <v>12.72</v>
      </c>
      <c r="BM494" s="251">
        <f t="shared" si="39"/>
        <v>-12.72</v>
      </c>
      <c r="BN494" s="218">
        <v>0.82</v>
      </c>
      <c r="BO494" s="218">
        <v>0.18</v>
      </c>
      <c r="BP494" s="218">
        <v>4.53</v>
      </c>
    </row>
    <row r="495" spans="2:68">
      <c r="B495" s="218">
        <v>12.87</v>
      </c>
      <c r="C495" s="218">
        <f t="shared" si="35"/>
        <v>-12.87</v>
      </c>
      <c r="D495" s="218">
        <v>0.81</v>
      </c>
      <c r="E495" s="218">
        <v>0.18</v>
      </c>
      <c r="F495" s="218">
        <v>4.54</v>
      </c>
      <c r="Q495" s="218">
        <v>12.92</v>
      </c>
      <c r="R495" s="251">
        <f t="shared" si="36"/>
        <v>-12.92</v>
      </c>
      <c r="S495" s="218">
        <v>0.81</v>
      </c>
      <c r="T495" s="218">
        <v>0.18</v>
      </c>
      <c r="U495" s="218">
        <v>4.5199999999999996</v>
      </c>
      <c r="AF495" s="218">
        <v>12.84</v>
      </c>
      <c r="AG495" s="251">
        <f t="shared" si="37"/>
        <v>-12.84</v>
      </c>
      <c r="AH495" s="218">
        <v>0.81</v>
      </c>
      <c r="AI495" s="218">
        <v>0.18</v>
      </c>
      <c r="AJ495" s="218">
        <v>4.58</v>
      </c>
      <c r="AV495" s="218">
        <v>12.83</v>
      </c>
      <c r="AW495" s="251">
        <f t="shared" si="38"/>
        <v>-12.83</v>
      </c>
      <c r="AX495" s="218">
        <v>0.81</v>
      </c>
      <c r="AY495" s="218">
        <v>0.18</v>
      </c>
      <c r="AZ495" s="218">
        <v>4.54</v>
      </c>
      <c r="BL495" s="218">
        <v>12.75</v>
      </c>
      <c r="BM495" s="251">
        <f t="shared" si="39"/>
        <v>-12.75</v>
      </c>
      <c r="BN495" s="218">
        <v>0.82</v>
      </c>
      <c r="BO495" s="218">
        <v>0.18</v>
      </c>
      <c r="BP495" s="218">
        <v>4.53</v>
      </c>
    </row>
    <row r="496" spans="2:68">
      <c r="B496" s="218">
        <v>12.89</v>
      </c>
      <c r="C496" s="218">
        <f t="shared" si="35"/>
        <v>-12.89</v>
      </c>
      <c r="D496" s="218">
        <v>0.81</v>
      </c>
      <c r="E496" s="218">
        <v>0.18</v>
      </c>
      <c r="F496" s="218">
        <v>4.54</v>
      </c>
      <c r="Q496" s="218">
        <v>12.94</v>
      </c>
      <c r="R496" s="251">
        <f t="shared" si="36"/>
        <v>-12.94</v>
      </c>
      <c r="S496" s="218">
        <v>0.81</v>
      </c>
      <c r="T496" s="218">
        <v>0.18</v>
      </c>
      <c r="U496" s="218">
        <v>4.5199999999999996</v>
      </c>
      <c r="AF496" s="218">
        <v>12.86</v>
      </c>
      <c r="AG496" s="251">
        <f t="shared" si="37"/>
        <v>-12.86</v>
      </c>
      <c r="AH496" s="218">
        <v>0.81</v>
      </c>
      <c r="AI496" s="218">
        <v>0.18</v>
      </c>
      <c r="AJ496" s="218">
        <v>4.58</v>
      </c>
      <c r="AV496" s="218">
        <v>12.85</v>
      </c>
      <c r="AW496" s="251">
        <f t="shared" si="38"/>
        <v>-12.85</v>
      </c>
      <c r="AX496" s="218">
        <v>0.81</v>
      </c>
      <c r="AY496" s="218">
        <v>0.18</v>
      </c>
      <c r="AZ496" s="218">
        <v>4.54</v>
      </c>
      <c r="BL496" s="218">
        <v>12.77</v>
      </c>
      <c r="BM496" s="251">
        <f t="shared" si="39"/>
        <v>-12.77</v>
      </c>
      <c r="BN496" s="218">
        <v>0.82</v>
      </c>
      <c r="BO496" s="218">
        <v>0.18</v>
      </c>
      <c r="BP496" s="218">
        <v>4.53</v>
      </c>
    </row>
    <row r="497" spans="2:68">
      <c r="B497" s="218">
        <v>12.92</v>
      </c>
      <c r="C497" s="218">
        <f t="shared" si="35"/>
        <v>-12.92</v>
      </c>
      <c r="D497" s="218">
        <v>0.81</v>
      </c>
      <c r="E497" s="218">
        <v>0.18</v>
      </c>
      <c r="F497" s="218">
        <v>4.54</v>
      </c>
      <c r="Q497" s="218">
        <v>12.97</v>
      </c>
      <c r="R497" s="251">
        <f t="shared" si="36"/>
        <v>-12.97</v>
      </c>
      <c r="S497" s="218">
        <v>0.81</v>
      </c>
      <c r="T497" s="218">
        <v>0.18</v>
      </c>
      <c r="U497" s="218">
        <v>4.5199999999999996</v>
      </c>
      <c r="AF497" s="218">
        <v>12.89</v>
      </c>
      <c r="AG497" s="251">
        <f t="shared" si="37"/>
        <v>-12.89</v>
      </c>
      <c r="AH497" s="218">
        <v>0.81</v>
      </c>
      <c r="AI497" s="218">
        <v>0.18</v>
      </c>
      <c r="AJ497" s="218">
        <v>4.58</v>
      </c>
      <c r="AV497" s="218">
        <v>12.88</v>
      </c>
      <c r="AW497" s="251">
        <f t="shared" si="38"/>
        <v>-12.88</v>
      </c>
      <c r="AX497" s="218">
        <v>0.81</v>
      </c>
      <c r="AY497" s="218">
        <v>0.18</v>
      </c>
      <c r="AZ497" s="218">
        <v>4.54</v>
      </c>
      <c r="BL497" s="218">
        <v>12.8</v>
      </c>
      <c r="BM497" s="251">
        <f t="shared" si="39"/>
        <v>-12.8</v>
      </c>
      <c r="BN497" s="218">
        <v>0.82</v>
      </c>
      <c r="BO497" s="218">
        <v>0.18</v>
      </c>
      <c r="BP497" s="218">
        <v>4.53</v>
      </c>
    </row>
    <row r="498" spans="2:68">
      <c r="B498" s="218">
        <v>12.94</v>
      </c>
      <c r="C498" s="218">
        <f t="shared" si="35"/>
        <v>-12.94</v>
      </c>
      <c r="D498" s="218">
        <v>0.81</v>
      </c>
      <c r="E498" s="218">
        <v>0.18</v>
      </c>
      <c r="F498" s="218">
        <v>4.54</v>
      </c>
      <c r="Q498" s="218">
        <v>12.99</v>
      </c>
      <c r="R498" s="251">
        <f t="shared" si="36"/>
        <v>-12.99</v>
      </c>
      <c r="S498" s="218">
        <v>0.81</v>
      </c>
      <c r="T498" s="218">
        <v>0.18</v>
      </c>
      <c r="U498" s="218">
        <v>4.5199999999999996</v>
      </c>
      <c r="AF498" s="218">
        <v>12.91</v>
      </c>
      <c r="AG498" s="251">
        <f t="shared" si="37"/>
        <v>-12.91</v>
      </c>
      <c r="AH498" s="218">
        <v>0.81</v>
      </c>
      <c r="AI498" s="218">
        <v>0.18</v>
      </c>
      <c r="AJ498" s="218">
        <v>4.58</v>
      </c>
      <c r="AV498" s="218">
        <v>12.9</v>
      </c>
      <c r="AW498" s="251">
        <f t="shared" si="38"/>
        <v>-12.9</v>
      </c>
      <c r="AX498" s="218">
        <v>0.81</v>
      </c>
      <c r="AY498" s="218">
        <v>0.18</v>
      </c>
      <c r="AZ498" s="218">
        <v>4.54</v>
      </c>
      <c r="BL498" s="218">
        <v>12.82</v>
      </c>
      <c r="BM498" s="251">
        <f t="shared" si="39"/>
        <v>-12.82</v>
      </c>
      <c r="BN498" s="218">
        <v>0.82</v>
      </c>
      <c r="BO498" s="218">
        <v>0.18</v>
      </c>
      <c r="BP498" s="218">
        <v>4.53</v>
      </c>
    </row>
    <row r="499" spans="2:68">
      <c r="B499" s="218">
        <v>12.97</v>
      </c>
      <c r="C499" s="218">
        <f t="shared" si="35"/>
        <v>-12.97</v>
      </c>
      <c r="D499" s="218">
        <v>0.81</v>
      </c>
      <c r="E499" s="218">
        <v>0.18</v>
      </c>
      <c r="F499" s="218">
        <v>4.54</v>
      </c>
      <c r="Q499" s="218">
        <v>13.02</v>
      </c>
      <c r="R499" s="251">
        <f t="shared" si="36"/>
        <v>-13.02</v>
      </c>
      <c r="S499" s="218">
        <v>0.81</v>
      </c>
      <c r="T499" s="218">
        <v>0.18</v>
      </c>
      <c r="U499" s="218">
        <v>4.5199999999999996</v>
      </c>
      <c r="AF499" s="218">
        <v>12.94</v>
      </c>
      <c r="AG499" s="251">
        <f t="shared" si="37"/>
        <v>-12.94</v>
      </c>
      <c r="AH499" s="218">
        <v>0.81</v>
      </c>
      <c r="AI499" s="218">
        <v>0.18</v>
      </c>
      <c r="AJ499" s="218">
        <v>4.58</v>
      </c>
      <c r="AV499" s="218">
        <v>12.93</v>
      </c>
      <c r="AW499" s="251">
        <f t="shared" si="38"/>
        <v>-12.93</v>
      </c>
      <c r="AX499" s="218">
        <v>0.81</v>
      </c>
      <c r="AY499" s="218">
        <v>0.18</v>
      </c>
      <c r="AZ499" s="218">
        <v>4.54</v>
      </c>
      <c r="BL499" s="218">
        <v>12.85</v>
      </c>
      <c r="BM499" s="251">
        <f t="shared" si="39"/>
        <v>-12.85</v>
      </c>
      <c r="BN499" s="218">
        <v>0.81</v>
      </c>
      <c r="BO499" s="218">
        <v>0.18</v>
      </c>
      <c r="BP499" s="218">
        <v>4.53</v>
      </c>
    </row>
    <row r="500" spans="2:68">
      <c r="B500" s="218">
        <v>12.99</v>
      </c>
      <c r="C500" s="218">
        <f t="shared" si="35"/>
        <v>-12.99</v>
      </c>
      <c r="D500" s="218">
        <v>0.81</v>
      </c>
      <c r="E500" s="218">
        <v>0.18</v>
      </c>
      <c r="F500" s="218">
        <v>4.54</v>
      </c>
      <c r="Q500" s="218">
        <v>13.04</v>
      </c>
      <c r="R500" s="251">
        <f t="shared" si="36"/>
        <v>-13.04</v>
      </c>
      <c r="S500" s="218">
        <v>0.81</v>
      </c>
      <c r="T500" s="218">
        <v>0.18</v>
      </c>
      <c r="U500" s="218">
        <v>4.5199999999999996</v>
      </c>
      <c r="AF500" s="218">
        <v>12.96</v>
      </c>
      <c r="AG500" s="251">
        <f t="shared" si="37"/>
        <v>-12.96</v>
      </c>
      <c r="AH500" s="218">
        <v>0.81</v>
      </c>
      <c r="AI500" s="218">
        <v>0.18</v>
      </c>
      <c r="AJ500" s="218">
        <v>4.58</v>
      </c>
      <c r="AV500" s="218">
        <v>12.95</v>
      </c>
      <c r="AW500" s="251">
        <f t="shared" si="38"/>
        <v>-12.95</v>
      </c>
      <c r="AX500" s="218">
        <v>0.81</v>
      </c>
      <c r="AY500" s="218">
        <v>0.18</v>
      </c>
      <c r="AZ500" s="218">
        <v>4.54</v>
      </c>
      <c r="BL500" s="218">
        <v>12.87</v>
      </c>
      <c r="BM500" s="251">
        <f t="shared" si="39"/>
        <v>-12.87</v>
      </c>
      <c r="BN500" s="218">
        <v>0.81</v>
      </c>
      <c r="BO500" s="218">
        <v>0.18</v>
      </c>
      <c r="BP500" s="218">
        <v>4.53</v>
      </c>
    </row>
    <row r="501" spans="2:68">
      <c r="B501" s="218">
        <v>13.02</v>
      </c>
      <c r="C501" s="218">
        <f t="shared" si="35"/>
        <v>-13.02</v>
      </c>
      <c r="D501" s="218">
        <v>0.81</v>
      </c>
      <c r="E501" s="218">
        <v>0.18</v>
      </c>
      <c r="F501" s="218">
        <v>4.54</v>
      </c>
      <c r="Q501" s="218">
        <v>13.07</v>
      </c>
      <c r="R501" s="251">
        <f t="shared" si="36"/>
        <v>-13.07</v>
      </c>
      <c r="S501" s="218">
        <v>0.81</v>
      </c>
      <c r="T501" s="218">
        <v>0.18</v>
      </c>
      <c r="U501" s="218">
        <v>4.5199999999999996</v>
      </c>
      <c r="AF501" s="218">
        <v>12.99</v>
      </c>
      <c r="AG501" s="251">
        <f t="shared" si="37"/>
        <v>-12.99</v>
      </c>
      <c r="AH501" s="218">
        <v>0.81</v>
      </c>
      <c r="AI501" s="218">
        <v>0.18</v>
      </c>
      <c r="AJ501" s="218">
        <v>4.58</v>
      </c>
      <c r="AV501" s="218">
        <v>12.98</v>
      </c>
      <c r="AW501" s="251">
        <f t="shared" si="38"/>
        <v>-12.98</v>
      </c>
      <c r="AX501" s="218">
        <v>0.81</v>
      </c>
      <c r="AY501" s="218">
        <v>0.18</v>
      </c>
      <c r="AZ501" s="218">
        <v>4.54</v>
      </c>
      <c r="BL501" s="218">
        <v>12.9</v>
      </c>
      <c r="BM501" s="251">
        <f t="shared" si="39"/>
        <v>-12.9</v>
      </c>
      <c r="BN501" s="218">
        <v>0.81</v>
      </c>
      <c r="BO501" s="218">
        <v>0.18</v>
      </c>
      <c r="BP501" s="218">
        <v>4.53</v>
      </c>
    </row>
    <row r="502" spans="2:68">
      <c r="B502" s="218">
        <v>13.04</v>
      </c>
      <c r="C502" s="218">
        <f t="shared" si="35"/>
        <v>-13.04</v>
      </c>
      <c r="D502" s="218">
        <v>0.81</v>
      </c>
      <c r="E502" s="218">
        <v>0.18</v>
      </c>
      <c r="F502" s="218">
        <v>4.54</v>
      </c>
      <c r="Q502" s="218">
        <v>13.09</v>
      </c>
      <c r="R502" s="251">
        <f t="shared" si="36"/>
        <v>-13.09</v>
      </c>
      <c r="S502" s="218">
        <v>0.81</v>
      </c>
      <c r="T502" s="218">
        <v>0.18</v>
      </c>
      <c r="U502" s="218">
        <v>4.5199999999999996</v>
      </c>
      <c r="AF502" s="218">
        <v>13.01</v>
      </c>
      <c r="AG502" s="251">
        <f t="shared" si="37"/>
        <v>-13.01</v>
      </c>
      <c r="AH502" s="218">
        <v>0.81</v>
      </c>
      <c r="AI502" s="218">
        <v>0.18</v>
      </c>
      <c r="AJ502" s="218">
        <v>4.58</v>
      </c>
      <c r="AV502" s="218">
        <v>13</v>
      </c>
      <c r="AW502" s="251">
        <f t="shared" si="38"/>
        <v>-13</v>
      </c>
      <c r="AX502" s="218">
        <v>0.81</v>
      </c>
      <c r="AY502" s="218">
        <v>0.18</v>
      </c>
      <c r="AZ502" s="218">
        <v>4.54</v>
      </c>
      <c r="BL502" s="218">
        <v>12.92</v>
      </c>
      <c r="BM502" s="251">
        <f t="shared" si="39"/>
        <v>-12.92</v>
      </c>
      <c r="BN502" s="218">
        <v>0.81</v>
      </c>
      <c r="BO502" s="218">
        <v>0.18</v>
      </c>
      <c r="BP502" s="218">
        <v>4.53</v>
      </c>
    </row>
    <row r="503" spans="2:68">
      <c r="B503" s="218">
        <v>13.07</v>
      </c>
      <c r="C503" s="218">
        <f t="shared" si="35"/>
        <v>-13.07</v>
      </c>
      <c r="D503" s="218">
        <v>0.81</v>
      </c>
      <c r="E503" s="218">
        <v>0.18</v>
      </c>
      <c r="F503" s="218">
        <v>4.54</v>
      </c>
      <c r="Q503" s="218">
        <v>13.12</v>
      </c>
      <c r="R503" s="251">
        <f t="shared" si="36"/>
        <v>-13.12</v>
      </c>
      <c r="S503" s="218">
        <v>0.81</v>
      </c>
      <c r="T503" s="218">
        <v>0.18</v>
      </c>
      <c r="U503" s="218">
        <v>4.5199999999999996</v>
      </c>
      <c r="AF503" s="218">
        <v>13.04</v>
      </c>
      <c r="AG503" s="251">
        <f t="shared" si="37"/>
        <v>-13.04</v>
      </c>
      <c r="AH503" s="218">
        <v>0.81</v>
      </c>
      <c r="AI503" s="218">
        <v>0.18</v>
      </c>
      <c r="AJ503" s="218">
        <v>4.58</v>
      </c>
      <c r="AV503" s="218">
        <v>13.03</v>
      </c>
      <c r="AW503" s="251">
        <f t="shared" si="38"/>
        <v>-13.03</v>
      </c>
      <c r="AX503" s="218">
        <v>0.81</v>
      </c>
      <c r="AY503" s="218">
        <v>0.18</v>
      </c>
      <c r="AZ503" s="218">
        <v>4.54</v>
      </c>
      <c r="BL503" s="218">
        <v>12.95</v>
      </c>
      <c r="BM503" s="251">
        <f t="shared" si="39"/>
        <v>-12.95</v>
      </c>
      <c r="BN503" s="218">
        <v>0.81</v>
      </c>
      <c r="BO503" s="218">
        <v>0.18</v>
      </c>
      <c r="BP503" s="218">
        <v>4.53</v>
      </c>
    </row>
    <row r="504" spans="2:68">
      <c r="B504" s="218">
        <v>13.09</v>
      </c>
      <c r="C504" s="218">
        <f t="shared" si="35"/>
        <v>-13.09</v>
      </c>
      <c r="D504" s="218">
        <v>0.81</v>
      </c>
      <c r="E504" s="218">
        <v>0.18</v>
      </c>
      <c r="F504" s="218">
        <v>4.54</v>
      </c>
      <c r="Q504" s="218">
        <v>13.14</v>
      </c>
      <c r="R504" s="251">
        <f t="shared" si="36"/>
        <v>-13.14</v>
      </c>
      <c r="S504" s="218">
        <v>0.81</v>
      </c>
      <c r="T504" s="218">
        <v>0.18</v>
      </c>
      <c r="U504" s="218">
        <v>4.5199999999999996</v>
      </c>
      <c r="AF504" s="218">
        <v>13.06</v>
      </c>
      <c r="AG504" s="251">
        <f t="shared" si="37"/>
        <v>-13.06</v>
      </c>
      <c r="AH504" s="218">
        <v>0.81</v>
      </c>
      <c r="AI504" s="218">
        <v>0.18</v>
      </c>
      <c r="AJ504" s="218">
        <v>4.58</v>
      </c>
      <c r="AV504" s="218">
        <v>13.05</v>
      </c>
      <c r="AW504" s="251">
        <f t="shared" si="38"/>
        <v>-13.05</v>
      </c>
      <c r="AX504" s="218">
        <v>0.81</v>
      </c>
      <c r="AY504" s="218">
        <v>0.18</v>
      </c>
      <c r="AZ504" s="218">
        <v>4.54</v>
      </c>
      <c r="BL504" s="218">
        <v>12.97</v>
      </c>
      <c r="BM504" s="251">
        <f t="shared" si="39"/>
        <v>-12.97</v>
      </c>
      <c r="BN504" s="218">
        <v>0.81</v>
      </c>
      <c r="BO504" s="218">
        <v>0.18</v>
      </c>
      <c r="BP504" s="218">
        <v>4.53</v>
      </c>
    </row>
    <row r="505" spans="2:68">
      <c r="B505" s="218">
        <v>13.12</v>
      </c>
      <c r="C505" s="218">
        <f t="shared" si="35"/>
        <v>-13.12</v>
      </c>
      <c r="D505" s="218">
        <v>0.81</v>
      </c>
      <c r="E505" s="218">
        <v>0.18</v>
      </c>
      <c r="F505" s="218">
        <v>4.54</v>
      </c>
      <c r="Q505" s="218">
        <v>13.17</v>
      </c>
      <c r="R505" s="251">
        <f t="shared" si="36"/>
        <v>-13.17</v>
      </c>
      <c r="S505" s="218">
        <v>0.81</v>
      </c>
      <c r="T505" s="218">
        <v>0.18</v>
      </c>
      <c r="U505" s="218">
        <v>4.5199999999999996</v>
      </c>
      <c r="AF505" s="218">
        <v>13.09</v>
      </c>
      <c r="AG505" s="251">
        <f t="shared" si="37"/>
        <v>-13.09</v>
      </c>
      <c r="AH505" s="218">
        <v>0.81</v>
      </c>
      <c r="AI505" s="218">
        <v>0.18</v>
      </c>
      <c r="AJ505" s="218">
        <v>4.58</v>
      </c>
      <c r="AV505" s="218">
        <v>13.08</v>
      </c>
      <c r="AW505" s="251">
        <f t="shared" si="38"/>
        <v>-13.08</v>
      </c>
      <c r="AX505" s="218">
        <v>0.81</v>
      </c>
      <c r="AY505" s="218">
        <v>0.18</v>
      </c>
      <c r="AZ505" s="218">
        <v>4.54</v>
      </c>
      <c r="BL505" s="218">
        <v>13</v>
      </c>
      <c r="BM505" s="251">
        <f t="shared" si="39"/>
        <v>-13</v>
      </c>
      <c r="BN505" s="218">
        <v>0.81</v>
      </c>
      <c r="BO505" s="218">
        <v>0.18</v>
      </c>
      <c r="BP505" s="218">
        <v>4.53</v>
      </c>
    </row>
    <row r="506" spans="2:68">
      <c r="B506" s="218">
        <v>13.14</v>
      </c>
      <c r="C506" s="218">
        <f t="shared" si="35"/>
        <v>-13.14</v>
      </c>
      <c r="D506" s="218">
        <v>0.81</v>
      </c>
      <c r="E506" s="218">
        <v>0.18</v>
      </c>
      <c r="F506" s="218">
        <v>4.54</v>
      </c>
      <c r="Q506" s="218">
        <v>13.19</v>
      </c>
      <c r="R506" s="251">
        <f t="shared" si="36"/>
        <v>-13.19</v>
      </c>
      <c r="S506" s="218">
        <v>0.81</v>
      </c>
      <c r="T506" s="218">
        <v>0.18</v>
      </c>
      <c r="U506" s="218">
        <v>4.5199999999999996</v>
      </c>
      <c r="AF506" s="218">
        <v>13.11</v>
      </c>
      <c r="AG506" s="251">
        <f t="shared" si="37"/>
        <v>-13.11</v>
      </c>
      <c r="AH506" s="218">
        <v>0.81</v>
      </c>
      <c r="AI506" s="218">
        <v>0.18</v>
      </c>
      <c r="AJ506" s="218">
        <v>4.58</v>
      </c>
      <c r="AV506" s="218">
        <v>13.1</v>
      </c>
      <c r="AW506" s="251">
        <f t="shared" si="38"/>
        <v>-13.1</v>
      </c>
      <c r="AX506" s="218">
        <v>0.81</v>
      </c>
      <c r="AY506" s="218">
        <v>0.18</v>
      </c>
      <c r="AZ506" s="218">
        <v>4.54</v>
      </c>
      <c r="BL506" s="218">
        <v>13.02</v>
      </c>
      <c r="BM506" s="251">
        <f t="shared" si="39"/>
        <v>-13.02</v>
      </c>
      <c r="BN506" s="218">
        <v>0.81</v>
      </c>
      <c r="BO506" s="218">
        <v>0.18</v>
      </c>
      <c r="BP506" s="218">
        <v>4.53</v>
      </c>
    </row>
    <row r="507" spans="2:68">
      <c r="B507" s="218">
        <v>13.17</v>
      </c>
      <c r="C507" s="218">
        <f t="shared" si="35"/>
        <v>-13.17</v>
      </c>
      <c r="D507" s="218">
        <v>0.81</v>
      </c>
      <c r="E507" s="218">
        <v>0.18</v>
      </c>
      <c r="F507" s="218">
        <v>4.54</v>
      </c>
      <c r="Q507" s="218">
        <v>13.22</v>
      </c>
      <c r="R507" s="251">
        <f t="shared" si="36"/>
        <v>-13.22</v>
      </c>
      <c r="S507" s="218">
        <v>0.81</v>
      </c>
      <c r="T507" s="218">
        <v>0.18</v>
      </c>
      <c r="U507" s="218">
        <v>4.5199999999999996</v>
      </c>
      <c r="AF507" s="218">
        <v>13.14</v>
      </c>
      <c r="AG507" s="251">
        <f t="shared" si="37"/>
        <v>-13.14</v>
      </c>
      <c r="AH507" s="218">
        <v>0.81</v>
      </c>
      <c r="AI507" s="218">
        <v>0.18</v>
      </c>
      <c r="AJ507" s="218">
        <v>4.58</v>
      </c>
      <c r="AV507" s="218">
        <v>13.13</v>
      </c>
      <c r="AW507" s="251">
        <f t="shared" si="38"/>
        <v>-13.13</v>
      </c>
      <c r="AX507" s="218">
        <v>0.81</v>
      </c>
      <c r="AY507" s="218">
        <v>0.18</v>
      </c>
      <c r="AZ507" s="218">
        <v>4.54</v>
      </c>
      <c r="BL507" s="218">
        <v>13.05</v>
      </c>
      <c r="BM507" s="251">
        <f t="shared" si="39"/>
        <v>-13.05</v>
      </c>
      <c r="BN507" s="218">
        <v>0.81</v>
      </c>
      <c r="BO507" s="218">
        <v>0.18</v>
      </c>
      <c r="BP507" s="218">
        <v>4.53</v>
      </c>
    </row>
    <row r="508" spans="2:68">
      <c r="B508" s="218">
        <v>13.19</v>
      </c>
      <c r="C508" s="218">
        <f t="shared" si="35"/>
        <v>-13.19</v>
      </c>
      <c r="D508" s="218">
        <v>0.81</v>
      </c>
      <c r="E508" s="218">
        <v>0.18</v>
      </c>
      <c r="F508" s="218">
        <v>4.54</v>
      </c>
      <c r="Q508" s="218">
        <v>13.24</v>
      </c>
      <c r="R508" s="251">
        <f t="shared" si="36"/>
        <v>-13.24</v>
      </c>
      <c r="S508" s="218">
        <v>0.81</v>
      </c>
      <c r="T508" s="218">
        <v>0.18</v>
      </c>
      <c r="U508" s="218">
        <v>4.5199999999999996</v>
      </c>
      <c r="AF508" s="218">
        <v>13.16</v>
      </c>
      <c r="AG508" s="251">
        <f t="shared" si="37"/>
        <v>-13.16</v>
      </c>
      <c r="AH508" s="218">
        <v>0.81</v>
      </c>
      <c r="AI508" s="218">
        <v>0.18</v>
      </c>
      <c r="AJ508" s="218">
        <v>4.58</v>
      </c>
      <c r="AV508" s="218">
        <v>13.15</v>
      </c>
      <c r="AW508" s="251">
        <f t="shared" si="38"/>
        <v>-13.15</v>
      </c>
      <c r="AX508" s="218">
        <v>0.81</v>
      </c>
      <c r="AY508" s="218">
        <v>0.18</v>
      </c>
      <c r="AZ508" s="218">
        <v>4.54</v>
      </c>
      <c r="BL508" s="218">
        <v>13.07</v>
      </c>
      <c r="BM508" s="251">
        <f t="shared" si="39"/>
        <v>-13.07</v>
      </c>
      <c r="BN508" s="218">
        <v>0.81</v>
      </c>
      <c r="BO508" s="218">
        <v>0.18</v>
      </c>
      <c r="BP508" s="218">
        <v>4.53</v>
      </c>
    </row>
    <row r="509" spans="2:68">
      <c r="B509" s="218">
        <v>13.22</v>
      </c>
      <c r="C509" s="218">
        <f t="shared" si="35"/>
        <v>-13.22</v>
      </c>
      <c r="D509" s="218">
        <v>0.81</v>
      </c>
      <c r="E509" s="218">
        <v>0.18</v>
      </c>
      <c r="F509" s="218">
        <v>4.54</v>
      </c>
      <c r="Q509" s="218">
        <v>13.27</v>
      </c>
      <c r="R509" s="251">
        <f t="shared" si="36"/>
        <v>-13.27</v>
      </c>
      <c r="S509" s="218">
        <v>0.81</v>
      </c>
      <c r="T509" s="218">
        <v>0.18</v>
      </c>
      <c r="U509" s="218">
        <v>4.5199999999999996</v>
      </c>
      <c r="AF509" s="218">
        <v>13.19</v>
      </c>
      <c r="AG509" s="251">
        <f t="shared" si="37"/>
        <v>-13.19</v>
      </c>
      <c r="AH509" s="218">
        <v>0.81</v>
      </c>
      <c r="AI509" s="218">
        <v>0.18</v>
      </c>
      <c r="AJ509" s="218">
        <v>4.58</v>
      </c>
      <c r="AV509" s="218">
        <v>13.18</v>
      </c>
      <c r="AW509" s="251">
        <f t="shared" si="38"/>
        <v>-13.18</v>
      </c>
      <c r="AX509" s="218">
        <v>0.81</v>
      </c>
      <c r="AY509" s="218">
        <v>0.18</v>
      </c>
      <c r="AZ509" s="218">
        <v>4.54</v>
      </c>
      <c r="BL509" s="218">
        <v>13.1</v>
      </c>
      <c r="BM509" s="251">
        <f t="shared" si="39"/>
        <v>-13.1</v>
      </c>
      <c r="BN509" s="218">
        <v>0.81</v>
      </c>
      <c r="BO509" s="218">
        <v>0.18</v>
      </c>
      <c r="BP509" s="218">
        <v>4.53</v>
      </c>
    </row>
    <row r="510" spans="2:68">
      <c r="B510" s="218">
        <v>13.24</v>
      </c>
      <c r="C510" s="218">
        <f t="shared" si="35"/>
        <v>-13.24</v>
      </c>
      <c r="D510" s="218">
        <v>0.81</v>
      </c>
      <c r="E510" s="218">
        <v>0.18</v>
      </c>
      <c r="F510" s="218">
        <v>4.54</v>
      </c>
      <c r="Q510" s="218">
        <v>13.29</v>
      </c>
      <c r="R510" s="251">
        <f t="shared" si="36"/>
        <v>-13.29</v>
      </c>
      <c r="S510" s="218">
        <v>0.81</v>
      </c>
      <c r="T510" s="218">
        <v>0.18</v>
      </c>
      <c r="U510" s="218">
        <v>4.5199999999999996</v>
      </c>
      <c r="AF510" s="218">
        <v>13.21</v>
      </c>
      <c r="AG510" s="251">
        <f t="shared" si="37"/>
        <v>-13.21</v>
      </c>
      <c r="AH510" s="218">
        <v>0.81</v>
      </c>
      <c r="AI510" s="218">
        <v>0.18</v>
      </c>
      <c r="AJ510" s="218">
        <v>4.58</v>
      </c>
      <c r="AV510" s="218">
        <v>13.2</v>
      </c>
      <c r="AW510" s="251">
        <f t="shared" si="38"/>
        <v>-13.2</v>
      </c>
      <c r="AX510" s="218">
        <v>0.81</v>
      </c>
      <c r="AY510" s="218">
        <v>0.18</v>
      </c>
      <c r="AZ510" s="218">
        <v>4.54</v>
      </c>
      <c r="BL510" s="218">
        <v>13.12</v>
      </c>
      <c r="BM510" s="251">
        <f t="shared" si="39"/>
        <v>-13.12</v>
      </c>
      <c r="BN510" s="218">
        <v>0.81</v>
      </c>
      <c r="BO510" s="218">
        <v>0.18</v>
      </c>
      <c r="BP510" s="218">
        <v>4.53</v>
      </c>
    </row>
    <row r="511" spans="2:68">
      <c r="B511" s="218">
        <v>13.27</v>
      </c>
      <c r="C511" s="218">
        <f t="shared" si="35"/>
        <v>-13.27</v>
      </c>
      <c r="D511" s="218">
        <v>0.81</v>
      </c>
      <c r="E511" s="218">
        <v>0.18</v>
      </c>
      <c r="F511" s="218">
        <v>4.54</v>
      </c>
      <c r="Q511" s="218">
        <v>13.32</v>
      </c>
      <c r="R511" s="251">
        <f t="shared" si="36"/>
        <v>-13.32</v>
      </c>
      <c r="S511" s="218">
        <v>0.81</v>
      </c>
      <c r="T511" s="218">
        <v>0.18</v>
      </c>
      <c r="U511" s="218">
        <v>4.5199999999999996</v>
      </c>
      <c r="AF511" s="218">
        <v>13.24</v>
      </c>
      <c r="AG511" s="251">
        <f t="shared" si="37"/>
        <v>-13.24</v>
      </c>
      <c r="AH511" s="218">
        <v>0.81</v>
      </c>
      <c r="AI511" s="218">
        <v>0.18</v>
      </c>
      <c r="AJ511" s="218">
        <v>4.58</v>
      </c>
      <c r="AV511" s="218">
        <v>13.23</v>
      </c>
      <c r="AW511" s="251">
        <f t="shared" si="38"/>
        <v>-13.23</v>
      </c>
      <c r="AX511" s="218">
        <v>0.81</v>
      </c>
      <c r="AY511" s="218">
        <v>0.18</v>
      </c>
      <c r="AZ511" s="218">
        <v>4.54</v>
      </c>
      <c r="BL511" s="218">
        <v>13.15</v>
      </c>
      <c r="BM511" s="251">
        <f t="shared" si="39"/>
        <v>-13.15</v>
      </c>
      <c r="BN511" s="218">
        <v>0.81</v>
      </c>
      <c r="BO511" s="218">
        <v>0.18</v>
      </c>
      <c r="BP511" s="218">
        <v>4.53</v>
      </c>
    </row>
    <row r="512" spans="2:68">
      <c r="B512" s="218">
        <v>13.29</v>
      </c>
      <c r="C512" s="218">
        <f t="shared" si="35"/>
        <v>-13.29</v>
      </c>
      <c r="D512" s="218">
        <v>0.81</v>
      </c>
      <c r="E512" s="218">
        <v>0.18</v>
      </c>
      <c r="F512" s="218">
        <v>4.54</v>
      </c>
      <c r="Q512" s="218">
        <v>13.34</v>
      </c>
      <c r="R512" s="251">
        <f t="shared" si="36"/>
        <v>-13.34</v>
      </c>
      <c r="S512" s="218">
        <v>0.81</v>
      </c>
      <c r="T512" s="218">
        <v>0.18</v>
      </c>
      <c r="U512" s="218">
        <v>4.5199999999999996</v>
      </c>
      <c r="AF512" s="218">
        <v>13.26</v>
      </c>
      <c r="AG512" s="251">
        <f t="shared" si="37"/>
        <v>-13.26</v>
      </c>
      <c r="AH512" s="218">
        <v>0.81</v>
      </c>
      <c r="AI512" s="218">
        <v>0.18</v>
      </c>
      <c r="AJ512" s="218">
        <v>4.58</v>
      </c>
      <c r="AV512" s="218">
        <v>13.25</v>
      </c>
      <c r="AW512" s="251">
        <f t="shared" si="38"/>
        <v>-13.25</v>
      </c>
      <c r="AX512" s="218">
        <v>0.81</v>
      </c>
      <c r="AY512" s="218">
        <v>0.18</v>
      </c>
      <c r="AZ512" s="218">
        <v>4.54</v>
      </c>
      <c r="BL512" s="218">
        <v>13.17</v>
      </c>
      <c r="BM512" s="251">
        <f t="shared" si="39"/>
        <v>-13.17</v>
      </c>
      <c r="BN512" s="218">
        <v>0.81</v>
      </c>
      <c r="BO512" s="218">
        <v>0.18</v>
      </c>
      <c r="BP512" s="218">
        <v>4.53</v>
      </c>
    </row>
    <row r="513" spans="2:68">
      <c r="B513" s="218">
        <v>13.32</v>
      </c>
      <c r="C513" s="218">
        <f t="shared" si="35"/>
        <v>-13.32</v>
      </c>
      <c r="D513" s="218">
        <v>0.81</v>
      </c>
      <c r="E513" s="218">
        <v>0.18</v>
      </c>
      <c r="F513" s="218">
        <v>4.54</v>
      </c>
      <c r="Q513" s="218">
        <v>13.37</v>
      </c>
      <c r="R513" s="251">
        <f t="shared" si="36"/>
        <v>-13.37</v>
      </c>
      <c r="S513" s="218">
        <v>0.81</v>
      </c>
      <c r="T513" s="218">
        <v>0.18</v>
      </c>
      <c r="U513" s="218">
        <v>4.5199999999999996</v>
      </c>
      <c r="AF513" s="218">
        <v>13.29</v>
      </c>
      <c r="AG513" s="251">
        <f t="shared" si="37"/>
        <v>-13.29</v>
      </c>
      <c r="AH513" s="218">
        <v>0.81</v>
      </c>
      <c r="AI513" s="218">
        <v>0.18</v>
      </c>
      <c r="AJ513" s="218">
        <v>4.58</v>
      </c>
      <c r="AV513" s="218">
        <v>13.28</v>
      </c>
      <c r="AW513" s="251">
        <f t="shared" si="38"/>
        <v>-13.28</v>
      </c>
      <c r="AX513" s="218">
        <v>0.81</v>
      </c>
      <c r="AY513" s="218">
        <v>0.18</v>
      </c>
      <c r="AZ513" s="218">
        <v>4.54</v>
      </c>
      <c r="BL513" s="218">
        <v>13.2</v>
      </c>
      <c r="BM513" s="251">
        <f t="shared" si="39"/>
        <v>-13.2</v>
      </c>
      <c r="BN513" s="218">
        <v>0.81</v>
      </c>
      <c r="BO513" s="218">
        <v>0.18</v>
      </c>
      <c r="BP513" s="218">
        <v>4.53</v>
      </c>
    </row>
    <row r="514" spans="2:68">
      <c r="B514" s="218">
        <v>13.34</v>
      </c>
      <c r="C514" s="218">
        <f t="shared" si="35"/>
        <v>-13.34</v>
      </c>
      <c r="D514" s="218">
        <v>0.81</v>
      </c>
      <c r="E514" s="218">
        <v>0.18</v>
      </c>
      <c r="F514" s="218">
        <v>4.54</v>
      </c>
      <c r="Q514" s="218">
        <v>13.39</v>
      </c>
      <c r="R514" s="251">
        <f t="shared" si="36"/>
        <v>-13.39</v>
      </c>
      <c r="S514" s="218">
        <v>0.81</v>
      </c>
      <c r="T514" s="218">
        <v>0.18</v>
      </c>
      <c r="U514" s="218">
        <v>4.5199999999999996</v>
      </c>
      <c r="AF514" s="218">
        <v>13.31</v>
      </c>
      <c r="AG514" s="251">
        <f t="shared" si="37"/>
        <v>-13.31</v>
      </c>
      <c r="AH514" s="218">
        <v>0.81</v>
      </c>
      <c r="AI514" s="218">
        <v>0.18</v>
      </c>
      <c r="AJ514" s="218">
        <v>4.58</v>
      </c>
      <c r="AV514" s="218">
        <v>13.3</v>
      </c>
      <c r="AW514" s="251">
        <f t="shared" si="38"/>
        <v>-13.3</v>
      </c>
      <c r="AX514" s="218">
        <v>0.81</v>
      </c>
      <c r="AY514" s="218">
        <v>0.18</v>
      </c>
      <c r="AZ514" s="218">
        <v>4.54</v>
      </c>
      <c r="BL514" s="218">
        <v>13.22</v>
      </c>
      <c r="BM514" s="251">
        <f t="shared" si="39"/>
        <v>-13.22</v>
      </c>
      <c r="BN514" s="218">
        <v>0.81</v>
      </c>
      <c r="BO514" s="218">
        <v>0.18</v>
      </c>
      <c r="BP514" s="218">
        <v>4.53</v>
      </c>
    </row>
    <row r="515" spans="2:68">
      <c r="B515" s="218">
        <v>13.37</v>
      </c>
      <c r="C515" s="218">
        <f t="shared" si="35"/>
        <v>-13.37</v>
      </c>
      <c r="D515" s="218">
        <v>0.81</v>
      </c>
      <c r="E515" s="218">
        <v>0.18</v>
      </c>
      <c r="F515" s="218">
        <v>4.54</v>
      </c>
      <c r="Q515" s="218">
        <v>13.42</v>
      </c>
      <c r="R515" s="251">
        <f t="shared" si="36"/>
        <v>-13.42</v>
      </c>
      <c r="S515" s="218">
        <v>0.81</v>
      </c>
      <c r="T515" s="218">
        <v>0.18</v>
      </c>
      <c r="U515" s="218">
        <v>4.5199999999999996</v>
      </c>
      <c r="AF515" s="218">
        <v>13.34</v>
      </c>
      <c r="AG515" s="251">
        <f t="shared" si="37"/>
        <v>-13.34</v>
      </c>
      <c r="AH515" s="218">
        <v>0.81</v>
      </c>
      <c r="AI515" s="218">
        <v>0.18</v>
      </c>
      <c r="AJ515" s="218">
        <v>4.58</v>
      </c>
      <c r="AV515" s="218">
        <v>13.33</v>
      </c>
      <c r="AW515" s="251">
        <f t="shared" si="38"/>
        <v>-13.33</v>
      </c>
      <c r="AX515" s="218">
        <v>0.81</v>
      </c>
      <c r="AY515" s="218">
        <v>0.18</v>
      </c>
      <c r="AZ515" s="218">
        <v>4.54</v>
      </c>
      <c r="BL515" s="218">
        <v>13.25</v>
      </c>
      <c r="BM515" s="251">
        <f t="shared" si="39"/>
        <v>-13.25</v>
      </c>
      <c r="BN515" s="218">
        <v>0.81</v>
      </c>
      <c r="BO515" s="218">
        <v>0.18</v>
      </c>
      <c r="BP515" s="218">
        <v>4.53</v>
      </c>
    </row>
    <row r="516" spans="2:68">
      <c r="B516" s="218">
        <v>13.39</v>
      </c>
      <c r="C516" s="218">
        <f t="shared" si="35"/>
        <v>-13.39</v>
      </c>
      <c r="D516" s="218">
        <v>0.81</v>
      </c>
      <c r="E516" s="218">
        <v>0.18</v>
      </c>
      <c r="F516" s="218">
        <v>4.54</v>
      </c>
      <c r="Q516" s="218">
        <v>13.44</v>
      </c>
      <c r="R516" s="251">
        <f t="shared" si="36"/>
        <v>-13.44</v>
      </c>
      <c r="S516" s="218">
        <v>0.81</v>
      </c>
      <c r="T516" s="218">
        <v>0.18</v>
      </c>
      <c r="U516" s="218">
        <v>4.5199999999999996</v>
      </c>
      <c r="AF516" s="218">
        <v>13.36</v>
      </c>
      <c r="AG516" s="251">
        <f t="shared" si="37"/>
        <v>-13.36</v>
      </c>
      <c r="AH516" s="218">
        <v>0.81</v>
      </c>
      <c r="AI516" s="218">
        <v>0.18</v>
      </c>
      <c r="AJ516" s="218">
        <v>4.58</v>
      </c>
      <c r="AV516" s="218">
        <v>13.35</v>
      </c>
      <c r="AW516" s="251">
        <f t="shared" si="38"/>
        <v>-13.35</v>
      </c>
      <c r="AX516" s="218">
        <v>0.81</v>
      </c>
      <c r="AY516" s="218">
        <v>0.18</v>
      </c>
      <c r="AZ516" s="218">
        <v>4.54</v>
      </c>
      <c r="BL516" s="218">
        <v>13.27</v>
      </c>
      <c r="BM516" s="251">
        <f t="shared" si="39"/>
        <v>-13.27</v>
      </c>
      <c r="BN516" s="218">
        <v>0.81</v>
      </c>
      <c r="BO516" s="218">
        <v>0.18</v>
      </c>
      <c r="BP516" s="218">
        <v>4.53</v>
      </c>
    </row>
    <row r="517" spans="2:68">
      <c r="B517" s="218">
        <v>13.42</v>
      </c>
      <c r="C517" s="218">
        <f t="shared" si="35"/>
        <v>-13.42</v>
      </c>
      <c r="D517" s="218">
        <v>0.81</v>
      </c>
      <c r="E517" s="218">
        <v>0.18</v>
      </c>
      <c r="F517" s="218">
        <v>4.54</v>
      </c>
      <c r="Q517" s="218">
        <v>13.47</v>
      </c>
      <c r="R517" s="251">
        <f t="shared" si="36"/>
        <v>-13.47</v>
      </c>
      <c r="S517" s="218">
        <v>0.81</v>
      </c>
      <c r="T517" s="218">
        <v>0.18</v>
      </c>
      <c r="U517" s="218">
        <v>4.5199999999999996</v>
      </c>
      <c r="AF517" s="218">
        <v>13.39</v>
      </c>
      <c r="AG517" s="251">
        <f t="shared" si="37"/>
        <v>-13.39</v>
      </c>
      <c r="AH517" s="218">
        <v>0.81</v>
      </c>
      <c r="AI517" s="218">
        <v>0.18</v>
      </c>
      <c r="AJ517" s="218">
        <v>4.58</v>
      </c>
      <c r="AV517" s="218">
        <v>13.38</v>
      </c>
      <c r="AW517" s="251">
        <f t="shared" si="38"/>
        <v>-13.38</v>
      </c>
      <c r="AX517" s="218">
        <v>0.81</v>
      </c>
      <c r="AY517" s="218">
        <v>0.18</v>
      </c>
      <c r="AZ517" s="218">
        <v>4.54</v>
      </c>
      <c r="BL517" s="218">
        <v>13.3</v>
      </c>
      <c r="BM517" s="251">
        <f t="shared" si="39"/>
        <v>-13.3</v>
      </c>
      <c r="BN517" s="218">
        <v>0.81</v>
      </c>
      <c r="BO517" s="218">
        <v>0.18</v>
      </c>
      <c r="BP517" s="218">
        <v>4.53</v>
      </c>
    </row>
    <row r="518" spans="2:68">
      <c r="B518" s="218">
        <v>13.44</v>
      </c>
      <c r="C518" s="218">
        <f t="shared" ref="C518:C581" si="40">$F$2-B518</f>
        <v>-13.44</v>
      </c>
      <c r="D518" s="218">
        <v>0.81</v>
      </c>
      <c r="E518" s="218">
        <v>0.18</v>
      </c>
      <c r="F518" s="218">
        <v>4.54</v>
      </c>
      <c r="Q518" s="218">
        <v>13.49</v>
      </c>
      <c r="R518" s="251">
        <f t="shared" ref="R518:R581" si="41">$U$2-Q518</f>
        <v>-13.49</v>
      </c>
      <c r="S518" s="218">
        <v>0.81</v>
      </c>
      <c r="T518" s="218">
        <v>0.18</v>
      </c>
      <c r="U518" s="218">
        <v>4.5199999999999996</v>
      </c>
      <c r="AF518" s="218">
        <v>13.41</v>
      </c>
      <c r="AG518" s="251">
        <f t="shared" ref="AG518:AG581" si="42">$AJ$2-AF518</f>
        <v>-13.41</v>
      </c>
      <c r="AH518" s="218">
        <v>0.81</v>
      </c>
      <c r="AI518" s="218">
        <v>0.18</v>
      </c>
      <c r="AJ518" s="218">
        <v>4.58</v>
      </c>
      <c r="AV518" s="218">
        <v>13.4</v>
      </c>
      <c r="AW518" s="251">
        <f t="shared" ref="AW518:AW581" si="43">$AZ$2-AV518</f>
        <v>-13.4</v>
      </c>
      <c r="AX518" s="218">
        <v>0.81</v>
      </c>
      <c r="AY518" s="218">
        <v>0.18</v>
      </c>
      <c r="AZ518" s="218">
        <v>4.54</v>
      </c>
      <c r="BL518" s="218">
        <v>13.32</v>
      </c>
      <c r="BM518" s="251">
        <f t="shared" ref="BM518:BM581" si="44">$AZ$2-BL518</f>
        <v>-13.32</v>
      </c>
      <c r="BN518" s="218">
        <v>0.81</v>
      </c>
      <c r="BO518" s="218">
        <v>0.18</v>
      </c>
      <c r="BP518" s="218">
        <v>4.53</v>
      </c>
    </row>
    <row r="519" spans="2:68">
      <c r="B519" s="218">
        <v>13.47</v>
      </c>
      <c r="C519" s="218">
        <f t="shared" si="40"/>
        <v>-13.47</v>
      </c>
      <c r="D519" s="218">
        <v>0.81</v>
      </c>
      <c r="E519" s="218">
        <v>0.18</v>
      </c>
      <c r="F519" s="218">
        <v>4.54</v>
      </c>
      <c r="Q519" s="218">
        <v>13.52</v>
      </c>
      <c r="R519" s="251">
        <f t="shared" si="41"/>
        <v>-13.52</v>
      </c>
      <c r="S519" s="218">
        <v>0.81</v>
      </c>
      <c r="T519" s="218">
        <v>0.18</v>
      </c>
      <c r="U519" s="218">
        <v>4.5199999999999996</v>
      </c>
      <c r="AF519" s="218">
        <v>13.44</v>
      </c>
      <c r="AG519" s="251">
        <f t="shared" si="42"/>
        <v>-13.44</v>
      </c>
      <c r="AH519" s="218">
        <v>0.81</v>
      </c>
      <c r="AI519" s="218">
        <v>0.18</v>
      </c>
      <c r="AJ519" s="218">
        <v>4.58</v>
      </c>
      <c r="AV519" s="218">
        <v>13.43</v>
      </c>
      <c r="AW519" s="251">
        <f t="shared" si="43"/>
        <v>-13.43</v>
      </c>
      <c r="AX519" s="218">
        <v>0.81</v>
      </c>
      <c r="AY519" s="218">
        <v>0.18</v>
      </c>
      <c r="AZ519" s="218">
        <v>4.54</v>
      </c>
      <c r="BL519" s="218">
        <v>13.35</v>
      </c>
      <c r="BM519" s="251">
        <f t="shared" si="44"/>
        <v>-13.35</v>
      </c>
      <c r="BN519" s="218">
        <v>0.81</v>
      </c>
      <c r="BO519" s="218">
        <v>0.18</v>
      </c>
      <c r="BP519" s="218">
        <v>4.53</v>
      </c>
    </row>
    <row r="520" spans="2:68">
      <c r="B520" s="218">
        <v>13.49</v>
      </c>
      <c r="C520" s="218">
        <f t="shared" si="40"/>
        <v>-13.49</v>
      </c>
      <c r="D520" s="218">
        <v>0.81</v>
      </c>
      <c r="E520" s="218">
        <v>0.18</v>
      </c>
      <c r="F520" s="218">
        <v>4.54</v>
      </c>
      <c r="Q520" s="218">
        <v>13.54</v>
      </c>
      <c r="R520" s="251">
        <f t="shared" si="41"/>
        <v>-13.54</v>
      </c>
      <c r="S520" s="218">
        <v>0.81</v>
      </c>
      <c r="T520" s="218">
        <v>0.18</v>
      </c>
      <c r="U520" s="218">
        <v>4.5199999999999996</v>
      </c>
      <c r="AF520" s="218">
        <v>13.46</v>
      </c>
      <c r="AG520" s="251">
        <f t="shared" si="42"/>
        <v>-13.46</v>
      </c>
      <c r="AH520" s="218">
        <v>0.81</v>
      </c>
      <c r="AI520" s="218">
        <v>0.18</v>
      </c>
      <c r="AJ520" s="218">
        <v>4.58</v>
      </c>
      <c r="AV520" s="218">
        <v>13.45</v>
      </c>
      <c r="AW520" s="251">
        <f t="shared" si="43"/>
        <v>-13.45</v>
      </c>
      <c r="AX520" s="218">
        <v>0.81</v>
      </c>
      <c r="AY520" s="218">
        <v>0.18</v>
      </c>
      <c r="AZ520" s="218">
        <v>4.54</v>
      </c>
      <c r="BL520" s="218">
        <v>13.37</v>
      </c>
      <c r="BM520" s="251">
        <f t="shared" si="44"/>
        <v>-13.37</v>
      </c>
      <c r="BN520" s="218">
        <v>0.81</v>
      </c>
      <c r="BO520" s="218">
        <v>0.18</v>
      </c>
      <c r="BP520" s="218">
        <v>4.53</v>
      </c>
    </row>
    <row r="521" spans="2:68">
      <c r="B521" s="218">
        <v>13.52</v>
      </c>
      <c r="C521" s="218">
        <f t="shared" si="40"/>
        <v>-13.52</v>
      </c>
      <c r="D521" s="218">
        <v>0.81</v>
      </c>
      <c r="E521" s="218">
        <v>0.18</v>
      </c>
      <c r="F521" s="218">
        <v>4.54</v>
      </c>
      <c r="Q521" s="218">
        <v>13.57</v>
      </c>
      <c r="R521" s="251">
        <f t="shared" si="41"/>
        <v>-13.57</v>
      </c>
      <c r="S521" s="218">
        <v>0.81</v>
      </c>
      <c r="T521" s="218">
        <v>0.18</v>
      </c>
      <c r="U521" s="218">
        <v>4.5199999999999996</v>
      </c>
      <c r="AF521" s="218">
        <v>13.49</v>
      </c>
      <c r="AG521" s="251">
        <f t="shared" si="42"/>
        <v>-13.49</v>
      </c>
      <c r="AH521" s="218">
        <v>0.81</v>
      </c>
      <c r="AI521" s="218">
        <v>0.18</v>
      </c>
      <c r="AJ521" s="218">
        <v>4.58</v>
      </c>
      <c r="AV521" s="218">
        <v>13.48</v>
      </c>
      <c r="AW521" s="251">
        <f t="shared" si="43"/>
        <v>-13.48</v>
      </c>
      <c r="AX521" s="218">
        <v>0.81</v>
      </c>
      <c r="AY521" s="218">
        <v>0.18</v>
      </c>
      <c r="AZ521" s="218">
        <v>4.54</v>
      </c>
      <c r="BL521" s="218">
        <v>13.4</v>
      </c>
      <c r="BM521" s="251">
        <f t="shared" si="44"/>
        <v>-13.4</v>
      </c>
      <c r="BN521" s="218">
        <v>0.81</v>
      </c>
      <c r="BO521" s="218">
        <v>0.18</v>
      </c>
      <c r="BP521" s="218">
        <v>4.53</v>
      </c>
    </row>
    <row r="522" spans="2:68">
      <c r="B522" s="218">
        <v>13.54</v>
      </c>
      <c r="C522" s="218">
        <f t="shared" si="40"/>
        <v>-13.54</v>
      </c>
      <c r="D522" s="218">
        <v>0.81</v>
      </c>
      <c r="E522" s="218">
        <v>0.18</v>
      </c>
      <c r="F522" s="218">
        <v>4.54</v>
      </c>
      <c r="Q522" s="218">
        <v>13.59</v>
      </c>
      <c r="R522" s="251">
        <f t="shared" si="41"/>
        <v>-13.59</v>
      </c>
      <c r="S522" s="218">
        <v>0.81</v>
      </c>
      <c r="T522" s="218">
        <v>0.18</v>
      </c>
      <c r="U522" s="218">
        <v>4.5199999999999996</v>
      </c>
      <c r="AF522" s="218">
        <v>13.51</v>
      </c>
      <c r="AG522" s="251">
        <f t="shared" si="42"/>
        <v>-13.51</v>
      </c>
      <c r="AH522" s="218">
        <v>0.81</v>
      </c>
      <c r="AI522" s="218">
        <v>0.18</v>
      </c>
      <c r="AJ522" s="218">
        <v>4.58</v>
      </c>
      <c r="AV522" s="218">
        <v>13.5</v>
      </c>
      <c r="AW522" s="251">
        <f t="shared" si="43"/>
        <v>-13.5</v>
      </c>
      <c r="AX522" s="218">
        <v>0.81</v>
      </c>
      <c r="AY522" s="218">
        <v>0.18</v>
      </c>
      <c r="AZ522" s="218">
        <v>4.54</v>
      </c>
      <c r="BL522" s="218">
        <v>13.42</v>
      </c>
      <c r="BM522" s="251">
        <f t="shared" si="44"/>
        <v>-13.42</v>
      </c>
      <c r="BN522" s="218">
        <v>0.81</v>
      </c>
      <c r="BO522" s="218">
        <v>0.18</v>
      </c>
      <c r="BP522" s="218">
        <v>4.53</v>
      </c>
    </row>
    <row r="523" spans="2:68">
      <c r="B523" s="218">
        <v>13.57</v>
      </c>
      <c r="C523" s="218">
        <f t="shared" si="40"/>
        <v>-13.57</v>
      </c>
      <c r="D523" s="218">
        <v>0.81</v>
      </c>
      <c r="E523" s="218">
        <v>0.18</v>
      </c>
      <c r="F523" s="218">
        <v>4.54</v>
      </c>
      <c r="Q523" s="218">
        <v>13.62</v>
      </c>
      <c r="R523" s="251">
        <f t="shared" si="41"/>
        <v>-13.62</v>
      </c>
      <c r="S523" s="218">
        <v>0.81</v>
      </c>
      <c r="T523" s="218">
        <v>0.18</v>
      </c>
      <c r="U523" s="218">
        <v>4.5199999999999996</v>
      </c>
      <c r="AF523" s="218">
        <v>13.54</v>
      </c>
      <c r="AG523" s="251">
        <f t="shared" si="42"/>
        <v>-13.54</v>
      </c>
      <c r="AH523" s="218">
        <v>0.81</v>
      </c>
      <c r="AI523" s="218">
        <v>0.18</v>
      </c>
      <c r="AJ523" s="218">
        <v>4.58</v>
      </c>
      <c r="AV523" s="218">
        <v>13.53</v>
      </c>
      <c r="AW523" s="251">
        <f t="shared" si="43"/>
        <v>-13.53</v>
      </c>
      <c r="AX523" s="218">
        <v>0.81</v>
      </c>
      <c r="AY523" s="218">
        <v>0.18</v>
      </c>
      <c r="AZ523" s="218">
        <v>4.54</v>
      </c>
      <c r="BL523" s="218">
        <v>13.45</v>
      </c>
      <c r="BM523" s="251">
        <f t="shared" si="44"/>
        <v>-13.45</v>
      </c>
      <c r="BN523" s="218">
        <v>0.81</v>
      </c>
      <c r="BO523" s="218">
        <v>0.18</v>
      </c>
      <c r="BP523" s="218">
        <v>4.53</v>
      </c>
    </row>
    <row r="524" spans="2:68">
      <c r="B524" s="218">
        <v>13.59</v>
      </c>
      <c r="C524" s="218">
        <f t="shared" si="40"/>
        <v>-13.59</v>
      </c>
      <c r="D524" s="218">
        <v>0.81</v>
      </c>
      <c r="E524" s="218">
        <v>0.18</v>
      </c>
      <c r="F524" s="218">
        <v>4.54</v>
      </c>
      <c r="Q524" s="218">
        <v>13.64</v>
      </c>
      <c r="R524" s="251">
        <f t="shared" si="41"/>
        <v>-13.64</v>
      </c>
      <c r="S524" s="218">
        <v>0.81</v>
      </c>
      <c r="T524" s="218">
        <v>0.18</v>
      </c>
      <c r="U524" s="218">
        <v>4.5199999999999996</v>
      </c>
      <c r="AF524" s="218">
        <v>13.56</v>
      </c>
      <c r="AG524" s="251">
        <f t="shared" si="42"/>
        <v>-13.56</v>
      </c>
      <c r="AH524" s="218">
        <v>0.81</v>
      </c>
      <c r="AI524" s="218">
        <v>0.18</v>
      </c>
      <c r="AJ524" s="218">
        <v>4.58</v>
      </c>
      <c r="AV524" s="218">
        <v>13.55</v>
      </c>
      <c r="AW524" s="251">
        <f t="shared" si="43"/>
        <v>-13.55</v>
      </c>
      <c r="AX524" s="218">
        <v>0.81</v>
      </c>
      <c r="AY524" s="218">
        <v>0.18</v>
      </c>
      <c r="AZ524" s="218">
        <v>4.54</v>
      </c>
      <c r="BL524" s="218">
        <v>13.47</v>
      </c>
      <c r="BM524" s="251">
        <f t="shared" si="44"/>
        <v>-13.47</v>
      </c>
      <c r="BN524" s="218">
        <v>0.81</v>
      </c>
      <c r="BO524" s="218">
        <v>0.18</v>
      </c>
      <c r="BP524" s="218">
        <v>4.53</v>
      </c>
    </row>
    <row r="525" spans="2:68">
      <c r="B525" s="218">
        <v>13.62</v>
      </c>
      <c r="C525" s="218">
        <f t="shared" si="40"/>
        <v>-13.62</v>
      </c>
      <c r="D525" s="218">
        <v>0.81</v>
      </c>
      <c r="E525" s="218">
        <v>0.18</v>
      </c>
      <c r="F525" s="218">
        <v>4.54</v>
      </c>
      <c r="Q525" s="218">
        <v>13.67</v>
      </c>
      <c r="R525" s="251">
        <f t="shared" si="41"/>
        <v>-13.67</v>
      </c>
      <c r="S525" s="218">
        <v>0.81</v>
      </c>
      <c r="T525" s="218">
        <v>0.18</v>
      </c>
      <c r="U525" s="218">
        <v>4.5199999999999996</v>
      </c>
      <c r="AF525" s="218">
        <v>13.59</v>
      </c>
      <c r="AG525" s="251">
        <f t="shared" si="42"/>
        <v>-13.59</v>
      </c>
      <c r="AH525" s="218">
        <v>0.81</v>
      </c>
      <c r="AI525" s="218">
        <v>0.18</v>
      </c>
      <c r="AJ525" s="218">
        <v>4.58</v>
      </c>
      <c r="AV525" s="218">
        <v>13.58</v>
      </c>
      <c r="AW525" s="251">
        <f t="shared" si="43"/>
        <v>-13.58</v>
      </c>
      <c r="AX525" s="218">
        <v>0.81</v>
      </c>
      <c r="AY525" s="218">
        <v>0.18</v>
      </c>
      <c r="AZ525" s="218">
        <v>4.54</v>
      </c>
      <c r="BL525" s="218">
        <v>13.5</v>
      </c>
      <c r="BM525" s="251">
        <f t="shared" si="44"/>
        <v>-13.5</v>
      </c>
      <c r="BN525" s="218">
        <v>0.81</v>
      </c>
      <c r="BO525" s="218">
        <v>0.18</v>
      </c>
      <c r="BP525" s="218">
        <v>4.53</v>
      </c>
    </row>
    <row r="526" spans="2:68">
      <c r="B526" s="218">
        <v>13.64</v>
      </c>
      <c r="C526" s="218">
        <f t="shared" si="40"/>
        <v>-13.64</v>
      </c>
      <c r="D526" s="218">
        <v>0.81</v>
      </c>
      <c r="E526" s="218">
        <v>0.18</v>
      </c>
      <c r="F526" s="218">
        <v>4.54</v>
      </c>
      <c r="Q526" s="218">
        <v>13.69</v>
      </c>
      <c r="R526" s="251">
        <f t="shared" si="41"/>
        <v>-13.69</v>
      </c>
      <c r="S526" s="218">
        <v>0.81</v>
      </c>
      <c r="T526" s="218">
        <v>0.18</v>
      </c>
      <c r="U526" s="218">
        <v>4.5199999999999996</v>
      </c>
      <c r="AF526" s="218">
        <v>13.61</v>
      </c>
      <c r="AG526" s="251">
        <f t="shared" si="42"/>
        <v>-13.61</v>
      </c>
      <c r="AH526" s="218">
        <v>0.81</v>
      </c>
      <c r="AI526" s="218">
        <v>0.18</v>
      </c>
      <c r="AJ526" s="218">
        <v>4.58</v>
      </c>
      <c r="AV526" s="218">
        <v>13.6</v>
      </c>
      <c r="AW526" s="251">
        <f t="shared" si="43"/>
        <v>-13.6</v>
      </c>
      <c r="AX526" s="218">
        <v>0.81</v>
      </c>
      <c r="AY526" s="218">
        <v>0.18</v>
      </c>
      <c r="AZ526" s="218">
        <v>4.54</v>
      </c>
      <c r="BL526" s="218">
        <v>13.52</v>
      </c>
      <c r="BM526" s="251">
        <f t="shared" si="44"/>
        <v>-13.52</v>
      </c>
      <c r="BN526" s="218">
        <v>0.81</v>
      </c>
      <c r="BO526" s="218">
        <v>0.18</v>
      </c>
      <c r="BP526" s="218">
        <v>4.53</v>
      </c>
    </row>
    <row r="527" spans="2:68">
      <c r="B527" s="218">
        <v>13.67</v>
      </c>
      <c r="C527" s="218">
        <f t="shared" si="40"/>
        <v>-13.67</v>
      </c>
      <c r="D527" s="218">
        <v>0.81</v>
      </c>
      <c r="E527" s="218">
        <v>0.18</v>
      </c>
      <c r="F527" s="218">
        <v>4.54</v>
      </c>
      <c r="Q527" s="218">
        <v>13.72</v>
      </c>
      <c r="R527" s="251">
        <f t="shared" si="41"/>
        <v>-13.72</v>
      </c>
      <c r="S527" s="218">
        <v>0.81</v>
      </c>
      <c r="T527" s="218">
        <v>0.18</v>
      </c>
      <c r="U527" s="218">
        <v>4.5199999999999996</v>
      </c>
      <c r="AF527" s="218">
        <v>13.64</v>
      </c>
      <c r="AG527" s="251">
        <f t="shared" si="42"/>
        <v>-13.64</v>
      </c>
      <c r="AH527" s="218">
        <v>0.81</v>
      </c>
      <c r="AI527" s="218">
        <v>0.18</v>
      </c>
      <c r="AJ527" s="218">
        <v>4.58</v>
      </c>
      <c r="AV527" s="218">
        <v>13.63</v>
      </c>
      <c r="AW527" s="251">
        <f t="shared" si="43"/>
        <v>-13.63</v>
      </c>
      <c r="AX527" s="218">
        <v>0.81</v>
      </c>
      <c r="AY527" s="218">
        <v>0.18</v>
      </c>
      <c r="AZ527" s="218">
        <v>4.54</v>
      </c>
      <c r="BL527" s="218">
        <v>13.55</v>
      </c>
      <c r="BM527" s="251">
        <f t="shared" si="44"/>
        <v>-13.55</v>
      </c>
      <c r="BN527" s="218">
        <v>0.81</v>
      </c>
      <c r="BO527" s="218">
        <v>0.18</v>
      </c>
      <c r="BP527" s="218">
        <v>4.53</v>
      </c>
    </row>
    <row r="528" spans="2:68">
      <c r="B528" s="218">
        <v>13.69</v>
      </c>
      <c r="C528" s="218">
        <f t="shared" si="40"/>
        <v>-13.69</v>
      </c>
      <c r="D528" s="218">
        <v>0.81</v>
      </c>
      <c r="E528" s="218">
        <v>0.18</v>
      </c>
      <c r="F528" s="218">
        <v>4.54</v>
      </c>
      <c r="Q528" s="218">
        <v>13.74</v>
      </c>
      <c r="R528" s="251">
        <f t="shared" si="41"/>
        <v>-13.74</v>
      </c>
      <c r="S528" s="218">
        <v>0.81</v>
      </c>
      <c r="T528" s="218">
        <v>0.18</v>
      </c>
      <c r="U528" s="218">
        <v>4.5199999999999996</v>
      </c>
      <c r="AF528" s="218">
        <v>13.66</v>
      </c>
      <c r="AG528" s="251">
        <f t="shared" si="42"/>
        <v>-13.66</v>
      </c>
      <c r="AH528" s="218">
        <v>0.81</v>
      </c>
      <c r="AI528" s="218">
        <v>0.18</v>
      </c>
      <c r="AJ528" s="218">
        <v>4.58</v>
      </c>
      <c r="AV528" s="218">
        <v>13.65</v>
      </c>
      <c r="AW528" s="251">
        <f t="shared" si="43"/>
        <v>-13.65</v>
      </c>
      <c r="AX528" s="218">
        <v>0.81</v>
      </c>
      <c r="AY528" s="218">
        <v>0.18</v>
      </c>
      <c r="AZ528" s="218">
        <v>4.54</v>
      </c>
      <c r="BL528" s="218">
        <v>13.57</v>
      </c>
      <c r="BM528" s="251">
        <f t="shared" si="44"/>
        <v>-13.57</v>
      </c>
      <c r="BN528" s="218">
        <v>0.81</v>
      </c>
      <c r="BO528" s="218">
        <v>0.18</v>
      </c>
      <c r="BP528" s="218">
        <v>4.53</v>
      </c>
    </row>
    <row r="529" spans="2:68">
      <c r="B529" s="218">
        <v>13.72</v>
      </c>
      <c r="C529" s="218">
        <f t="shared" si="40"/>
        <v>-13.72</v>
      </c>
      <c r="D529" s="218">
        <v>0.81</v>
      </c>
      <c r="E529" s="218">
        <v>0.18</v>
      </c>
      <c r="F529" s="218">
        <v>4.54</v>
      </c>
      <c r="Q529" s="218">
        <v>13.77</v>
      </c>
      <c r="R529" s="251">
        <f t="shared" si="41"/>
        <v>-13.77</v>
      </c>
      <c r="S529" s="218">
        <v>0.81</v>
      </c>
      <c r="T529" s="218">
        <v>0.18</v>
      </c>
      <c r="U529" s="218">
        <v>4.5199999999999996</v>
      </c>
      <c r="AF529" s="218">
        <v>13.69</v>
      </c>
      <c r="AG529" s="251">
        <f t="shared" si="42"/>
        <v>-13.69</v>
      </c>
      <c r="AH529" s="218">
        <v>0.81</v>
      </c>
      <c r="AI529" s="218">
        <v>0.18</v>
      </c>
      <c r="AJ529" s="218">
        <v>4.58</v>
      </c>
      <c r="AV529" s="218">
        <v>13.68</v>
      </c>
      <c r="AW529" s="251">
        <f t="shared" si="43"/>
        <v>-13.68</v>
      </c>
      <c r="AX529" s="218">
        <v>0.81</v>
      </c>
      <c r="AY529" s="218">
        <v>0.18</v>
      </c>
      <c r="AZ529" s="218">
        <v>4.54</v>
      </c>
      <c r="BL529" s="218">
        <v>13.6</v>
      </c>
      <c r="BM529" s="251">
        <f t="shared" si="44"/>
        <v>-13.6</v>
      </c>
      <c r="BN529" s="218">
        <v>0.81</v>
      </c>
      <c r="BO529" s="218">
        <v>0.18</v>
      </c>
      <c r="BP529" s="218">
        <v>4.53</v>
      </c>
    </row>
    <row r="530" spans="2:68">
      <c r="B530" s="218">
        <v>13.74</v>
      </c>
      <c r="C530" s="218">
        <f t="shared" si="40"/>
        <v>-13.74</v>
      </c>
      <c r="D530" s="218">
        <v>0.81</v>
      </c>
      <c r="E530" s="218">
        <v>0.18</v>
      </c>
      <c r="F530" s="218">
        <v>4.54</v>
      </c>
      <c r="Q530" s="218">
        <v>13.79</v>
      </c>
      <c r="R530" s="251">
        <f t="shared" si="41"/>
        <v>-13.79</v>
      </c>
      <c r="S530" s="218">
        <v>0.81</v>
      </c>
      <c r="T530" s="218">
        <v>0.18</v>
      </c>
      <c r="U530" s="218">
        <v>4.5199999999999996</v>
      </c>
      <c r="AF530" s="218">
        <v>13.71</v>
      </c>
      <c r="AG530" s="251">
        <f t="shared" si="42"/>
        <v>-13.71</v>
      </c>
      <c r="AH530" s="218">
        <v>0.81</v>
      </c>
      <c r="AI530" s="218">
        <v>0.18</v>
      </c>
      <c r="AJ530" s="218">
        <v>4.58</v>
      </c>
      <c r="AV530" s="218">
        <v>13.7</v>
      </c>
      <c r="AW530" s="251">
        <f t="shared" si="43"/>
        <v>-13.7</v>
      </c>
      <c r="AX530" s="218">
        <v>0.81</v>
      </c>
      <c r="AY530" s="218">
        <v>0.18</v>
      </c>
      <c r="AZ530" s="218">
        <v>4.54</v>
      </c>
      <c r="BL530" s="218">
        <v>13.62</v>
      </c>
      <c r="BM530" s="251">
        <f t="shared" si="44"/>
        <v>-13.62</v>
      </c>
      <c r="BN530" s="218">
        <v>0.81</v>
      </c>
      <c r="BO530" s="218">
        <v>0.18</v>
      </c>
      <c r="BP530" s="218">
        <v>4.53</v>
      </c>
    </row>
    <row r="531" spans="2:68">
      <c r="B531" s="218">
        <v>13.77</v>
      </c>
      <c r="C531" s="218">
        <f t="shared" si="40"/>
        <v>-13.77</v>
      </c>
      <c r="D531" s="218">
        <v>0.81</v>
      </c>
      <c r="E531" s="218">
        <v>0.18</v>
      </c>
      <c r="F531" s="218">
        <v>4.54</v>
      </c>
      <c r="Q531" s="218">
        <v>13.82</v>
      </c>
      <c r="R531" s="251">
        <f t="shared" si="41"/>
        <v>-13.82</v>
      </c>
      <c r="S531" s="218">
        <v>0.81</v>
      </c>
      <c r="T531" s="218">
        <v>0.18</v>
      </c>
      <c r="U531" s="218">
        <v>4.5199999999999996</v>
      </c>
      <c r="AF531" s="218">
        <v>13.74</v>
      </c>
      <c r="AG531" s="251">
        <f t="shared" si="42"/>
        <v>-13.74</v>
      </c>
      <c r="AH531" s="218">
        <v>0.81</v>
      </c>
      <c r="AI531" s="218">
        <v>0.18</v>
      </c>
      <c r="AJ531" s="218">
        <v>4.58</v>
      </c>
      <c r="AV531" s="218">
        <v>13.73</v>
      </c>
      <c r="AW531" s="251">
        <f t="shared" si="43"/>
        <v>-13.73</v>
      </c>
      <c r="AX531" s="218">
        <v>0.81</v>
      </c>
      <c r="AY531" s="218">
        <v>0.18</v>
      </c>
      <c r="AZ531" s="218">
        <v>4.54</v>
      </c>
      <c r="BL531" s="218">
        <v>13.65</v>
      </c>
      <c r="BM531" s="251">
        <f t="shared" si="44"/>
        <v>-13.65</v>
      </c>
      <c r="BN531" s="218">
        <v>0.81</v>
      </c>
      <c r="BO531" s="218">
        <v>0.18</v>
      </c>
      <c r="BP531" s="218">
        <v>4.53</v>
      </c>
    </row>
    <row r="532" spans="2:68">
      <c r="B532" s="218">
        <v>13.79</v>
      </c>
      <c r="C532" s="218">
        <f t="shared" si="40"/>
        <v>-13.79</v>
      </c>
      <c r="D532" s="218">
        <v>0.81</v>
      </c>
      <c r="E532" s="218">
        <v>0.18</v>
      </c>
      <c r="F532" s="218">
        <v>4.55</v>
      </c>
      <c r="Q532" s="218">
        <v>13.84</v>
      </c>
      <c r="R532" s="251">
        <f t="shared" si="41"/>
        <v>-13.84</v>
      </c>
      <c r="S532" s="218">
        <v>0.81</v>
      </c>
      <c r="T532" s="218">
        <v>0.18</v>
      </c>
      <c r="U532" s="218">
        <v>4.53</v>
      </c>
      <c r="AF532" s="218">
        <v>13.76</v>
      </c>
      <c r="AG532" s="251">
        <f t="shared" si="42"/>
        <v>-13.76</v>
      </c>
      <c r="AH532" s="218">
        <v>0.81</v>
      </c>
      <c r="AI532" s="218">
        <v>0.18</v>
      </c>
      <c r="AJ532" s="218">
        <v>4.58</v>
      </c>
      <c r="AV532" s="218">
        <v>13.75</v>
      </c>
      <c r="AW532" s="251">
        <f t="shared" si="43"/>
        <v>-13.75</v>
      </c>
      <c r="AX532" s="218">
        <v>0.81</v>
      </c>
      <c r="AY532" s="218">
        <v>0.18</v>
      </c>
      <c r="AZ532" s="218">
        <v>4.54</v>
      </c>
      <c r="BL532" s="218">
        <v>13.67</v>
      </c>
      <c r="BM532" s="251">
        <f t="shared" si="44"/>
        <v>-13.67</v>
      </c>
      <c r="BN532" s="218">
        <v>0.81</v>
      </c>
      <c r="BO532" s="218">
        <v>0.18</v>
      </c>
      <c r="BP532" s="218">
        <v>4.53</v>
      </c>
    </row>
    <row r="533" spans="2:68">
      <c r="B533" s="218">
        <v>13.82</v>
      </c>
      <c r="C533" s="218">
        <f t="shared" si="40"/>
        <v>-13.82</v>
      </c>
      <c r="D533" s="218">
        <v>0.81</v>
      </c>
      <c r="E533" s="218">
        <v>0.18</v>
      </c>
      <c r="F533" s="218">
        <v>4.55</v>
      </c>
      <c r="Q533" s="218">
        <v>13.87</v>
      </c>
      <c r="R533" s="251">
        <f t="shared" si="41"/>
        <v>-13.87</v>
      </c>
      <c r="S533" s="218">
        <v>0.81</v>
      </c>
      <c r="T533" s="218">
        <v>0.18</v>
      </c>
      <c r="U533" s="218">
        <v>4.53</v>
      </c>
      <c r="AF533" s="218">
        <v>13.79</v>
      </c>
      <c r="AG533" s="251">
        <f t="shared" si="42"/>
        <v>-13.79</v>
      </c>
      <c r="AH533" s="218">
        <v>0.81</v>
      </c>
      <c r="AI533" s="218">
        <v>0.18</v>
      </c>
      <c r="AJ533" s="218">
        <v>4.58</v>
      </c>
      <c r="AV533" s="218">
        <v>13.78</v>
      </c>
      <c r="AW533" s="251">
        <f t="shared" si="43"/>
        <v>-13.78</v>
      </c>
      <c r="AX533" s="218">
        <v>0.81</v>
      </c>
      <c r="AY533" s="218">
        <v>0.18</v>
      </c>
      <c r="AZ533" s="218">
        <v>4.54</v>
      </c>
      <c r="BL533" s="218">
        <v>13.7</v>
      </c>
      <c r="BM533" s="251">
        <f t="shared" si="44"/>
        <v>-13.7</v>
      </c>
      <c r="BN533" s="218">
        <v>0.81</v>
      </c>
      <c r="BO533" s="218">
        <v>0.18</v>
      </c>
      <c r="BP533" s="218">
        <v>4.53</v>
      </c>
    </row>
    <row r="534" spans="2:68">
      <c r="B534" s="218">
        <v>13.84</v>
      </c>
      <c r="C534" s="218">
        <f t="shared" si="40"/>
        <v>-13.84</v>
      </c>
      <c r="D534" s="218">
        <v>0.81</v>
      </c>
      <c r="E534" s="218">
        <v>0.18</v>
      </c>
      <c r="F534" s="218">
        <v>4.55</v>
      </c>
      <c r="Q534" s="218">
        <v>13.89</v>
      </c>
      <c r="R534" s="251">
        <f t="shared" si="41"/>
        <v>-13.89</v>
      </c>
      <c r="S534" s="218">
        <v>0.81</v>
      </c>
      <c r="T534" s="218">
        <v>0.18</v>
      </c>
      <c r="U534" s="218">
        <v>4.53</v>
      </c>
      <c r="AF534" s="218">
        <v>13.81</v>
      </c>
      <c r="AG534" s="251">
        <f t="shared" si="42"/>
        <v>-13.81</v>
      </c>
      <c r="AH534" s="218">
        <v>0.81</v>
      </c>
      <c r="AI534" s="218">
        <v>0.18</v>
      </c>
      <c r="AJ534" s="218">
        <v>4.58</v>
      </c>
      <c r="AV534" s="218">
        <v>13.8</v>
      </c>
      <c r="AW534" s="251">
        <f t="shared" si="43"/>
        <v>-13.8</v>
      </c>
      <c r="AX534" s="218">
        <v>0.81</v>
      </c>
      <c r="AY534" s="218">
        <v>0.18</v>
      </c>
      <c r="AZ534" s="218">
        <v>4.54</v>
      </c>
      <c r="BL534" s="218">
        <v>13.72</v>
      </c>
      <c r="BM534" s="251">
        <f t="shared" si="44"/>
        <v>-13.72</v>
      </c>
      <c r="BN534" s="218">
        <v>0.81</v>
      </c>
      <c r="BO534" s="218">
        <v>0.18</v>
      </c>
      <c r="BP534" s="218">
        <v>4.53</v>
      </c>
    </row>
    <row r="535" spans="2:68">
      <c r="B535" s="218">
        <v>13.87</v>
      </c>
      <c r="C535" s="218">
        <f t="shared" si="40"/>
        <v>-13.87</v>
      </c>
      <c r="D535" s="218">
        <v>0.81</v>
      </c>
      <c r="E535" s="218">
        <v>0.18</v>
      </c>
      <c r="F535" s="218">
        <v>4.55</v>
      </c>
      <c r="Q535" s="218">
        <v>13.92</v>
      </c>
      <c r="R535" s="251">
        <f t="shared" si="41"/>
        <v>-13.92</v>
      </c>
      <c r="S535" s="218">
        <v>0.81</v>
      </c>
      <c r="T535" s="218">
        <v>0.18</v>
      </c>
      <c r="U535" s="218">
        <v>4.53</v>
      </c>
      <c r="AF535" s="218">
        <v>13.84</v>
      </c>
      <c r="AG535" s="251">
        <f t="shared" si="42"/>
        <v>-13.84</v>
      </c>
      <c r="AH535" s="218">
        <v>0.81</v>
      </c>
      <c r="AI535" s="218">
        <v>0.18</v>
      </c>
      <c r="AJ535" s="218">
        <v>4.58</v>
      </c>
      <c r="AV535" s="218">
        <v>13.83</v>
      </c>
      <c r="AW535" s="251">
        <f t="shared" si="43"/>
        <v>-13.83</v>
      </c>
      <c r="AX535" s="218">
        <v>0.81</v>
      </c>
      <c r="AY535" s="218">
        <v>0.18</v>
      </c>
      <c r="AZ535" s="218">
        <v>4.54</v>
      </c>
      <c r="BL535" s="218">
        <v>13.75</v>
      </c>
      <c r="BM535" s="251">
        <f t="shared" si="44"/>
        <v>-13.75</v>
      </c>
      <c r="BN535" s="218">
        <v>0.81</v>
      </c>
      <c r="BO535" s="218">
        <v>0.18</v>
      </c>
      <c r="BP535" s="218">
        <v>4.53</v>
      </c>
    </row>
    <row r="536" spans="2:68">
      <c r="B536" s="218">
        <v>13.89</v>
      </c>
      <c r="C536" s="218">
        <f t="shared" si="40"/>
        <v>-13.89</v>
      </c>
      <c r="D536" s="218">
        <v>0.81</v>
      </c>
      <c r="E536" s="218">
        <v>0.18</v>
      </c>
      <c r="F536" s="218">
        <v>4.55</v>
      </c>
      <c r="Q536" s="218">
        <v>13.94</v>
      </c>
      <c r="R536" s="251">
        <f t="shared" si="41"/>
        <v>-13.94</v>
      </c>
      <c r="S536" s="218">
        <v>0.81</v>
      </c>
      <c r="T536" s="218">
        <v>0.18</v>
      </c>
      <c r="U536" s="218">
        <v>4.53</v>
      </c>
      <c r="AF536" s="218">
        <v>13.86</v>
      </c>
      <c r="AG536" s="251">
        <f t="shared" si="42"/>
        <v>-13.86</v>
      </c>
      <c r="AH536" s="218">
        <v>0.81</v>
      </c>
      <c r="AI536" s="218">
        <v>0.18</v>
      </c>
      <c r="AJ536" s="218">
        <v>4.58</v>
      </c>
      <c r="AV536" s="218">
        <v>13.85</v>
      </c>
      <c r="AW536" s="251">
        <f t="shared" si="43"/>
        <v>-13.85</v>
      </c>
      <c r="AX536" s="218">
        <v>0.81</v>
      </c>
      <c r="AY536" s="218">
        <v>0.18</v>
      </c>
      <c r="AZ536" s="218">
        <v>4.54</v>
      </c>
      <c r="BL536" s="218">
        <v>13.77</v>
      </c>
      <c r="BM536" s="251">
        <f t="shared" si="44"/>
        <v>-13.77</v>
      </c>
      <c r="BN536" s="218">
        <v>0.81</v>
      </c>
      <c r="BO536" s="218">
        <v>0.18</v>
      </c>
      <c r="BP536" s="218">
        <v>4.53</v>
      </c>
    </row>
    <row r="537" spans="2:68">
      <c r="B537" s="218">
        <v>13.92</v>
      </c>
      <c r="C537" s="218">
        <f t="shared" si="40"/>
        <v>-13.92</v>
      </c>
      <c r="D537" s="218">
        <v>0.81</v>
      </c>
      <c r="E537" s="218">
        <v>0.18</v>
      </c>
      <c r="F537" s="218">
        <v>4.55</v>
      </c>
      <c r="Q537" s="218">
        <v>13.97</v>
      </c>
      <c r="R537" s="251">
        <f t="shared" si="41"/>
        <v>-13.97</v>
      </c>
      <c r="S537" s="218">
        <v>0.81</v>
      </c>
      <c r="T537" s="218">
        <v>0.18</v>
      </c>
      <c r="U537" s="218">
        <v>4.53</v>
      </c>
      <c r="AF537" s="218">
        <v>13.89</v>
      </c>
      <c r="AG537" s="251">
        <f t="shared" si="42"/>
        <v>-13.89</v>
      </c>
      <c r="AH537" s="218">
        <v>0.81</v>
      </c>
      <c r="AI537" s="218">
        <v>0.18</v>
      </c>
      <c r="AJ537" s="218">
        <v>4.58</v>
      </c>
      <c r="AV537" s="218">
        <v>13.88</v>
      </c>
      <c r="AW537" s="251">
        <f t="shared" si="43"/>
        <v>-13.88</v>
      </c>
      <c r="AX537" s="218">
        <v>0.81</v>
      </c>
      <c r="AY537" s="218">
        <v>0.18</v>
      </c>
      <c r="AZ537" s="218">
        <v>4.54</v>
      </c>
      <c r="BL537" s="218">
        <v>13.8</v>
      </c>
      <c r="BM537" s="251">
        <f t="shared" si="44"/>
        <v>-13.8</v>
      </c>
      <c r="BN537" s="218">
        <v>0.81</v>
      </c>
      <c r="BO537" s="218">
        <v>0.18</v>
      </c>
      <c r="BP537" s="218">
        <v>4.53</v>
      </c>
    </row>
    <row r="538" spans="2:68">
      <c r="B538" s="218">
        <v>13.94</v>
      </c>
      <c r="C538" s="218">
        <f t="shared" si="40"/>
        <v>-13.94</v>
      </c>
      <c r="D538" s="218">
        <v>0.8</v>
      </c>
      <c r="E538" s="218">
        <v>0.18</v>
      </c>
      <c r="F538" s="218">
        <v>4.55</v>
      </c>
      <c r="Q538" s="218">
        <v>13.99</v>
      </c>
      <c r="R538" s="251">
        <f t="shared" si="41"/>
        <v>-13.99</v>
      </c>
      <c r="S538" s="218">
        <v>0.81</v>
      </c>
      <c r="T538" s="218">
        <v>0.18</v>
      </c>
      <c r="U538" s="218">
        <v>4.53</v>
      </c>
      <c r="AF538" s="218">
        <v>13.91</v>
      </c>
      <c r="AG538" s="251">
        <f t="shared" si="42"/>
        <v>-13.91</v>
      </c>
      <c r="AH538" s="218">
        <v>0.81</v>
      </c>
      <c r="AI538" s="218">
        <v>0.18</v>
      </c>
      <c r="AJ538" s="218">
        <v>4.58</v>
      </c>
      <c r="AV538" s="218">
        <v>13.9</v>
      </c>
      <c r="AW538" s="251">
        <f t="shared" si="43"/>
        <v>-13.9</v>
      </c>
      <c r="AX538" s="218">
        <v>0.81</v>
      </c>
      <c r="AY538" s="218">
        <v>0.18</v>
      </c>
      <c r="AZ538" s="218">
        <v>4.54</v>
      </c>
      <c r="BL538" s="218">
        <v>13.82</v>
      </c>
      <c r="BM538" s="251">
        <f t="shared" si="44"/>
        <v>-13.82</v>
      </c>
      <c r="BN538" s="218">
        <v>0.81</v>
      </c>
      <c r="BO538" s="218">
        <v>0.18</v>
      </c>
      <c r="BP538" s="218">
        <v>4.53</v>
      </c>
    </row>
    <row r="539" spans="2:68">
      <c r="B539" s="218">
        <v>13.97</v>
      </c>
      <c r="C539" s="218">
        <f t="shared" si="40"/>
        <v>-13.97</v>
      </c>
      <c r="D539" s="218">
        <v>0.8</v>
      </c>
      <c r="E539" s="218">
        <v>0.18</v>
      </c>
      <c r="F539" s="218">
        <v>4.55</v>
      </c>
      <c r="Q539" s="218">
        <v>14.02</v>
      </c>
      <c r="R539" s="251">
        <f t="shared" si="41"/>
        <v>-14.02</v>
      </c>
      <c r="S539" s="218">
        <v>0.81</v>
      </c>
      <c r="T539" s="218">
        <v>0.18</v>
      </c>
      <c r="U539" s="218">
        <v>4.53</v>
      </c>
      <c r="AF539" s="218">
        <v>13.94</v>
      </c>
      <c r="AG539" s="251">
        <f t="shared" si="42"/>
        <v>-13.94</v>
      </c>
      <c r="AH539" s="218">
        <v>0.81</v>
      </c>
      <c r="AI539" s="218">
        <v>0.18</v>
      </c>
      <c r="AJ539" s="218">
        <v>4.58</v>
      </c>
      <c r="AV539" s="218">
        <v>13.93</v>
      </c>
      <c r="AW539" s="251">
        <f t="shared" si="43"/>
        <v>-13.93</v>
      </c>
      <c r="AX539" s="218">
        <v>0.81</v>
      </c>
      <c r="AY539" s="218">
        <v>0.18</v>
      </c>
      <c r="AZ539" s="218">
        <v>4.55</v>
      </c>
      <c r="BL539" s="218">
        <v>13.85</v>
      </c>
      <c r="BM539" s="251">
        <f t="shared" si="44"/>
        <v>-13.85</v>
      </c>
      <c r="BN539" s="218">
        <v>0.81</v>
      </c>
      <c r="BO539" s="218">
        <v>0.18</v>
      </c>
      <c r="BP539" s="218">
        <v>4.53</v>
      </c>
    </row>
    <row r="540" spans="2:68">
      <c r="B540" s="218">
        <v>13.99</v>
      </c>
      <c r="C540" s="218">
        <f t="shared" si="40"/>
        <v>-13.99</v>
      </c>
      <c r="D540" s="218">
        <v>0.8</v>
      </c>
      <c r="E540" s="218">
        <v>0.18</v>
      </c>
      <c r="F540" s="218">
        <v>4.55</v>
      </c>
      <c r="Q540" s="218">
        <v>14.04</v>
      </c>
      <c r="R540" s="251">
        <f t="shared" si="41"/>
        <v>-14.04</v>
      </c>
      <c r="S540" s="218">
        <v>0.81</v>
      </c>
      <c r="T540" s="218">
        <v>0.18</v>
      </c>
      <c r="U540" s="218">
        <v>4.53</v>
      </c>
      <c r="AF540" s="218">
        <v>13.96</v>
      </c>
      <c r="AG540" s="251">
        <f t="shared" si="42"/>
        <v>-13.96</v>
      </c>
      <c r="AH540" s="218">
        <v>0.81</v>
      </c>
      <c r="AI540" s="218">
        <v>0.18</v>
      </c>
      <c r="AJ540" s="218">
        <v>4.58</v>
      </c>
      <c r="AV540" s="218">
        <v>13.95</v>
      </c>
      <c r="AW540" s="251">
        <f t="shared" si="43"/>
        <v>-13.95</v>
      </c>
      <c r="AX540" s="218">
        <v>0.81</v>
      </c>
      <c r="AY540" s="218">
        <v>0.18</v>
      </c>
      <c r="AZ540" s="218">
        <v>4.55</v>
      </c>
      <c r="BL540" s="218">
        <v>13.87</v>
      </c>
      <c r="BM540" s="251">
        <f t="shared" si="44"/>
        <v>-13.87</v>
      </c>
      <c r="BN540" s="218">
        <v>0.81</v>
      </c>
      <c r="BO540" s="218">
        <v>0.18</v>
      </c>
      <c r="BP540" s="218">
        <v>4.53</v>
      </c>
    </row>
    <row r="541" spans="2:68">
      <c r="B541" s="218">
        <v>14.02</v>
      </c>
      <c r="C541" s="218">
        <f t="shared" si="40"/>
        <v>-14.02</v>
      </c>
      <c r="D541" s="218">
        <v>0.8</v>
      </c>
      <c r="E541" s="218">
        <v>0.18</v>
      </c>
      <c r="F541" s="218">
        <v>4.55</v>
      </c>
      <c r="Q541" s="218">
        <v>14.07</v>
      </c>
      <c r="R541" s="251">
        <f t="shared" si="41"/>
        <v>-14.07</v>
      </c>
      <c r="S541" s="218">
        <v>0.81</v>
      </c>
      <c r="T541" s="218">
        <v>0.18</v>
      </c>
      <c r="U541" s="218">
        <v>4.53</v>
      </c>
      <c r="AF541" s="218">
        <v>13.99</v>
      </c>
      <c r="AG541" s="251">
        <f t="shared" si="42"/>
        <v>-13.99</v>
      </c>
      <c r="AH541" s="218">
        <v>0.81</v>
      </c>
      <c r="AI541" s="218">
        <v>0.18</v>
      </c>
      <c r="AJ541" s="218">
        <v>4.58</v>
      </c>
      <c r="AV541" s="218">
        <v>13.98</v>
      </c>
      <c r="AW541" s="251">
        <f t="shared" si="43"/>
        <v>-13.98</v>
      </c>
      <c r="AX541" s="218">
        <v>0.81</v>
      </c>
      <c r="AY541" s="218">
        <v>0.18</v>
      </c>
      <c r="AZ541" s="218">
        <v>4.55</v>
      </c>
      <c r="BL541" s="218">
        <v>13.9</v>
      </c>
      <c r="BM541" s="251">
        <f t="shared" si="44"/>
        <v>-13.9</v>
      </c>
      <c r="BN541" s="218">
        <v>0.81</v>
      </c>
      <c r="BO541" s="218">
        <v>0.18</v>
      </c>
      <c r="BP541" s="218">
        <v>4.53</v>
      </c>
    </row>
    <row r="542" spans="2:68">
      <c r="B542" s="218">
        <v>14.04</v>
      </c>
      <c r="C542" s="218">
        <f t="shared" si="40"/>
        <v>-14.04</v>
      </c>
      <c r="D542" s="218">
        <v>0.8</v>
      </c>
      <c r="E542" s="218">
        <v>0.18</v>
      </c>
      <c r="F542" s="218">
        <v>4.55</v>
      </c>
      <c r="Q542" s="218">
        <v>14.09</v>
      </c>
      <c r="R542" s="251">
        <f t="shared" si="41"/>
        <v>-14.09</v>
      </c>
      <c r="S542" s="218">
        <v>0.81</v>
      </c>
      <c r="T542" s="218">
        <v>0.18</v>
      </c>
      <c r="U542" s="218">
        <v>4.53</v>
      </c>
      <c r="AF542" s="218">
        <v>14.01</v>
      </c>
      <c r="AG542" s="251">
        <f t="shared" si="42"/>
        <v>-14.01</v>
      </c>
      <c r="AH542" s="218">
        <v>0.8</v>
      </c>
      <c r="AI542" s="218">
        <v>0.18</v>
      </c>
      <c r="AJ542" s="218">
        <v>4.58</v>
      </c>
      <c r="AV542" s="218">
        <v>14</v>
      </c>
      <c r="AW542" s="251">
        <f t="shared" si="43"/>
        <v>-14</v>
      </c>
      <c r="AX542" s="218">
        <v>0.81</v>
      </c>
      <c r="AY542" s="218">
        <v>0.18</v>
      </c>
      <c r="AZ542" s="218">
        <v>4.55</v>
      </c>
      <c r="BL542" s="218">
        <v>13.92</v>
      </c>
      <c r="BM542" s="251">
        <f t="shared" si="44"/>
        <v>-13.92</v>
      </c>
      <c r="BN542" s="218">
        <v>0.81</v>
      </c>
      <c r="BO542" s="218">
        <v>0.18</v>
      </c>
      <c r="BP542" s="218">
        <v>4.53</v>
      </c>
    </row>
    <row r="543" spans="2:68">
      <c r="B543" s="218">
        <v>14.07</v>
      </c>
      <c r="C543" s="218">
        <f t="shared" si="40"/>
        <v>-14.07</v>
      </c>
      <c r="D543" s="218">
        <v>0.8</v>
      </c>
      <c r="E543" s="218">
        <v>0.18</v>
      </c>
      <c r="F543" s="218">
        <v>4.55</v>
      </c>
      <c r="Q543" s="218">
        <v>14.12</v>
      </c>
      <c r="R543" s="251">
        <f t="shared" si="41"/>
        <v>-14.12</v>
      </c>
      <c r="S543" s="218">
        <v>0.81</v>
      </c>
      <c r="T543" s="218">
        <v>0.18</v>
      </c>
      <c r="U543" s="218">
        <v>4.53</v>
      </c>
      <c r="AF543" s="218">
        <v>14.04</v>
      </c>
      <c r="AG543" s="251">
        <f t="shared" si="42"/>
        <v>-14.04</v>
      </c>
      <c r="AH543" s="218">
        <v>0.8</v>
      </c>
      <c r="AI543" s="218">
        <v>0.18</v>
      </c>
      <c r="AJ543" s="218">
        <v>4.58</v>
      </c>
      <c r="AV543" s="218">
        <v>14.03</v>
      </c>
      <c r="AW543" s="251">
        <f t="shared" si="43"/>
        <v>-14.03</v>
      </c>
      <c r="AX543" s="218">
        <v>0.8</v>
      </c>
      <c r="AY543" s="218">
        <v>0.18</v>
      </c>
      <c r="AZ543" s="218">
        <v>4.55</v>
      </c>
      <c r="BL543" s="218">
        <v>13.95</v>
      </c>
      <c r="BM543" s="251">
        <f t="shared" si="44"/>
        <v>-13.95</v>
      </c>
      <c r="BN543" s="218">
        <v>0.81</v>
      </c>
      <c r="BO543" s="218">
        <v>0.18</v>
      </c>
      <c r="BP543" s="218">
        <v>4.54</v>
      </c>
    </row>
    <row r="544" spans="2:68">
      <c r="B544" s="218">
        <v>14.09</v>
      </c>
      <c r="C544" s="218">
        <f t="shared" si="40"/>
        <v>-14.09</v>
      </c>
      <c r="D544" s="218">
        <v>0.8</v>
      </c>
      <c r="E544" s="218">
        <v>0.18</v>
      </c>
      <c r="F544" s="218">
        <v>4.55</v>
      </c>
      <c r="Q544" s="218">
        <v>14.14</v>
      </c>
      <c r="R544" s="251">
        <f t="shared" si="41"/>
        <v>-14.14</v>
      </c>
      <c r="S544" s="218">
        <v>0.8</v>
      </c>
      <c r="T544" s="218">
        <v>0.18</v>
      </c>
      <c r="U544" s="218">
        <v>4.53</v>
      </c>
      <c r="AF544" s="218">
        <v>14.06</v>
      </c>
      <c r="AG544" s="251">
        <f t="shared" si="42"/>
        <v>-14.06</v>
      </c>
      <c r="AH544" s="218">
        <v>0.8</v>
      </c>
      <c r="AI544" s="218">
        <v>0.18</v>
      </c>
      <c r="AJ544" s="218">
        <v>4.58</v>
      </c>
      <c r="AV544" s="218">
        <v>14.05</v>
      </c>
      <c r="AW544" s="251">
        <f t="shared" si="43"/>
        <v>-14.05</v>
      </c>
      <c r="AX544" s="218">
        <v>0.8</v>
      </c>
      <c r="AY544" s="218">
        <v>0.18</v>
      </c>
      <c r="AZ544" s="218">
        <v>4.55</v>
      </c>
      <c r="BL544" s="218">
        <v>13.97</v>
      </c>
      <c r="BM544" s="251">
        <f t="shared" si="44"/>
        <v>-13.97</v>
      </c>
      <c r="BN544" s="218">
        <v>0.81</v>
      </c>
      <c r="BO544" s="218">
        <v>0.18</v>
      </c>
      <c r="BP544" s="218">
        <v>4.54</v>
      </c>
    </row>
    <row r="545" spans="2:68">
      <c r="B545" s="218">
        <v>14.12</v>
      </c>
      <c r="C545" s="218">
        <f t="shared" si="40"/>
        <v>-14.12</v>
      </c>
      <c r="D545" s="218">
        <v>0.8</v>
      </c>
      <c r="E545" s="218">
        <v>0.18</v>
      </c>
      <c r="F545" s="218">
        <v>4.55</v>
      </c>
      <c r="Q545" s="218">
        <v>14.17</v>
      </c>
      <c r="R545" s="251">
        <f t="shared" si="41"/>
        <v>-14.17</v>
      </c>
      <c r="S545" s="218">
        <v>0.8</v>
      </c>
      <c r="T545" s="218">
        <v>0.18</v>
      </c>
      <c r="U545" s="218">
        <v>4.53</v>
      </c>
      <c r="AF545" s="218">
        <v>14.09</v>
      </c>
      <c r="AG545" s="251">
        <f t="shared" si="42"/>
        <v>-14.09</v>
      </c>
      <c r="AH545" s="218">
        <v>0.8</v>
      </c>
      <c r="AI545" s="218">
        <v>0.18</v>
      </c>
      <c r="AJ545" s="218">
        <v>4.58</v>
      </c>
      <c r="AV545" s="218">
        <v>14.08</v>
      </c>
      <c r="AW545" s="251">
        <f t="shared" si="43"/>
        <v>-14.08</v>
      </c>
      <c r="AX545" s="218">
        <v>0.8</v>
      </c>
      <c r="AY545" s="218">
        <v>0.18</v>
      </c>
      <c r="AZ545" s="218">
        <v>4.55</v>
      </c>
      <c r="BL545" s="218">
        <v>14</v>
      </c>
      <c r="BM545" s="251">
        <f t="shared" si="44"/>
        <v>-14</v>
      </c>
      <c r="BN545" s="218">
        <v>0.81</v>
      </c>
      <c r="BO545" s="218">
        <v>0.18</v>
      </c>
      <c r="BP545" s="218">
        <v>4.54</v>
      </c>
    </row>
    <row r="546" spans="2:68">
      <c r="B546" s="218">
        <v>14.14</v>
      </c>
      <c r="C546" s="218">
        <f t="shared" si="40"/>
        <v>-14.14</v>
      </c>
      <c r="D546" s="218">
        <v>0.8</v>
      </c>
      <c r="E546" s="218">
        <v>0.18</v>
      </c>
      <c r="F546" s="218">
        <v>4.55</v>
      </c>
      <c r="Q546" s="218">
        <v>14.19</v>
      </c>
      <c r="R546" s="251">
        <f t="shared" si="41"/>
        <v>-14.19</v>
      </c>
      <c r="S546" s="218">
        <v>0.8</v>
      </c>
      <c r="T546" s="218">
        <v>0.18</v>
      </c>
      <c r="U546" s="218">
        <v>4.53</v>
      </c>
      <c r="AF546" s="218">
        <v>14.11</v>
      </c>
      <c r="AG546" s="251">
        <f t="shared" si="42"/>
        <v>-14.11</v>
      </c>
      <c r="AH546" s="218">
        <v>0.8</v>
      </c>
      <c r="AI546" s="218">
        <v>0.18</v>
      </c>
      <c r="AJ546" s="218">
        <v>4.59</v>
      </c>
      <c r="AV546" s="218">
        <v>14.1</v>
      </c>
      <c r="AW546" s="251">
        <f t="shared" si="43"/>
        <v>-14.1</v>
      </c>
      <c r="AX546" s="218">
        <v>0.8</v>
      </c>
      <c r="AY546" s="218">
        <v>0.18</v>
      </c>
      <c r="AZ546" s="218">
        <v>4.55</v>
      </c>
      <c r="BL546" s="218">
        <v>14.02</v>
      </c>
      <c r="BM546" s="251">
        <f t="shared" si="44"/>
        <v>-14.02</v>
      </c>
      <c r="BN546" s="218">
        <v>0.81</v>
      </c>
      <c r="BO546" s="218">
        <v>0.18</v>
      </c>
      <c r="BP546" s="218">
        <v>4.54</v>
      </c>
    </row>
    <row r="547" spans="2:68">
      <c r="B547" s="218">
        <v>14.17</v>
      </c>
      <c r="C547" s="218">
        <f t="shared" si="40"/>
        <v>-14.17</v>
      </c>
      <c r="D547" s="218">
        <v>0.8</v>
      </c>
      <c r="E547" s="218">
        <v>0.18</v>
      </c>
      <c r="F547" s="218">
        <v>4.55</v>
      </c>
      <c r="Q547" s="218">
        <v>14.22</v>
      </c>
      <c r="R547" s="251">
        <f t="shared" si="41"/>
        <v>-14.22</v>
      </c>
      <c r="S547" s="218">
        <v>0.8</v>
      </c>
      <c r="T547" s="218">
        <v>0.18</v>
      </c>
      <c r="U547" s="218">
        <v>4.53</v>
      </c>
      <c r="AF547" s="218">
        <v>14.14</v>
      </c>
      <c r="AG547" s="251">
        <f t="shared" si="42"/>
        <v>-14.14</v>
      </c>
      <c r="AH547" s="218">
        <v>0.8</v>
      </c>
      <c r="AI547" s="218">
        <v>0.18</v>
      </c>
      <c r="AJ547" s="218">
        <v>4.59</v>
      </c>
      <c r="AV547" s="218">
        <v>14.13</v>
      </c>
      <c r="AW547" s="251">
        <f t="shared" si="43"/>
        <v>-14.13</v>
      </c>
      <c r="AX547" s="218">
        <v>0.8</v>
      </c>
      <c r="AY547" s="218">
        <v>0.18</v>
      </c>
      <c r="AZ547" s="218">
        <v>4.55</v>
      </c>
      <c r="BL547" s="218">
        <v>14.05</v>
      </c>
      <c r="BM547" s="251">
        <f t="shared" si="44"/>
        <v>-14.05</v>
      </c>
      <c r="BN547" s="218">
        <v>0.81</v>
      </c>
      <c r="BO547" s="218">
        <v>0.18</v>
      </c>
      <c r="BP547" s="218">
        <v>4.54</v>
      </c>
    </row>
    <row r="548" spans="2:68">
      <c r="B548" s="218">
        <v>14.19</v>
      </c>
      <c r="C548" s="218">
        <f t="shared" si="40"/>
        <v>-14.19</v>
      </c>
      <c r="D548" s="218">
        <v>0.8</v>
      </c>
      <c r="E548" s="218">
        <v>0.18</v>
      </c>
      <c r="F548" s="218">
        <v>4.55</v>
      </c>
      <c r="Q548" s="218">
        <v>14.24</v>
      </c>
      <c r="R548" s="251">
        <f t="shared" si="41"/>
        <v>-14.24</v>
      </c>
      <c r="S548" s="218">
        <v>0.8</v>
      </c>
      <c r="T548" s="218">
        <v>0.18</v>
      </c>
      <c r="U548" s="218">
        <v>4.53</v>
      </c>
      <c r="AF548" s="218">
        <v>14.16</v>
      </c>
      <c r="AG548" s="251">
        <f t="shared" si="42"/>
        <v>-14.16</v>
      </c>
      <c r="AH548" s="218">
        <v>0.8</v>
      </c>
      <c r="AI548" s="218">
        <v>0.18</v>
      </c>
      <c r="AJ548" s="218">
        <v>4.59</v>
      </c>
      <c r="AV548" s="218">
        <v>14.15</v>
      </c>
      <c r="AW548" s="251">
        <f t="shared" si="43"/>
        <v>-14.15</v>
      </c>
      <c r="AX548" s="218">
        <v>0.8</v>
      </c>
      <c r="AY548" s="218">
        <v>0.18</v>
      </c>
      <c r="AZ548" s="218">
        <v>4.55</v>
      </c>
      <c r="BL548" s="218">
        <v>14.07</v>
      </c>
      <c r="BM548" s="251">
        <f t="shared" si="44"/>
        <v>-14.07</v>
      </c>
      <c r="BN548" s="218">
        <v>0.81</v>
      </c>
      <c r="BO548" s="218">
        <v>0.18</v>
      </c>
      <c r="BP548" s="218">
        <v>4.54</v>
      </c>
    </row>
    <row r="549" spans="2:68">
      <c r="B549" s="218">
        <v>14.22</v>
      </c>
      <c r="C549" s="218">
        <f t="shared" si="40"/>
        <v>-14.22</v>
      </c>
      <c r="D549" s="218">
        <v>0.8</v>
      </c>
      <c r="E549" s="218">
        <v>0.18</v>
      </c>
      <c r="F549" s="218">
        <v>4.55</v>
      </c>
      <c r="Q549" s="218">
        <v>14.27</v>
      </c>
      <c r="R549" s="251">
        <f t="shared" si="41"/>
        <v>-14.27</v>
      </c>
      <c r="S549" s="218">
        <v>0.8</v>
      </c>
      <c r="T549" s="218">
        <v>0.18</v>
      </c>
      <c r="U549" s="218">
        <v>4.53</v>
      </c>
      <c r="AF549" s="218">
        <v>14.19</v>
      </c>
      <c r="AG549" s="251">
        <f t="shared" si="42"/>
        <v>-14.19</v>
      </c>
      <c r="AH549" s="218">
        <v>0.8</v>
      </c>
      <c r="AI549" s="218">
        <v>0.18</v>
      </c>
      <c r="AJ549" s="218">
        <v>4.59</v>
      </c>
      <c r="AV549" s="218">
        <v>14.18</v>
      </c>
      <c r="AW549" s="251">
        <f t="shared" si="43"/>
        <v>-14.18</v>
      </c>
      <c r="AX549" s="218">
        <v>0.8</v>
      </c>
      <c r="AY549" s="218">
        <v>0.18</v>
      </c>
      <c r="AZ549" s="218">
        <v>4.55</v>
      </c>
      <c r="BL549" s="218">
        <v>14.1</v>
      </c>
      <c r="BM549" s="251">
        <f t="shared" si="44"/>
        <v>-14.1</v>
      </c>
      <c r="BN549" s="218">
        <v>0.81</v>
      </c>
      <c r="BO549" s="218">
        <v>0.18</v>
      </c>
      <c r="BP549" s="218">
        <v>4.54</v>
      </c>
    </row>
    <row r="550" spans="2:68">
      <c r="B550" s="218">
        <v>14.24</v>
      </c>
      <c r="C550" s="218">
        <f t="shared" si="40"/>
        <v>-14.24</v>
      </c>
      <c r="D550" s="218">
        <v>0.8</v>
      </c>
      <c r="E550" s="218">
        <v>0.18</v>
      </c>
      <c r="F550" s="218">
        <v>4.55</v>
      </c>
      <c r="Q550" s="218">
        <v>14.29</v>
      </c>
      <c r="R550" s="251">
        <f t="shared" si="41"/>
        <v>-14.29</v>
      </c>
      <c r="S550" s="218">
        <v>0.8</v>
      </c>
      <c r="T550" s="218">
        <v>0.18</v>
      </c>
      <c r="U550" s="218">
        <v>4.53</v>
      </c>
      <c r="AF550" s="218">
        <v>14.21</v>
      </c>
      <c r="AG550" s="251">
        <f t="shared" si="42"/>
        <v>-14.21</v>
      </c>
      <c r="AH550" s="218">
        <v>0.8</v>
      </c>
      <c r="AI550" s="218">
        <v>0.18</v>
      </c>
      <c r="AJ550" s="218">
        <v>4.59</v>
      </c>
      <c r="AV550" s="218">
        <v>14.2</v>
      </c>
      <c r="AW550" s="251">
        <f t="shared" si="43"/>
        <v>-14.2</v>
      </c>
      <c r="AX550" s="218">
        <v>0.8</v>
      </c>
      <c r="AY550" s="218">
        <v>0.18</v>
      </c>
      <c r="AZ550" s="218">
        <v>4.55</v>
      </c>
      <c r="BL550" s="218">
        <v>14.12</v>
      </c>
      <c r="BM550" s="251">
        <f t="shared" si="44"/>
        <v>-14.12</v>
      </c>
      <c r="BN550" s="218">
        <v>0.81</v>
      </c>
      <c r="BO550" s="218">
        <v>0.18</v>
      </c>
      <c r="BP550" s="218">
        <v>4.54</v>
      </c>
    </row>
    <row r="551" spans="2:68">
      <c r="B551" s="218">
        <v>14.27</v>
      </c>
      <c r="C551" s="218">
        <f t="shared" si="40"/>
        <v>-14.27</v>
      </c>
      <c r="D551" s="218">
        <v>0.8</v>
      </c>
      <c r="E551" s="218">
        <v>0.18</v>
      </c>
      <c r="F551" s="218">
        <v>4.55</v>
      </c>
      <c r="Q551" s="218">
        <v>14.32</v>
      </c>
      <c r="R551" s="251">
        <f t="shared" si="41"/>
        <v>-14.32</v>
      </c>
      <c r="S551" s="218">
        <v>0.8</v>
      </c>
      <c r="T551" s="218">
        <v>0.18</v>
      </c>
      <c r="U551" s="218">
        <v>4.53</v>
      </c>
      <c r="AF551" s="218">
        <v>14.24</v>
      </c>
      <c r="AG551" s="251">
        <f t="shared" si="42"/>
        <v>-14.24</v>
      </c>
      <c r="AH551" s="218">
        <v>0.8</v>
      </c>
      <c r="AI551" s="218">
        <v>0.18</v>
      </c>
      <c r="AJ551" s="218">
        <v>4.59</v>
      </c>
      <c r="AV551" s="218">
        <v>14.23</v>
      </c>
      <c r="AW551" s="251">
        <f t="shared" si="43"/>
        <v>-14.23</v>
      </c>
      <c r="AX551" s="218">
        <v>0.8</v>
      </c>
      <c r="AY551" s="218">
        <v>0.18</v>
      </c>
      <c r="AZ551" s="218">
        <v>4.55</v>
      </c>
      <c r="BL551" s="218">
        <v>14.15</v>
      </c>
      <c r="BM551" s="251">
        <f t="shared" si="44"/>
        <v>-14.15</v>
      </c>
      <c r="BN551" s="218">
        <v>0.81</v>
      </c>
      <c r="BO551" s="218">
        <v>0.18</v>
      </c>
      <c r="BP551" s="218">
        <v>4.54</v>
      </c>
    </row>
    <row r="552" spans="2:68">
      <c r="B552" s="218">
        <v>14.29</v>
      </c>
      <c r="C552" s="218">
        <f t="shared" si="40"/>
        <v>-14.29</v>
      </c>
      <c r="D552" s="218">
        <v>0.8</v>
      </c>
      <c r="E552" s="218">
        <v>0.18</v>
      </c>
      <c r="F552" s="218">
        <v>4.55</v>
      </c>
      <c r="Q552" s="218">
        <v>14.34</v>
      </c>
      <c r="R552" s="251">
        <f t="shared" si="41"/>
        <v>-14.34</v>
      </c>
      <c r="S552" s="218">
        <v>0.8</v>
      </c>
      <c r="T552" s="218">
        <v>0.18</v>
      </c>
      <c r="U552" s="218">
        <v>4.53</v>
      </c>
      <c r="AF552" s="218">
        <v>14.26</v>
      </c>
      <c r="AG552" s="251">
        <f t="shared" si="42"/>
        <v>-14.26</v>
      </c>
      <c r="AH552" s="218">
        <v>0.8</v>
      </c>
      <c r="AI552" s="218">
        <v>0.18</v>
      </c>
      <c r="AJ552" s="218">
        <v>4.59</v>
      </c>
      <c r="AV552" s="218">
        <v>14.25</v>
      </c>
      <c r="AW552" s="251">
        <f t="shared" si="43"/>
        <v>-14.25</v>
      </c>
      <c r="AX552" s="218">
        <v>0.8</v>
      </c>
      <c r="AY552" s="218">
        <v>0.18</v>
      </c>
      <c r="AZ552" s="218">
        <v>4.55</v>
      </c>
      <c r="BL552" s="218">
        <v>14.17</v>
      </c>
      <c r="BM552" s="251">
        <f t="shared" si="44"/>
        <v>-14.17</v>
      </c>
      <c r="BN552" s="218">
        <v>0.8</v>
      </c>
      <c r="BO552" s="218">
        <v>0.18</v>
      </c>
      <c r="BP552" s="218">
        <v>4.54</v>
      </c>
    </row>
    <row r="553" spans="2:68">
      <c r="B553" s="218">
        <v>14.32</v>
      </c>
      <c r="C553" s="218">
        <f t="shared" si="40"/>
        <v>-14.32</v>
      </c>
      <c r="D553" s="218">
        <v>0.8</v>
      </c>
      <c r="E553" s="218">
        <v>0.18</v>
      </c>
      <c r="F553" s="218">
        <v>4.55</v>
      </c>
      <c r="Q553" s="218">
        <v>14.37</v>
      </c>
      <c r="R553" s="251">
        <f t="shared" si="41"/>
        <v>-14.37</v>
      </c>
      <c r="S553" s="218">
        <v>0.8</v>
      </c>
      <c r="T553" s="218">
        <v>0.18</v>
      </c>
      <c r="U553" s="218">
        <v>4.54</v>
      </c>
      <c r="AF553" s="218">
        <v>14.29</v>
      </c>
      <c r="AG553" s="251">
        <f t="shared" si="42"/>
        <v>-14.29</v>
      </c>
      <c r="AH553" s="218">
        <v>0.8</v>
      </c>
      <c r="AI553" s="218">
        <v>0.17</v>
      </c>
      <c r="AJ553" s="218">
        <v>4.59</v>
      </c>
      <c r="AV553" s="218">
        <v>14.28</v>
      </c>
      <c r="AW553" s="251">
        <f t="shared" si="43"/>
        <v>-14.28</v>
      </c>
      <c r="AX553" s="218">
        <v>0.8</v>
      </c>
      <c r="AY553" s="218">
        <v>0.18</v>
      </c>
      <c r="AZ553" s="218">
        <v>4.55</v>
      </c>
      <c r="BL553" s="218">
        <v>14.2</v>
      </c>
      <c r="BM553" s="251">
        <f t="shared" si="44"/>
        <v>-14.2</v>
      </c>
      <c r="BN553" s="218">
        <v>0.8</v>
      </c>
      <c r="BO553" s="218">
        <v>0.18</v>
      </c>
      <c r="BP553" s="218">
        <v>4.54</v>
      </c>
    </row>
    <row r="554" spans="2:68">
      <c r="B554" s="218">
        <v>14.34</v>
      </c>
      <c r="C554" s="218">
        <f t="shared" si="40"/>
        <v>-14.34</v>
      </c>
      <c r="D554" s="218">
        <v>0.8</v>
      </c>
      <c r="E554" s="218">
        <v>0.18</v>
      </c>
      <c r="F554" s="218">
        <v>4.55</v>
      </c>
      <c r="Q554" s="218">
        <v>14.39</v>
      </c>
      <c r="R554" s="251">
        <f t="shared" si="41"/>
        <v>-14.39</v>
      </c>
      <c r="S554" s="218">
        <v>0.8</v>
      </c>
      <c r="T554" s="218">
        <v>0.18</v>
      </c>
      <c r="U554" s="218">
        <v>4.54</v>
      </c>
      <c r="AF554" s="218">
        <v>14.31</v>
      </c>
      <c r="AG554" s="251">
        <f t="shared" si="42"/>
        <v>-14.31</v>
      </c>
      <c r="AH554" s="218">
        <v>0.8</v>
      </c>
      <c r="AI554" s="218">
        <v>0.17</v>
      </c>
      <c r="AJ554" s="218">
        <v>4.59</v>
      </c>
      <c r="AV554" s="218">
        <v>14.3</v>
      </c>
      <c r="AW554" s="251">
        <f t="shared" si="43"/>
        <v>-14.3</v>
      </c>
      <c r="AX554" s="218">
        <v>0.8</v>
      </c>
      <c r="AY554" s="218">
        <v>0.18</v>
      </c>
      <c r="AZ554" s="218">
        <v>4.55</v>
      </c>
      <c r="BL554" s="218">
        <v>14.22</v>
      </c>
      <c r="BM554" s="251">
        <f t="shared" si="44"/>
        <v>-14.22</v>
      </c>
      <c r="BN554" s="218">
        <v>0.8</v>
      </c>
      <c r="BO554" s="218">
        <v>0.18</v>
      </c>
      <c r="BP554" s="218">
        <v>4.54</v>
      </c>
    </row>
    <row r="555" spans="2:68">
      <c r="B555" s="218">
        <v>14.37</v>
      </c>
      <c r="C555" s="218">
        <f t="shared" si="40"/>
        <v>-14.37</v>
      </c>
      <c r="D555" s="218">
        <v>0.8</v>
      </c>
      <c r="E555" s="218">
        <v>0.18</v>
      </c>
      <c r="F555" s="218">
        <v>4.5599999999999996</v>
      </c>
      <c r="Q555" s="218">
        <v>14.42</v>
      </c>
      <c r="R555" s="251">
        <f t="shared" si="41"/>
        <v>-14.42</v>
      </c>
      <c r="S555" s="218">
        <v>0.8</v>
      </c>
      <c r="T555" s="218">
        <v>0.18</v>
      </c>
      <c r="U555" s="218">
        <v>4.54</v>
      </c>
      <c r="AF555" s="218">
        <v>14.34</v>
      </c>
      <c r="AG555" s="251">
        <f t="shared" si="42"/>
        <v>-14.34</v>
      </c>
      <c r="AH555" s="218">
        <v>0.8</v>
      </c>
      <c r="AI555" s="218">
        <v>0.17</v>
      </c>
      <c r="AJ555" s="218">
        <v>4.59</v>
      </c>
      <c r="AV555" s="218">
        <v>14.33</v>
      </c>
      <c r="AW555" s="251">
        <f t="shared" si="43"/>
        <v>-14.33</v>
      </c>
      <c r="AX555" s="218">
        <v>0.8</v>
      </c>
      <c r="AY555" s="218">
        <v>0.18</v>
      </c>
      <c r="AZ555" s="218">
        <v>4.55</v>
      </c>
      <c r="BL555" s="218">
        <v>14.25</v>
      </c>
      <c r="BM555" s="251">
        <f t="shared" si="44"/>
        <v>-14.25</v>
      </c>
      <c r="BN555" s="218">
        <v>0.8</v>
      </c>
      <c r="BO555" s="218">
        <v>0.18</v>
      </c>
      <c r="BP555" s="218">
        <v>4.54</v>
      </c>
    </row>
    <row r="556" spans="2:68">
      <c r="B556" s="218">
        <v>14.39</v>
      </c>
      <c r="C556" s="218">
        <f t="shared" si="40"/>
        <v>-14.39</v>
      </c>
      <c r="D556" s="218">
        <v>0.8</v>
      </c>
      <c r="E556" s="218">
        <v>0.18</v>
      </c>
      <c r="F556" s="218">
        <v>4.5599999999999996</v>
      </c>
      <c r="Q556" s="218">
        <v>14.44</v>
      </c>
      <c r="R556" s="251">
        <f t="shared" si="41"/>
        <v>-14.44</v>
      </c>
      <c r="S556" s="218">
        <v>0.8</v>
      </c>
      <c r="T556" s="218">
        <v>0.18</v>
      </c>
      <c r="U556" s="218">
        <v>4.54</v>
      </c>
      <c r="AF556" s="218">
        <v>14.36</v>
      </c>
      <c r="AG556" s="251">
        <f t="shared" si="42"/>
        <v>-14.36</v>
      </c>
      <c r="AH556" s="218">
        <v>0.8</v>
      </c>
      <c r="AI556" s="218">
        <v>0.17</v>
      </c>
      <c r="AJ556" s="218">
        <v>4.59</v>
      </c>
      <c r="AV556" s="218">
        <v>14.35</v>
      </c>
      <c r="AW556" s="251">
        <f t="shared" si="43"/>
        <v>-14.35</v>
      </c>
      <c r="AX556" s="218">
        <v>0.8</v>
      </c>
      <c r="AY556" s="218">
        <v>0.18</v>
      </c>
      <c r="AZ556" s="218">
        <v>4.55</v>
      </c>
      <c r="BL556" s="218">
        <v>14.27</v>
      </c>
      <c r="BM556" s="251">
        <f t="shared" si="44"/>
        <v>-14.27</v>
      </c>
      <c r="BN556" s="218">
        <v>0.8</v>
      </c>
      <c r="BO556" s="218">
        <v>0.18</v>
      </c>
      <c r="BP556" s="218">
        <v>4.54</v>
      </c>
    </row>
    <row r="557" spans="2:68">
      <c r="B557" s="218">
        <v>14.42</v>
      </c>
      <c r="C557" s="218">
        <f t="shared" si="40"/>
        <v>-14.42</v>
      </c>
      <c r="D557" s="218">
        <v>0.8</v>
      </c>
      <c r="E557" s="218">
        <v>0.18</v>
      </c>
      <c r="F557" s="218">
        <v>4.5599999999999996</v>
      </c>
      <c r="Q557" s="218">
        <v>14.47</v>
      </c>
      <c r="R557" s="251">
        <f t="shared" si="41"/>
        <v>-14.47</v>
      </c>
      <c r="S557" s="218">
        <v>0.8</v>
      </c>
      <c r="T557" s="218">
        <v>0.18</v>
      </c>
      <c r="U557" s="218">
        <v>4.54</v>
      </c>
      <c r="AF557" s="218">
        <v>14.39</v>
      </c>
      <c r="AG557" s="251">
        <f t="shared" si="42"/>
        <v>-14.39</v>
      </c>
      <c r="AH557" s="218">
        <v>0.8</v>
      </c>
      <c r="AI557" s="218">
        <v>0.17</v>
      </c>
      <c r="AJ557" s="218">
        <v>4.59</v>
      </c>
      <c r="AV557" s="218">
        <v>14.38</v>
      </c>
      <c r="AW557" s="251">
        <f t="shared" si="43"/>
        <v>-14.38</v>
      </c>
      <c r="AX557" s="218">
        <v>0.8</v>
      </c>
      <c r="AY557" s="218">
        <v>0.18</v>
      </c>
      <c r="AZ557" s="218">
        <v>4.55</v>
      </c>
      <c r="BL557" s="218">
        <v>14.3</v>
      </c>
      <c r="BM557" s="251">
        <f t="shared" si="44"/>
        <v>-14.3</v>
      </c>
      <c r="BN557" s="218">
        <v>0.8</v>
      </c>
      <c r="BO557" s="218">
        <v>0.18</v>
      </c>
      <c r="BP557" s="218">
        <v>4.54</v>
      </c>
    </row>
    <row r="558" spans="2:68">
      <c r="B558" s="218">
        <v>14.44</v>
      </c>
      <c r="C558" s="218">
        <f t="shared" si="40"/>
        <v>-14.44</v>
      </c>
      <c r="D558" s="218">
        <v>0.8</v>
      </c>
      <c r="E558" s="218">
        <v>0.18</v>
      </c>
      <c r="F558" s="218">
        <v>4.5599999999999996</v>
      </c>
      <c r="Q558" s="218">
        <v>14.49</v>
      </c>
      <c r="R558" s="251">
        <f t="shared" si="41"/>
        <v>-14.49</v>
      </c>
      <c r="S558" s="218">
        <v>0.8</v>
      </c>
      <c r="T558" s="218">
        <v>0.18</v>
      </c>
      <c r="U558" s="218">
        <v>4.54</v>
      </c>
      <c r="AF558" s="218">
        <v>14.41</v>
      </c>
      <c r="AG558" s="251">
        <f t="shared" si="42"/>
        <v>-14.41</v>
      </c>
      <c r="AH558" s="218">
        <v>0.8</v>
      </c>
      <c r="AI558" s="218">
        <v>0.17</v>
      </c>
      <c r="AJ558" s="218">
        <v>4.59</v>
      </c>
      <c r="AV558" s="218">
        <v>14.4</v>
      </c>
      <c r="AW558" s="251">
        <f t="shared" si="43"/>
        <v>-14.4</v>
      </c>
      <c r="AX558" s="218">
        <v>0.8</v>
      </c>
      <c r="AY558" s="218">
        <v>0.18</v>
      </c>
      <c r="AZ558" s="218">
        <v>4.55</v>
      </c>
      <c r="BL558" s="218">
        <v>14.32</v>
      </c>
      <c r="BM558" s="251">
        <f t="shared" si="44"/>
        <v>-14.32</v>
      </c>
      <c r="BN558" s="218">
        <v>0.8</v>
      </c>
      <c r="BO558" s="218">
        <v>0.18</v>
      </c>
      <c r="BP558" s="218">
        <v>4.54</v>
      </c>
    </row>
    <row r="559" spans="2:68">
      <c r="B559" s="218">
        <v>14.47</v>
      </c>
      <c r="C559" s="218">
        <f t="shared" si="40"/>
        <v>-14.47</v>
      </c>
      <c r="D559" s="218">
        <v>0.8</v>
      </c>
      <c r="E559" s="218">
        <v>0.18</v>
      </c>
      <c r="F559" s="218">
        <v>4.5599999999999996</v>
      </c>
      <c r="Q559" s="218">
        <v>14.52</v>
      </c>
      <c r="R559" s="251">
        <f t="shared" si="41"/>
        <v>-14.52</v>
      </c>
      <c r="S559" s="218">
        <v>0.8</v>
      </c>
      <c r="T559" s="218">
        <v>0.18</v>
      </c>
      <c r="U559" s="218">
        <v>4.54</v>
      </c>
      <c r="AF559" s="218">
        <v>14.44</v>
      </c>
      <c r="AG559" s="251">
        <f t="shared" si="42"/>
        <v>-14.44</v>
      </c>
      <c r="AH559" s="218">
        <v>0.8</v>
      </c>
      <c r="AI559" s="218">
        <v>0.17</v>
      </c>
      <c r="AJ559" s="218">
        <v>4.59</v>
      </c>
      <c r="AV559" s="218">
        <v>14.43</v>
      </c>
      <c r="AW559" s="251">
        <f t="shared" si="43"/>
        <v>-14.43</v>
      </c>
      <c r="AX559" s="218">
        <v>0.8</v>
      </c>
      <c r="AY559" s="218">
        <v>0.18</v>
      </c>
      <c r="AZ559" s="218">
        <v>4.55</v>
      </c>
      <c r="BL559" s="218">
        <v>14.35</v>
      </c>
      <c r="BM559" s="251">
        <f t="shared" si="44"/>
        <v>-14.35</v>
      </c>
      <c r="BN559" s="218">
        <v>0.8</v>
      </c>
      <c r="BO559" s="218">
        <v>0.18</v>
      </c>
      <c r="BP559" s="218">
        <v>4.54</v>
      </c>
    </row>
    <row r="560" spans="2:68">
      <c r="B560" s="218">
        <v>14.49</v>
      </c>
      <c r="C560" s="218">
        <f t="shared" si="40"/>
        <v>-14.49</v>
      </c>
      <c r="D560" s="218">
        <v>0.8</v>
      </c>
      <c r="E560" s="218">
        <v>0.18</v>
      </c>
      <c r="F560" s="218">
        <v>4.5599999999999996</v>
      </c>
      <c r="Q560" s="218">
        <v>14.54</v>
      </c>
      <c r="R560" s="251">
        <f t="shared" si="41"/>
        <v>-14.54</v>
      </c>
      <c r="S560" s="218">
        <v>0.8</v>
      </c>
      <c r="T560" s="218">
        <v>0.18</v>
      </c>
      <c r="U560" s="218">
        <v>4.54</v>
      </c>
      <c r="AF560" s="218">
        <v>14.46</v>
      </c>
      <c r="AG560" s="251">
        <f t="shared" si="42"/>
        <v>-14.46</v>
      </c>
      <c r="AH560" s="218">
        <v>0.8</v>
      </c>
      <c r="AI560" s="218">
        <v>0.17</v>
      </c>
      <c r="AJ560" s="218">
        <v>4.59</v>
      </c>
      <c r="AV560" s="218">
        <v>14.45</v>
      </c>
      <c r="AW560" s="251">
        <f t="shared" si="43"/>
        <v>-14.45</v>
      </c>
      <c r="AX560" s="218">
        <v>0.8</v>
      </c>
      <c r="AY560" s="218">
        <v>0.18</v>
      </c>
      <c r="AZ560" s="218">
        <v>4.5599999999999996</v>
      </c>
      <c r="BL560" s="218">
        <v>14.37</v>
      </c>
      <c r="BM560" s="251">
        <f t="shared" si="44"/>
        <v>-14.37</v>
      </c>
      <c r="BN560" s="218">
        <v>0.8</v>
      </c>
      <c r="BO560" s="218">
        <v>0.18</v>
      </c>
      <c r="BP560" s="218">
        <v>4.54</v>
      </c>
    </row>
    <row r="561" spans="2:68">
      <c r="B561" s="218">
        <v>14.52</v>
      </c>
      <c r="C561" s="218">
        <f t="shared" si="40"/>
        <v>-14.52</v>
      </c>
      <c r="D561" s="218">
        <v>0.8</v>
      </c>
      <c r="E561" s="218">
        <v>0.18</v>
      </c>
      <c r="F561" s="218">
        <v>4.5599999999999996</v>
      </c>
      <c r="Q561" s="218">
        <v>14.57</v>
      </c>
      <c r="R561" s="251">
        <f t="shared" si="41"/>
        <v>-14.57</v>
      </c>
      <c r="S561" s="218">
        <v>0.8</v>
      </c>
      <c r="T561" s="218">
        <v>0.18</v>
      </c>
      <c r="U561" s="218">
        <v>4.54</v>
      </c>
      <c r="AF561" s="218">
        <v>14.49</v>
      </c>
      <c r="AG561" s="251">
        <f t="shared" si="42"/>
        <v>-14.49</v>
      </c>
      <c r="AH561" s="218">
        <v>0.8</v>
      </c>
      <c r="AI561" s="218">
        <v>0.17</v>
      </c>
      <c r="AJ561" s="218">
        <v>4.59</v>
      </c>
      <c r="AV561" s="218">
        <v>14.48</v>
      </c>
      <c r="AW561" s="251">
        <f t="shared" si="43"/>
        <v>-14.48</v>
      </c>
      <c r="AX561" s="218">
        <v>0.8</v>
      </c>
      <c r="AY561" s="218">
        <v>0.18</v>
      </c>
      <c r="AZ561" s="218">
        <v>4.5599999999999996</v>
      </c>
      <c r="BL561" s="218">
        <v>14.4</v>
      </c>
      <c r="BM561" s="251">
        <f t="shared" si="44"/>
        <v>-14.4</v>
      </c>
      <c r="BN561" s="218">
        <v>0.8</v>
      </c>
      <c r="BO561" s="218">
        <v>0.18</v>
      </c>
      <c r="BP561" s="218">
        <v>4.54</v>
      </c>
    </row>
    <row r="562" spans="2:68">
      <c r="B562" s="218">
        <v>14.54</v>
      </c>
      <c r="C562" s="218">
        <f t="shared" si="40"/>
        <v>-14.54</v>
      </c>
      <c r="D562" s="218">
        <v>0.8</v>
      </c>
      <c r="E562" s="218">
        <v>0.18</v>
      </c>
      <c r="F562" s="218">
        <v>4.5599999999999996</v>
      </c>
      <c r="Q562" s="218">
        <v>14.59</v>
      </c>
      <c r="R562" s="251">
        <f t="shared" si="41"/>
        <v>-14.59</v>
      </c>
      <c r="S562" s="218">
        <v>0.8</v>
      </c>
      <c r="T562" s="218">
        <v>0.18</v>
      </c>
      <c r="U562" s="218">
        <v>4.54</v>
      </c>
      <c r="AF562" s="218">
        <v>14.51</v>
      </c>
      <c r="AG562" s="251">
        <f t="shared" si="42"/>
        <v>-14.51</v>
      </c>
      <c r="AH562" s="218">
        <v>0.8</v>
      </c>
      <c r="AI562" s="218">
        <v>0.17</v>
      </c>
      <c r="AJ562" s="218">
        <v>4.59</v>
      </c>
      <c r="AV562" s="218">
        <v>14.5</v>
      </c>
      <c r="AW562" s="251">
        <f t="shared" si="43"/>
        <v>-14.5</v>
      </c>
      <c r="AX562" s="218">
        <v>0.8</v>
      </c>
      <c r="AY562" s="218">
        <v>0.18</v>
      </c>
      <c r="AZ562" s="218">
        <v>4.5599999999999996</v>
      </c>
      <c r="BL562" s="218">
        <v>14.42</v>
      </c>
      <c r="BM562" s="251">
        <f t="shared" si="44"/>
        <v>-14.42</v>
      </c>
      <c r="BN562" s="218">
        <v>0.8</v>
      </c>
      <c r="BO562" s="218">
        <v>0.18</v>
      </c>
      <c r="BP562" s="218">
        <v>4.54</v>
      </c>
    </row>
    <row r="563" spans="2:68">
      <c r="B563" s="218">
        <v>14.57</v>
      </c>
      <c r="C563" s="218">
        <f t="shared" si="40"/>
        <v>-14.57</v>
      </c>
      <c r="D563" s="218">
        <v>0.8</v>
      </c>
      <c r="E563" s="218">
        <v>0.18</v>
      </c>
      <c r="F563" s="218">
        <v>4.5599999999999996</v>
      </c>
      <c r="Q563" s="218">
        <v>14.62</v>
      </c>
      <c r="R563" s="251">
        <f t="shared" si="41"/>
        <v>-14.62</v>
      </c>
      <c r="S563" s="218">
        <v>0.8</v>
      </c>
      <c r="T563" s="218">
        <v>0.18</v>
      </c>
      <c r="U563" s="218">
        <v>4.54</v>
      </c>
      <c r="AF563" s="218">
        <v>14.54</v>
      </c>
      <c r="AG563" s="251">
        <f t="shared" si="42"/>
        <v>-14.54</v>
      </c>
      <c r="AH563" s="218">
        <v>0.8</v>
      </c>
      <c r="AI563" s="218">
        <v>0.17</v>
      </c>
      <c r="AJ563" s="218">
        <v>4.59</v>
      </c>
      <c r="AV563" s="218">
        <v>14.53</v>
      </c>
      <c r="AW563" s="251">
        <f t="shared" si="43"/>
        <v>-14.53</v>
      </c>
      <c r="AX563" s="218">
        <v>0.8</v>
      </c>
      <c r="AY563" s="218">
        <v>0.18</v>
      </c>
      <c r="AZ563" s="218">
        <v>4.5599999999999996</v>
      </c>
      <c r="BL563" s="218">
        <v>14.45</v>
      </c>
      <c r="BM563" s="251">
        <f t="shared" si="44"/>
        <v>-14.45</v>
      </c>
      <c r="BN563" s="218">
        <v>0.8</v>
      </c>
      <c r="BO563" s="218">
        <v>0.18</v>
      </c>
      <c r="BP563" s="218">
        <v>4.55</v>
      </c>
    </row>
    <row r="564" spans="2:68">
      <c r="B564" s="218">
        <v>14.59</v>
      </c>
      <c r="C564" s="218">
        <f t="shared" si="40"/>
        <v>-14.59</v>
      </c>
      <c r="D564" s="218">
        <v>0.8</v>
      </c>
      <c r="E564" s="218">
        <v>0.18</v>
      </c>
      <c r="F564" s="218">
        <v>4.5599999999999996</v>
      </c>
      <c r="Q564" s="218">
        <v>14.64</v>
      </c>
      <c r="R564" s="251">
        <f t="shared" si="41"/>
        <v>-14.64</v>
      </c>
      <c r="S564" s="218">
        <v>0.8</v>
      </c>
      <c r="T564" s="218">
        <v>0.18</v>
      </c>
      <c r="U564" s="218">
        <v>4.54</v>
      </c>
      <c r="AF564" s="218">
        <v>14.56</v>
      </c>
      <c r="AG564" s="251">
        <f t="shared" si="42"/>
        <v>-14.56</v>
      </c>
      <c r="AH564" s="218">
        <v>0.8</v>
      </c>
      <c r="AI564" s="218">
        <v>0.17</v>
      </c>
      <c r="AJ564" s="218">
        <v>4.59</v>
      </c>
      <c r="AV564" s="218">
        <v>14.55</v>
      </c>
      <c r="AW564" s="251">
        <f t="shared" si="43"/>
        <v>-14.55</v>
      </c>
      <c r="AX564" s="218">
        <v>0.8</v>
      </c>
      <c r="AY564" s="218">
        <v>0.18</v>
      </c>
      <c r="AZ564" s="218">
        <v>4.5599999999999996</v>
      </c>
      <c r="BL564" s="218">
        <v>14.47</v>
      </c>
      <c r="BM564" s="251">
        <f t="shared" si="44"/>
        <v>-14.47</v>
      </c>
      <c r="BN564" s="218">
        <v>0.8</v>
      </c>
      <c r="BO564" s="218">
        <v>0.18</v>
      </c>
      <c r="BP564" s="218">
        <v>4.55</v>
      </c>
    </row>
    <row r="565" spans="2:68">
      <c r="B565" s="218">
        <v>14.62</v>
      </c>
      <c r="C565" s="218">
        <f t="shared" si="40"/>
        <v>-14.62</v>
      </c>
      <c r="D565" s="218">
        <v>0.8</v>
      </c>
      <c r="E565" s="218">
        <v>0.18</v>
      </c>
      <c r="F565" s="218">
        <v>4.5599999999999996</v>
      </c>
      <c r="Q565" s="218">
        <v>14.67</v>
      </c>
      <c r="R565" s="251">
        <f t="shared" si="41"/>
        <v>-14.67</v>
      </c>
      <c r="S565" s="218">
        <v>0.8</v>
      </c>
      <c r="T565" s="218">
        <v>0.18</v>
      </c>
      <c r="U565" s="218">
        <v>4.54</v>
      </c>
      <c r="AF565" s="218">
        <v>14.59</v>
      </c>
      <c r="AG565" s="251">
        <f t="shared" si="42"/>
        <v>-14.59</v>
      </c>
      <c r="AH565" s="218">
        <v>0.8</v>
      </c>
      <c r="AI565" s="218">
        <v>0.17</v>
      </c>
      <c r="AJ565" s="218">
        <v>4.59</v>
      </c>
      <c r="AV565" s="218">
        <v>14.58</v>
      </c>
      <c r="AW565" s="251">
        <f t="shared" si="43"/>
        <v>-14.58</v>
      </c>
      <c r="AX565" s="218">
        <v>0.8</v>
      </c>
      <c r="AY565" s="218">
        <v>0.18</v>
      </c>
      <c r="AZ565" s="218">
        <v>4.5599999999999996</v>
      </c>
      <c r="BL565" s="218">
        <v>14.5</v>
      </c>
      <c r="BM565" s="251">
        <f t="shared" si="44"/>
        <v>-14.5</v>
      </c>
      <c r="BN565" s="218">
        <v>0.8</v>
      </c>
      <c r="BO565" s="218">
        <v>0.18</v>
      </c>
      <c r="BP565" s="218">
        <v>4.55</v>
      </c>
    </row>
    <row r="566" spans="2:68">
      <c r="B566" s="218">
        <v>14.64</v>
      </c>
      <c r="C566" s="218">
        <f t="shared" si="40"/>
        <v>-14.64</v>
      </c>
      <c r="D566" s="218">
        <v>0.8</v>
      </c>
      <c r="E566" s="218">
        <v>0.18</v>
      </c>
      <c r="F566" s="218">
        <v>4.5599999999999996</v>
      </c>
      <c r="Q566" s="218">
        <v>14.69</v>
      </c>
      <c r="R566" s="251">
        <f t="shared" si="41"/>
        <v>-14.69</v>
      </c>
      <c r="S566" s="218">
        <v>0.8</v>
      </c>
      <c r="T566" s="218">
        <v>0.18</v>
      </c>
      <c r="U566" s="218">
        <v>4.54</v>
      </c>
      <c r="AF566" s="218">
        <v>14.61</v>
      </c>
      <c r="AG566" s="251">
        <f t="shared" si="42"/>
        <v>-14.61</v>
      </c>
      <c r="AH566" s="218">
        <v>0.8</v>
      </c>
      <c r="AI566" s="218">
        <v>0.17</v>
      </c>
      <c r="AJ566" s="218">
        <v>4.5999999999999996</v>
      </c>
      <c r="AV566" s="218">
        <v>14.6</v>
      </c>
      <c r="AW566" s="251">
        <f t="shared" si="43"/>
        <v>-14.6</v>
      </c>
      <c r="AX566" s="218">
        <v>0.8</v>
      </c>
      <c r="AY566" s="218">
        <v>0.18</v>
      </c>
      <c r="AZ566" s="218">
        <v>4.5599999999999996</v>
      </c>
      <c r="BL566" s="218">
        <v>14.52</v>
      </c>
      <c r="BM566" s="251">
        <f t="shared" si="44"/>
        <v>-14.52</v>
      </c>
      <c r="BN566" s="218">
        <v>0.8</v>
      </c>
      <c r="BO566" s="218">
        <v>0.18</v>
      </c>
      <c r="BP566" s="218">
        <v>4.55</v>
      </c>
    </row>
    <row r="567" spans="2:68">
      <c r="B567" s="218">
        <v>14.67</v>
      </c>
      <c r="C567" s="218">
        <f t="shared" si="40"/>
        <v>-14.67</v>
      </c>
      <c r="D567" s="218">
        <v>0.8</v>
      </c>
      <c r="E567" s="218">
        <v>0.18</v>
      </c>
      <c r="F567" s="218">
        <v>4.5599999999999996</v>
      </c>
      <c r="Q567" s="218">
        <v>14.72</v>
      </c>
      <c r="R567" s="251">
        <f t="shared" si="41"/>
        <v>-14.72</v>
      </c>
      <c r="S567" s="218">
        <v>0.8</v>
      </c>
      <c r="T567" s="218">
        <v>0.18</v>
      </c>
      <c r="U567" s="218">
        <v>4.54</v>
      </c>
      <c r="AF567" s="218">
        <v>14.64</v>
      </c>
      <c r="AG567" s="251">
        <f t="shared" si="42"/>
        <v>-14.64</v>
      </c>
      <c r="AH567" s="218">
        <v>0.8</v>
      </c>
      <c r="AI567" s="218">
        <v>0.17</v>
      </c>
      <c r="AJ567" s="218">
        <v>4.5999999999999996</v>
      </c>
      <c r="AV567" s="218">
        <v>14.63</v>
      </c>
      <c r="AW567" s="251">
        <f t="shared" si="43"/>
        <v>-14.63</v>
      </c>
      <c r="AX567" s="218">
        <v>0.8</v>
      </c>
      <c r="AY567" s="218">
        <v>0.18</v>
      </c>
      <c r="AZ567" s="218">
        <v>4.5599999999999996</v>
      </c>
      <c r="BL567" s="218">
        <v>14.55</v>
      </c>
      <c r="BM567" s="251">
        <f t="shared" si="44"/>
        <v>-14.55</v>
      </c>
      <c r="BN567" s="218">
        <v>0.8</v>
      </c>
      <c r="BO567" s="218">
        <v>0.18</v>
      </c>
      <c r="BP567" s="218">
        <v>4.55</v>
      </c>
    </row>
    <row r="568" spans="2:68">
      <c r="B568" s="218">
        <v>14.69</v>
      </c>
      <c r="C568" s="218">
        <f t="shared" si="40"/>
        <v>-14.69</v>
      </c>
      <c r="D568" s="218">
        <v>0.8</v>
      </c>
      <c r="E568" s="218">
        <v>0.18</v>
      </c>
      <c r="F568" s="218">
        <v>4.5599999999999996</v>
      </c>
      <c r="Q568" s="218">
        <v>14.74</v>
      </c>
      <c r="R568" s="251">
        <f t="shared" si="41"/>
        <v>-14.74</v>
      </c>
      <c r="S568" s="218">
        <v>0.8</v>
      </c>
      <c r="T568" s="218">
        <v>0.18</v>
      </c>
      <c r="U568" s="218">
        <v>4.55</v>
      </c>
      <c r="AF568" s="218">
        <v>14.66</v>
      </c>
      <c r="AG568" s="251">
        <f t="shared" si="42"/>
        <v>-14.66</v>
      </c>
      <c r="AH568" s="218">
        <v>0.8</v>
      </c>
      <c r="AI568" s="218">
        <v>0.17</v>
      </c>
      <c r="AJ568" s="218">
        <v>4.5999999999999996</v>
      </c>
      <c r="AV568" s="218">
        <v>14.65</v>
      </c>
      <c r="AW568" s="251">
        <f t="shared" si="43"/>
        <v>-14.65</v>
      </c>
      <c r="AX568" s="218">
        <v>0.8</v>
      </c>
      <c r="AY568" s="218">
        <v>0.18</v>
      </c>
      <c r="AZ568" s="218">
        <v>4.5599999999999996</v>
      </c>
      <c r="BL568" s="218">
        <v>14.57</v>
      </c>
      <c r="BM568" s="251">
        <f t="shared" si="44"/>
        <v>-14.57</v>
      </c>
      <c r="BN568" s="218">
        <v>0.8</v>
      </c>
      <c r="BO568" s="218">
        <v>0.18</v>
      </c>
      <c r="BP568" s="218">
        <v>4.55</v>
      </c>
    </row>
    <row r="569" spans="2:68">
      <c r="B569" s="218">
        <v>14.72</v>
      </c>
      <c r="C569" s="218">
        <f t="shared" si="40"/>
        <v>-14.72</v>
      </c>
      <c r="D569" s="218">
        <v>0.8</v>
      </c>
      <c r="E569" s="218">
        <v>0.18</v>
      </c>
      <c r="F569" s="218">
        <v>4.5599999999999996</v>
      </c>
      <c r="Q569" s="218">
        <v>14.77</v>
      </c>
      <c r="R569" s="251">
        <f t="shared" si="41"/>
        <v>-14.77</v>
      </c>
      <c r="S569" s="218">
        <v>0.8</v>
      </c>
      <c r="T569" s="218">
        <v>0.18</v>
      </c>
      <c r="U569" s="218">
        <v>4.55</v>
      </c>
      <c r="AF569" s="218">
        <v>14.69</v>
      </c>
      <c r="AG569" s="251">
        <f t="shared" si="42"/>
        <v>-14.69</v>
      </c>
      <c r="AH569" s="218">
        <v>0.8</v>
      </c>
      <c r="AI569" s="218">
        <v>0.17</v>
      </c>
      <c r="AJ569" s="218">
        <v>4.5999999999999996</v>
      </c>
      <c r="AV569" s="218">
        <v>14.68</v>
      </c>
      <c r="AW569" s="251">
        <f t="shared" si="43"/>
        <v>-14.68</v>
      </c>
      <c r="AX569" s="218">
        <v>0.8</v>
      </c>
      <c r="AY569" s="218">
        <v>0.18</v>
      </c>
      <c r="AZ569" s="218">
        <v>4.5599999999999996</v>
      </c>
      <c r="BL569" s="218">
        <v>14.6</v>
      </c>
      <c r="BM569" s="251">
        <f t="shared" si="44"/>
        <v>-14.6</v>
      </c>
      <c r="BN569" s="218">
        <v>0.8</v>
      </c>
      <c r="BO569" s="218">
        <v>0.18</v>
      </c>
      <c r="BP569" s="218">
        <v>4.55</v>
      </c>
    </row>
    <row r="570" spans="2:68">
      <c r="B570" s="218">
        <v>14.74</v>
      </c>
      <c r="C570" s="218">
        <f t="shared" si="40"/>
        <v>-14.74</v>
      </c>
      <c r="D570" s="218">
        <v>0.8</v>
      </c>
      <c r="E570" s="218">
        <v>0.18</v>
      </c>
      <c r="F570" s="218">
        <v>4.57</v>
      </c>
      <c r="Q570" s="218">
        <v>14.79</v>
      </c>
      <c r="R570" s="251">
        <f t="shared" si="41"/>
        <v>-14.79</v>
      </c>
      <c r="S570" s="218">
        <v>0.8</v>
      </c>
      <c r="T570" s="218">
        <v>0.18</v>
      </c>
      <c r="U570" s="218">
        <v>4.55</v>
      </c>
      <c r="AF570" s="218">
        <v>14.71</v>
      </c>
      <c r="AG570" s="251">
        <f t="shared" si="42"/>
        <v>-14.71</v>
      </c>
      <c r="AH570" s="218">
        <v>0.8</v>
      </c>
      <c r="AI570" s="218">
        <v>0.17</v>
      </c>
      <c r="AJ570" s="218">
        <v>4.5999999999999996</v>
      </c>
      <c r="AV570" s="218">
        <v>14.7</v>
      </c>
      <c r="AW570" s="251">
        <f t="shared" si="43"/>
        <v>-14.7</v>
      </c>
      <c r="AX570" s="218">
        <v>0.8</v>
      </c>
      <c r="AY570" s="218">
        <v>0.18</v>
      </c>
      <c r="AZ570" s="218">
        <v>4.5599999999999996</v>
      </c>
      <c r="BL570" s="218">
        <v>14.62</v>
      </c>
      <c r="BM570" s="251">
        <f t="shared" si="44"/>
        <v>-14.62</v>
      </c>
      <c r="BN570" s="218">
        <v>0.8</v>
      </c>
      <c r="BO570" s="218">
        <v>0.18</v>
      </c>
      <c r="BP570" s="218">
        <v>4.55</v>
      </c>
    </row>
    <row r="571" spans="2:68">
      <c r="B571" s="218">
        <v>14.77</v>
      </c>
      <c r="C571" s="218">
        <f t="shared" si="40"/>
        <v>-14.77</v>
      </c>
      <c r="D571" s="218">
        <v>0.8</v>
      </c>
      <c r="E571" s="218">
        <v>0.17</v>
      </c>
      <c r="F571" s="218">
        <v>4.57</v>
      </c>
      <c r="Q571" s="218">
        <v>14.82</v>
      </c>
      <c r="R571" s="251">
        <f t="shared" si="41"/>
        <v>-14.82</v>
      </c>
      <c r="S571" s="218">
        <v>0.8</v>
      </c>
      <c r="T571" s="218">
        <v>0.18</v>
      </c>
      <c r="U571" s="218">
        <v>4.55</v>
      </c>
      <c r="AF571" s="218">
        <v>14.74</v>
      </c>
      <c r="AG571" s="251">
        <f t="shared" si="42"/>
        <v>-14.74</v>
      </c>
      <c r="AH571" s="218">
        <v>0.8</v>
      </c>
      <c r="AI571" s="218">
        <v>0.17</v>
      </c>
      <c r="AJ571" s="218">
        <v>4.5999999999999996</v>
      </c>
      <c r="AV571" s="218">
        <v>14.73</v>
      </c>
      <c r="AW571" s="251">
        <f t="shared" si="43"/>
        <v>-14.73</v>
      </c>
      <c r="AX571" s="218">
        <v>0.8</v>
      </c>
      <c r="AY571" s="218">
        <v>0.18</v>
      </c>
      <c r="AZ571" s="218">
        <v>4.5599999999999996</v>
      </c>
      <c r="BL571" s="218">
        <v>14.65</v>
      </c>
      <c r="BM571" s="251">
        <f t="shared" si="44"/>
        <v>-14.65</v>
      </c>
      <c r="BN571" s="218">
        <v>0.8</v>
      </c>
      <c r="BO571" s="218">
        <v>0.18</v>
      </c>
      <c r="BP571" s="218">
        <v>4.55</v>
      </c>
    </row>
    <row r="572" spans="2:68">
      <c r="B572" s="218">
        <v>14.79</v>
      </c>
      <c r="C572" s="218">
        <f t="shared" si="40"/>
        <v>-14.79</v>
      </c>
      <c r="D572" s="218">
        <v>0.8</v>
      </c>
      <c r="E572" s="218">
        <v>0.17</v>
      </c>
      <c r="F572" s="218">
        <v>4.57</v>
      </c>
      <c r="Q572" s="218">
        <v>14.84</v>
      </c>
      <c r="R572" s="251">
        <f t="shared" si="41"/>
        <v>-14.84</v>
      </c>
      <c r="S572" s="218">
        <v>0.8</v>
      </c>
      <c r="T572" s="218">
        <v>0.18</v>
      </c>
      <c r="U572" s="218">
        <v>4.55</v>
      </c>
      <c r="AF572" s="218">
        <v>14.76</v>
      </c>
      <c r="AG572" s="251">
        <f t="shared" si="42"/>
        <v>-14.76</v>
      </c>
      <c r="AH572" s="218">
        <v>0.8</v>
      </c>
      <c r="AI572" s="218">
        <v>0.17</v>
      </c>
      <c r="AJ572" s="218">
        <v>4.5999999999999996</v>
      </c>
      <c r="AV572" s="218">
        <v>14.75</v>
      </c>
      <c r="AW572" s="251">
        <f t="shared" si="43"/>
        <v>-14.75</v>
      </c>
      <c r="AX572" s="218">
        <v>0.8</v>
      </c>
      <c r="AY572" s="218">
        <v>0.18</v>
      </c>
      <c r="AZ572" s="218">
        <v>4.5599999999999996</v>
      </c>
      <c r="BL572" s="218">
        <v>14.67</v>
      </c>
      <c r="BM572" s="251">
        <f t="shared" si="44"/>
        <v>-14.67</v>
      </c>
      <c r="BN572" s="218">
        <v>0.8</v>
      </c>
      <c r="BO572" s="218">
        <v>0.18</v>
      </c>
      <c r="BP572" s="218">
        <v>4.55</v>
      </c>
    </row>
    <row r="573" spans="2:68">
      <c r="B573" s="218">
        <v>14.82</v>
      </c>
      <c r="C573" s="218">
        <f t="shared" si="40"/>
        <v>-14.82</v>
      </c>
      <c r="D573" s="218">
        <v>0.8</v>
      </c>
      <c r="E573" s="218">
        <v>0.17</v>
      </c>
      <c r="F573" s="218">
        <v>4.57</v>
      </c>
      <c r="Q573" s="218">
        <v>14.87</v>
      </c>
      <c r="R573" s="251">
        <f t="shared" si="41"/>
        <v>-14.87</v>
      </c>
      <c r="S573" s="218">
        <v>0.8</v>
      </c>
      <c r="T573" s="218">
        <v>0.18</v>
      </c>
      <c r="U573" s="218">
        <v>4.55</v>
      </c>
      <c r="AF573" s="218">
        <v>14.79</v>
      </c>
      <c r="AG573" s="251">
        <f t="shared" si="42"/>
        <v>-14.79</v>
      </c>
      <c r="AH573" s="218">
        <v>0.8</v>
      </c>
      <c r="AI573" s="218">
        <v>0.17</v>
      </c>
      <c r="AJ573" s="218">
        <v>4.5999999999999996</v>
      </c>
      <c r="AV573" s="218">
        <v>14.78</v>
      </c>
      <c r="AW573" s="251">
        <f t="shared" si="43"/>
        <v>-14.78</v>
      </c>
      <c r="AX573" s="218">
        <v>0.8</v>
      </c>
      <c r="AY573" s="218">
        <v>0.18</v>
      </c>
      <c r="AZ573" s="218">
        <v>4.5599999999999996</v>
      </c>
      <c r="BL573" s="218">
        <v>14.7</v>
      </c>
      <c r="BM573" s="251">
        <f t="shared" si="44"/>
        <v>-14.7</v>
      </c>
      <c r="BN573" s="218">
        <v>0.8</v>
      </c>
      <c r="BO573" s="218">
        <v>0.18</v>
      </c>
      <c r="BP573" s="218">
        <v>4.55</v>
      </c>
    </row>
    <row r="574" spans="2:68">
      <c r="B574" s="218">
        <v>14.84</v>
      </c>
      <c r="C574" s="218">
        <f t="shared" si="40"/>
        <v>-14.84</v>
      </c>
      <c r="D574" s="218">
        <v>0.8</v>
      </c>
      <c r="E574" s="218">
        <v>0.17</v>
      </c>
      <c r="F574" s="218">
        <v>4.57</v>
      </c>
      <c r="Q574" s="218">
        <v>14.89</v>
      </c>
      <c r="R574" s="251">
        <f t="shared" si="41"/>
        <v>-14.89</v>
      </c>
      <c r="S574" s="218">
        <v>0.8</v>
      </c>
      <c r="T574" s="218">
        <v>0.18</v>
      </c>
      <c r="U574" s="218">
        <v>4.55</v>
      </c>
      <c r="AF574" s="218">
        <v>14.81</v>
      </c>
      <c r="AG574" s="251">
        <f t="shared" si="42"/>
        <v>-14.81</v>
      </c>
      <c r="AH574" s="218">
        <v>0.8</v>
      </c>
      <c r="AI574" s="218">
        <v>0.17</v>
      </c>
      <c r="AJ574" s="218">
        <v>4.5999999999999996</v>
      </c>
      <c r="AV574" s="218">
        <v>14.8</v>
      </c>
      <c r="AW574" s="251">
        <f t="shared" si="43"/>
        <v>-14.8</v>
      </c>
      <c r="AX574" s="218">
        <v>0.8</v>
      </c>
      <c r="AY574" s="218">
        <v>0.18</v>
      </c>
      <c r="AZ574" s="218">
        <v>4.57</v>
      </c>
      <c r="BL574" s="218">
        <v>14.72</v>
      </c>
      <c r="BM574" s="251">
        <f t="shared" si="44"/>
        <v>-14.72</v>
      </c>
      <c r="BN574" s="218">
        <v>0.8</v>
      </c>
      <c r="BO574" s="218">
        <v>0.18</v>
      </c>
      <c r="BP574" s="218">
        <v>4.55</v>
      </c>
    </row>
    <row r="575" spans="2:68">
      <c r="B575" s="218">
        <v>14.87</v>
      </c>
      <c r="C575" s="218">
        <f t="shared" si="40"/>
        <v>-14.87</v>
      </c>
      <c r="D575" s="218">
        <v>0.8</v>
      </c>
      <c r="E575" s="218">
        <v>0.17</v>
      </c>
      <c r="F575" s="218">
        <v>4.57</v>
      </c>
      <c r="Q575" s="218">
        <v>14.92</v>
      </c>
      <c r="R575" s="251">
        <f t="shared" si="41"/>
        <v>-14.92</v>
      </c>
      <c r="S575" s="218">
        <v>0.8</v>
      </c>
      <c r="T575" s="218">
        <v>0.18</v>
      </c>
      <c r="U575" s="218">
        <v>4.55</v>
      </c>
      <c r="AF575" s="218">
        <v>14.84</v>
      </c>
      <c r="AG575" s="251">
        <f t="shared" si="42"/>
        <v>-14.84</v>
      </c>
      <c r="AH575" s="218">
        <v>0.8</v>
      </c>
      <c r="AI575" s="218">
        <v>0.17</v>
      </c>
      <c r="AJ575" s="218">
        <v>4.5999999999999996</v>
      </c>
      <c r="AV575" s="218">
        <v>14.83</v>
      </c>
      <c r="AW575" s="251">
        <f t="shared" si="43"/>
        <v>-14.83</v>
      </c>
      <c r="AX575" s="218">
        <v>0.8</v>
      </c>
      <c r="AY575" s="218">
        <v>0.18</v>
      </c>
      <c r="AZ575" s="218">
        <v>4.57</v>
      </c>
      <c r="BL575" s="218">
        <v>14.75</v>
      </c>
      <c r="BM575" s="251">
        <f t="shared" si="44"/>
        <v>-14.75</v>
      </c>
      <c r="BN575" s="218">
        <v>0.8</v>
      </c>
      <c r="BO575" s="218">
        <v>0.18</v>
      </c>
      <c r="BP575" s="218">
        <v>4.55</v>
      </c>
    </row>
    <row r="576" spans="2:68">
      <c r="B576" s="218">
        <v>14.89</v>
      </c>
      <c r="C576" s="218">
        <f t="shared" si="40"/>
        <v>-14.89</v>
      </c>
      <c r="D576" s="218">
        <v>0.8</v>
      </c>
      <c r="E576" s="218">
        <v>0.17</v>
      </c>
      <c r="F576" s="218">
        <v>4.57</v>
      </c>
      <c r="Q576" s="218">
        <v>14.94</v>
      </c>
      <c r="R576" s="251">
        <f t="shared" si="41"/>
        <v>-14.94</v>
      </c>
      <c r="S576" s="218">
        <v>0.8</v>
      </c>
      <c r="T576" s="218">
        <v>0.18</v>
      </c>
      <c r="U576" s="218">
        <v>4.55</v>
      </c>
      <c r="AF576" s="218">
        <v>14.86</v>
      </c>
      <c r="AG576" s="251">
        <f t="shared" si="42"/>
        <v>-14.86</v>
      </c>
      <c r="AH576" s="218">
        <v>0.8</v>
      </c>
      <c r="AI576" s="218">
        <v>0.17</v>
      </c>
      <c r="AJ576" s="218">
        <v>4.5999999999999996</v>
      </c>
      <c r="AV576" s="218">
        <v>14.85</v>
      </c>
      <c r="AW576" s="251">
        <f t="shared" si="43"/>
        <v>-14.85</v>
      </c>
      <c r="AX576" s="218">
        <v>0.8</v>
      </c>
      <c r="AY576" s="218">
        <v>0.17</v>
      </c>
      <c r="AZ576" s="218">
        <v>4.57</v>
      </c>
      <c r="BL576" s="218">
        <v>14.77</v>
      </c>
      <c r="BM576" s="251">
        <f t="shared" si="44"/>
        <v>-14.77</v>
      </c>
      <c r="BN576" s="218">
        <v>0.8</v>
      </c>
      <c r="BO576" s="218">
        <v>0.18</v>
      </c>
      <c r="BP576" s="218">
        <v>4.55</v>
      </c>
    </row>
    <row r="577" spans="2:68">
      <c r="B577" s="218">
        <v>14.92</v>
      </c>
      <c r="C577" s="218">
        <f t="shared" si="40"/>
        <v>-14.92</v>
      </c>
      <c r="D577" s="218">
        <v>0.8</v>
      </c>
      <c r="E577" s="218">
        <v>0.17</v>
      </c>
      <c r="F577" s="218">
        <v>4.57</v>
      </c>
      <c r="Q577" s="218">
        <v>14.97</v>
      </c>
      <c r="R577" s="251">
        <f t="shared" si="41"/>
        <v>-14.97</v>
      </c>
      <c r="S577" s="218">
        <v>0.8</v>
      </c>
      <c r="T577" s="218">
        <v>0.18</v>
      </c>
      <c r="U577" s="218">
        <v>4.55</v>
      </c>
      <c r="AF577" s="218">
        <v>14.89</v>
      </c>
      <c r="AG577" s="251">
        <f t="shared" si="42"/>
        <v>-14.89</v>
      </c>
      <c r="AH577" s="218">
        <v>0.8</v>
      </c>
      <c r="AI577" s="218">
        <v>0.17</v>
      </c>
      <c r="AJ577" s="218">
        <v>4.5999999999999996</v>
      </c>
      <c r="AV577" s="218">
        <v>14.88</v>
      </c>
      <c r="AW577" s="251">
        <f t="shared" si="43"/>
        <v>-14.88</v>
      </c>
      <c r="AX577" s="218">
        <v>0.8</v>
      </c>
      <c r="AY577" s="218">
        <v>0.17</v>
      </c>
      <c r="AZ577" s="218">
        <v>4.57</v>
      </c>
      <c r="BL577" s="218">
        <v>14.8</v>
      </c>
      <c r="BM577" s="251">
        <f t="shared" si="44"/>
        <v>-14.8</v>
      </c>
      <c r="BN577" s="218">
        <v>0.8</v>
      </c>
      <c r="BO577" s="218">
        <v>0.18</v>
      </c>
      <c r="BP577" s="218">
        <v>4.5599999999999996</v>
      </c>
    </row>
    <row r="578" spans="2:68">
      <c r="B578" s="218">
        <v>14.94</v>
      </c>
      <c r="C578" s="218">
        <f t="shared" si="40"/>
        <v>-14.94</v>
      </c>
      <c r="D578" s="218">
        <v>0.8</v>
      </c>
      <c r="E578" s="218">
        <v>0.17</v>
      </c>
      <c r="F578" s="218">
        <v>4.57</v>
      </c>
      <c r="Q578" s="218">
        <v>14.99</v>
      </c>
      <c r="R578" s="251">
        <f t="shared" si="41"/>
        <v>-14.99</v>
      </c>
      <c r="S578" s="218">
        <v>0.8</v>
      </c>
      <c r="T578" s="218">
        <v>0.18</v>
      </c>
      <c r="U578" s="218">
        <v>4.55</v>
      </c>
      <c r="AF578" s="218">
        <v>14.91</v>
      </c>
      <c r="AG578" s="251">
        <f t="shared" si="42"/>
        <v>-14.91</v>
      </c>
      <c r="AH578" s="218">
        <v>0.8</v>
      </c>
      <c r="AI578" s="218">
        <v>0.17</v>
      </c>
      <c r="AJ578" s="218">
        <v>4.5999999999999996</v>
      </c>
      <c r="AV578" s="218">
        <v>14.9</v>
      </c>
      <c r="AW578" s="251">
        <f t="shared" si="43"/>
        <v>-14.9</v>
      </c>
      <c r="AX578" s="218">
        <v>0.8</v>
      </c>
      <c r="AY578" s="218">
        <v>0.17</v>
      </c>
      <c r="AZ578" s="218">
        <v>4.57</v>
      </c>
      <c r="BL578" s="218">
        <v>14.82</v>
      </c>
      <c r="BM578" s="251">
        <f t="shared" si="44"/>
        <v>-14.82</v>
      </c>
      <c r="BN578" s="218">
        <v>0.8</v>
      </c>
      <c r="BO578" s="218">
        <v>0.18</v>
      </c>
      <c r="BP578" s="218">
        <v>4.5599999999999996</v>
      </c>
    </row>
    <row r="579" spans="2:68">
      <c r="B579" s="218">
        <v>14.97</v>
      </c>
      <c r="C579" s="218">
        <f t="shared" si="40"/>
        <v>-14.97</v>
      </c>
      <c r="D579" s="218">
        <v>0.8</v>
      </c>
      <c r="E579" s="218">
        <v>0.17</v>
      </c>
      <c r="F579" s="218">
        <v>4.57</v>
      </c>
      <c r="Q579" s="218">
        <v>15.02</v>
      </c>
      <c r="R579" s="251">
        <f t="shared" si="41"/>
        <v>-15.02</v>
      </c>
      <c r="S579" s="218">
        <v>0.8</v>
      </c>
      <c r="T579" s="218">
        <v>0.18</v>
      </c>
      <c r="U579" s="218">
        <v>4.55</v>
      </c>
      <c r="AF579" s="218">
        <v>14.94</v>
      </c>
      <c r="AG579" s="251">
        <f t="shared" si="42"/>
        <v>-14.94</v>
      </c>
      <c r="AH579" s="218">
        <v>0.8</v>
      </c>
      <c r="AI579" s="218">
        <v>0.17</v>
      </c>
      <c r="AJ579" s="218">
        <v>4.5999999999999996</v>
      </c>
      <c r="AV579" s="218">
        <v>14.93</v>
      </c>
      <c r="AW579" s="251">
        <f t="shared" si="43"/>
        <v>-14.93</v>
      </c>
      <c r="AX579" s="218">
        <v>0.8</v>
      </c>
      <c r="AY579" s="218">
        <v>0.17</v>
      </c>
      <c r="AZ579" s="218">
        <v>4.57</v>
      </c>
      <c r="BL579" s="218">
        <v>14.85</v>
      </c>
      <c r="BM579" s="251">
        <f t="shared" si="44"/>
        <v>-14.85</v>
      </c>
      <c r="BN579" s="218">
        <v>0.8</v>
      </c>
      <c r="BO579" s="218">
        <v>0.18</v>
      </c>
      <c r="BP579" s="218">
        <v>4.5599999999999996</v>
      </c>
    </row>
    <row r="580" spans="2:68">
      <c r="B580" s="218">
        <v>14.99</v>
      </c>
      <c r="C580" s="218">
        <f t="shared" si="40"/>
        <v>-14.99</v>
      </c>
      <c r="D580" s="218">
        <v>0.8</v>
      </c>
      <c r="E580" s="218">
        <v>0.17</v>
      </c>
      <c r="F580" s="218">
        <v>4.57</v>
      </c>
      <c r="Q580" s="218">
        <v>15.04</v>
      </c>
      <c r="R580" s="251">
        <f t="shared" si="41"/>
        <v>-15.04</v>
      </c>
      <c r="S580" s="218">
        <v>0.8</v>
      </c>
      <c r="T580" s="218">
        <v>0.18</v>
      </c>
      <c r="U580" s="218">
        <v>4.5599999999999996</v>
      </c>
      <c r="AF580" s="218">
        <v>14.96</v>
      </c>
      <c r="AG580" s="251">
        <f t="shared" si="42"/>
        <v>-14.96</v>
      </c>
      <c r="AH580" s="218">
        <v>0.8</v>
      </c>
      <c r="AI580" s="218">
        <v>0.17</v>
      </c>
      <c r="AJ580" s="218">
        <v>4.6100000000000003</v>
      </c>
      <c r="AV580" s="218">
        <v>14.95</v>
      </c>
      <c r="AW580" s="251">
        <f t="shared" si="43"/>
        <v>-14.95</v>
      </c>
      <c r="AX580" s="218">
        <v>0.8</v>
      </c>
      <c r="AY580" s="218">
        <v>0.17</v>
      </c>
      <c r="AZ580" s="218">
        <v>4.57</v>
      </c>
      <c r="BL580" s="218">
        <v>14.87</v>
      </c>
      <c r="BM580" s="251">
        <f t="shared" si="44"/>
        <v>-14.87</v>
      </c>
      <c r="BN580" s="218">
        <v>0.8</v>
      </c>
      <c r="BO580" s="218">
        <v>0.18</v>
      </c>
      <c r="BP580" s="218">
        <v>4.5599999999999996</v>
      </c>
    </row>
    <row r="581" spans="2:68">
      <c r="B581" s="218">
        <v>15.02</v>
      </c>
      <c r="C581" s="218">
        <f t="shared" si="40"/>
        <v>-15.02</v>
      </c>
      <c r="D581" s="218">
        <v>0.8</v>
      </c>
      <c r="E581" s="218">
        <v>0.17</v>
      </c>
      <c r="F581" s="218">
        <v>4.57</v>
      </c>
      <c r="Q581" s="218">
        <v>15.07</v>
      </c>
      <c r="R581" s="251">
        <f t="shared" si="41"/>
        <v>-15.07</v>
      </c>
      <c r="S581" s="218">
        <v>0.8</v>
      </c>
      <c r="T581" s="218">
        <v>0.18</v>
      </c>
      <c r="U581" s="218">
        <v>4.5599999999999996</v>
      </c>
      <c r="AF581" s="218">
        <v>14.99</v>
      </c>
      <c r="AG581" s="251">
        <f t="shared" si="42"/>
        <v>-14.99</v>
      </c>
      <c r="AH581" s="218">
        <v>0.8</v>
      </c>
      <c r="AI581" s="218">
        <v>0.17</v>
      </c>
      <c r="AJ581" s="218">
        <v>4.6100000000000003</v>
      </c>
      <c r="AV581" s="218">
        <v>14.98</v>
      </c>
      <c r="AW581" s="251">
        <f t="shared" si="43"/>
        <v>-14.98</v>
      </c>
      <c r="AX581" s="218">
        <v>0.8</v>
      </c>
      <c r="AY581" s="218">
        <v>0.17</v>
      </c>
      <c r="AZ581" s="218">
        <v>4.57</v>
      </c>
      <c r="BL581" s="218">
        <v>14.9</v>
      </c>
      <c r="BM581" s="251">
        <f t="shared" si="44"/>
        <v>-14.9</v>
      </c>
      <c r="BN581" s="218">
        <v>0.8</v>
      </c>
      <c r="BO581" s="218">
        <v>0.18</v>
      </c>
      <c r="BP581" s="218">
        <v>4.5599999999999996</v>
      </c>
    </row>
    <row r="582" spans="2:68">
      <c r="B582" s="218">
        <v>15.04</v>
      </c>
      <c r="C582" s="218">
        <f t="shared" ref="C582:C645" si="45">$F$2-B582</f>
        <v>-15.04</v>
      </c>
      <c r="D582" s="218">
        <v>0.8</v>
      </c>
      <c r="E582" s="218">
        <v>0.17</v>
      </c>
      <c r="F582" s="218">
        <v>4.57</v>
      </c>
      <c r="Q582" s="218">
        <v>15.09</v>
      </c>
      <c r="R582" s="251">
        <f t="shared" ref="R582:R645" si="46">$U$2-Q582</f>
        <v>-15.09</v>
      </c>
      <c r="S582" s="218">
        <v>0.8</v>
      </c>
      <c r="T582" s="218">
        <v>0.18</v>
      </c>
      <c r="U582" s="218">
        <v>4.5599999999999996</v>
      </c>
      <c r="AF582" s="218">
        <v>15.01</v>
      </c>
      <c r="AG582" s="251">
        <f t="shared" ref="AG582:AG645" si="47">$AJ$2-AF582</f>
        <v>-15.01</v>
      </c>
      <c r="AH582" s="218">
        <v>0.8</v>
      </c>
      <c r="AI582" s="218">
        <v>0.17</v>
      </c>
      <c r="AJ582" s="218">
        <v>4.6100000000000003</v>
      </c>
      <c r="AV582" s="218">
        <v>15</v>
      </c>
      <c r="AW582" s="251">
        <f t="shared" ref="AW582:AW645" si="48">$AZ$2-AV582</f>
        <v>-15</v>
      </c>
      <c r="AX582" s="218">
        <v>0.8</v>
      </c>
      <c r="AY582" s="218">
        <v>0.17</v>
      </c>
      <c r="AZ582" s="218">
        <v>4.57</v>
      </c>
      <c r="BL582" s="218">
        <v>14.92</v>
      </c>
      <c r="BM582" s="251">
        <f t="shared" ref="BM582:BM645" si="49">$AZ$2-BL582</f>
        <v>-14.92</v>
      </c>
      <c r="BN582" s="218">
        <v>0.8</v>
      </c>
      <c r="BO582" s="218">
        <v>0.18</v>
      </c>
      <c r="BP582" s="218">
        <v>4.5599999999999996</v>
      </c>
    </row>
    <row r="583" spans="2:68">
      <c r="B583" s="218">
        <v>15.07</v>
      </c>
      <c r="C583" s="218">
        <f t="shared" si="45"/>
        <v>-15.07</v>
      </c>
      <c r="D583" s="218">
        <v>0.8</v>
      </c>
      <c r="E583" s="218">
        <v>0.17</v>
      </c>
      <c r="F583" s="218">
        <v>4.58</v>
      </c>
      <c r="Q583" s="218">
        <v>15.12</v>
      </c>
      <c r="R583" s="251">
        <f t="shared" si="46"/>
        <v>-15.12</v>
      </c>
      <c r="S583" s="218">
        <v>0.8</v>
      </c>
      <c r="T583" s="218">
        <v>0.18</v>
      </c>
      <c r="U583" s="218">
        <v>4.5599999999999996</v>
      </c>
      <c r="AF583" s="218">
        <v>15.04</v>
      </c>
      <c r="AG583" s="251">
        <f t="shared" si="47"/>
        <v>-15.04</v>
      </c>
      <c r="AH583" s="218">
        <v>0.8</v>
      </c>
      <c r="AI583" s="218">
        <v>0.17</v>
      </c>
      <c r="AJ583" s="218">
        <v>4.6100000000000003</v>
      </c>
      <c r="AV583" s="218">
        <v>15.03</v>
      </c>
      <c r="AW583" s="251">
        <f t="shared" si="48"/>
        <v>-15.03</v>
      </c>
      <c r="AX583" s="218">
        <v>0.8</v>
      </c>
      <c r="AY583" s="218">
        <v>0.17</v>
      </c>
      <c r="AZ583" s="218">
        <v>4.57</v>
      </c>
      <c r="BL583" s="218">
        <v>14.95</v>
      </c>
      <c r="BM583" s="251">
        <f t="shared" si="49"/>
        <v>-14.95</v>
      </c>
      <c r="BN583" s="218">
        <v>0.8</v>
      </c>
      <c r="BO583" s="218">
        <v>0.18</v>
      </c>
      <c r="BP583" s="218">
        <v>4.5599999999999996</v>
      </c>
    </row>
    <row r="584" spans="2:68">
      <c r="B584" s="218">
        <v>15.09</v>
      </c>
      <c r="C584" s="218">
        <f t="shared" si="45"/>
        <v>-15.09</v>
      </c>
      <c r="D584" s="218">
        <v>0.8</v>
      </c>
      <c r="E584" s="218">
        <v>0.17</v>
      </c>
      <c r="F584" s="218">
        <v>4.58</v>
      </c>
      <c r="Q584" s="218">
        <v>15.14</v>
      </c>
      <c r="R584" s="251">
        <f t="shared" si="46"/>
        <v>-15.14</v>
      </c>
      <c r="S584" s="218">
        <v>0.8</v>
      </c>
      <c r="T584" s="218">
        <v>0.17</v>
      </c>
      <c r="U584" s="218">
        <v>4.5599999999999996</v>
      </c>
      <c r="AF584" s="218">
        <v>15.06</v>
      </c>
      <c r="AG584" s="251">
        <f t="shared" si="47"/>
        <v>-15.06</v>
      </c>
      <c r="AH584" s="218">
        <v>0.8</v>
      </c>
      <c r="AI584" s="218">
        <v>0.17</v>
      </c>
      <c r="AJ584" s="218">
        <v>4.6100000000000003</v>
      </c>
      <c r="AV584" s="218">
        <v>15.05</v>
      </c>
      <c r="AW584" s="251">
        <f t="shared" si="48"/>
        <v>-15.05</v>
      </c>
      <c r="AX584" s="218">
        <v>0.8</v>
      </c>
      <c r="AY584" s="218">
        <v>0.17</v>
      </c>
      <c r="AZ584" s="218">
        <v>4.57</v>
      </c>
      <c r="BL584" s="218">
        <v>14.97</v>
      </c>
      <c r="BM584" s="251">
        <f t="shared" si="49"/>
        <v>-14.97</v>
      </c>
      <c r="BN584" s="218">
        <v>0.8</v>
      </c>
      <c r="BO584" s="218">
        <v>0.18</v>
      </c>
      <c r="BP584" s="218">
        <v>4.5599999999999996</v>
      </c>
    </row>
    <row r="585" spans="2:68">
      <c r="B585" s="218">
        <v>15.12</v>
      </c>
      <c r="C585" s="218">
        <f t="shared" si="45"/>
        <v>-15.12</v>
      </c>
      <c r="D585" s="218">
        <v>0.8</v>
      </c>
      <c r="E585" s="218">
        <v>0.17</v>
      </c>
      <c r="F585" s="218">
        <v>4.58</v>
      </c>
      <c r="Q585" s="218">
        <v>15.17</v>
      </c>
      <c r="R585" s="251">
        <f t="shared" si="46"/>
        <v>-15.17</v>
      </c>
      <c r="S585" s="218">
        <v>0.8</v>
      </c>
      <c r="T585" s="218">
        <v>0.17</v>
      </c>
      <c r="U585" s="218">
        <v>4.5599999999999996</v>
      </c>
      <c r="AF585" s="218">
        <v>15.09</v>
      </c>
      <c r="AG585" s="251">
        <f t="shared" si="47"/>
        <v>-15.09</v>
      </c>
      <c r="AH585" s="218">
        <v>0.8</v>
      </c>
      <c r="AI585" s="218">
        <v>0.17</v>
      </c>
      <c r="AJ585" s="218">
        <v>4.6100000000000003</v>
      </c>
      <c r="AV585" s="218">
        <v>15.08</v>
      </c>
      <c r="AW585" s="251">
        <f t="shared" si="48"/>
        <v>-15.08</v>
      </c>
      <c r="AX585" s="218">
        <v>0.8</v>
      </c>
      <c r="AY585" s="218">
        <v>0.17</v>
      </c>
      <c r="AZ585" s="218">
        <v>4.57</v>
      </c>
      <c r="BL585" s="218">
        <v>15</v>
      </c>
      <c r="BM585" s="251">
        <f t="shared" si="49"/>
        <v>-15</v>
      </c>
      <c r="BN585" s="218">
        <v>0.8</v>
      </c>
      <c r="BO585" s="218">
        <v>0.18</v>
      </c>
      <c r="BP585" s="218">
        <v>4.5599999999999996</v>
      </c>
    </row>
    <row r="586" spans="2:68">
      <c r="B586" s="218">
        <v>15.14</v>
      </c>
      <c r="C586" s="218">
        <f t="shared" si="45"/>
        <v>-15.14</v>
      </c>
      <c r="D586" s="218">
        <v>0.8</v>
      </c>
      <c r="E586" s="218">
        <v>0.17</v>
      </c>
      <c r="F586" s="218">
        <v>4.58</v>
      </c>
      <c r="Q586" s="218">
        <v>15.19</v>
      </c>
      <c r="R586" s="251">
        <f t="shared" si="46"/>
        <v>-15.19</v>
      </c>
      <c r="S586" s="218">
        <v>0.8</v>
      </c>
      <c r="T586" s="218">
        <v>0.17</v>
      </c>
      <c r="U586" s="218">
        <v>4.5599999999999996</v>
      </c>
      <c r="AF586" s="218">
        <v>15.11</v>
      </c>
      <c r="AG586" s="251">
        <f t="shared" si="47"/>
        <v>-15.11</v>
      </c>
      <c r="AH586" s="218">
        <v>0.8</v>
      </c>
      <c r="AI586" s="218">
        <v>0.17</v>
      </c>
      <c r="AJ586" s="218">
        <v>4.6100000000000003</v>
      </c>
      <c r="AV586" s="218">
        <v>15.1</v>
      </c>
      <c r="AW586" s="251">
        <f t="shared" si="48"/>
        <v>-15.1</v>
      </c>
      <c r="AX586" s="218">
        <v>0.8</v>
      </c>
      <c r="AY586" s="218">
        <v>0.17</v>
      </c>
      <c r="AZ586" s="218">
        <v>4.57</v>
      </c>
      <c r="BL586" s="218">
        <v>15.02</v>
      </c>
      <c r="BM586" s="251">
        <f t="shared" si="49"/>
        <v>-15.02</v>
      </c>
      <c r="BN586" s="218">
        <v>0.8</v>
      </c>
      <c r="BO586" s="218">
        <v>0.18</v>
      </c>
      <c r="BP586" s="218">
        <v>4.5599999999999996</v>
      </c>
    </row>
    <row r="587" spans="2:68">
      <c r="B587" s="218">
        <v>15.17</v>
      </c>
      <c r="C587" s="218">
        <f t="shared" si="45"/>
        <v>-15.17</v>
      </c>
      <c r="D587" s="218">
        <v>0.8</v>
      </c>
      <c r="E587" s="218">
        <v>0.17</v>
      </c>
      <c r="F587" s="218">
        <v>4.58</v>
      </c>
      <c r="Q587" s="218">
        <v>15.22</v>
      </c>
      <c r="R587" s="251">
        <f t="shared" si="46"/>
        <v>-15.22</v>
      </c>
      <c r="S587" s="218">
        <v>0.8</v>
      </c>
      <c r="T587" s="218">
        <v>0.17</v>
      </c>
      <c r="U587" s="218">
        <v>4.5599999999999996</v>
      </c>
      <c r="AF587" s="218">
        <v>15.14</v>
      </c>
      <c r="AG587" s="251">
        <f t="shared" si="47"/>
        <v>-15.14</v>
      </c>
      <c r="AH587" s="218">
        <v>0.8</v>
      </c>
      <c r="AI587" s="218">
        <v>0.17</v>
      </c>
      <c r="AJ587" s="218">
        <v>4.6100000000000003</v>
      </c>
      <c r="AV587" s="218">
        <v>15.13</v>
      </c>
      <c r="AW587" s="251">
        <f t="shared" si="48"/>
        <v>-15.13</v>
      </c>
      <c r="AX587" s="218">
        <v>0.8</v>
      </c>
      <c r="AY587" s="218">
        <v>0.17</v>
      </c>
      <c r="AZ587" s="218">
        <v>4.58</v>
      </c>
      <c r="BL587" s="218">
        <v>15.05</v>
      </c>
      <c r="BM587" s="251">
        <f t="shared" si="49"/>
        <v>-15.05</v>
      </c>
      <c r="BN587" s="218">
        <v>0.8</v>
      </c>
      <c r="BO587" s="218">
        <v>0.17</v>
      </c>
      <c r="BP587" s="218">
        <v>4.5599999999999996</v>
      </c>
    </row>
    <row r="588" spans="2:68">
      <c r="B588" s="218">
        <v>15.19</v>
      </c>
      <c r="C588" s="218">
        <f t="shared" si="45"/>
        <v>-15.19</v>
      </c>
      <c r="D588" s="218">
        <v>0.8</v>
      </c>
      <c r="E588" s="218">
        <v>0.17</v>
      </c>
      <c r="F588" s="218">
        <v>4.58</v>
      </c>
      <c r="Q588" s="218">
        <v>15.24</v>
      </c>
      <c r="R588" s="251">
        <f t="shared" si="46"/>
        <v>-15.24</v>
      </c>
      <c r="S588" s="218">
        <v>0.8</v>
      </c>
      <c r="T588" s="218">
        <v>0.17</v>
      </c>
      <c r="U588" s="218">
        <v>4.5599999999999996</v>
      </c>
      <c r="AF588" s="218">
        <v>15.16</v>
      </c>
      <c r="AG588" s="251">
        <f t="shared" si="47"/>
        <v>-15.16</v>
      </c>
      <c r="AH588" s="218">
        <v>0.8</v>
      </c>
      <c r="AI588" s="218">
        <v>0.17</v>
      </c>
      <c r="AJ588" s="218">
        <v>4.6100000000000003</v>
      </c>
      <c r="AV588" s="218">
        <v>15.15</v>
      </c>
      <c r="AW588" s="251">
        <f t="shared" si="48"/>
        <v>-15.15</v>
      </c>
      <c r="AX588" s="218">
        <v>0.8</v>
      </c>
      <c r="AY588" s="218">
        <v>0.17</v>
      </c>
      <c r="AZ588" s="218">
        <v>4.58</v>
      </c>
      <c r="BL588" s="218">
        <v>15.07</v>
      </c>
      <c r="BM588" s="251">
        <f t="shared" si="49"/>
        <v>-15.07</v>
      </c>
      <c r="BN588" s="218">
        <v>0.8</v>
      </c>
      <c r="BO588" s="218">
        <v>0.17</v>
      </c>
      <c r="BP588" s="218">
        <v>4.5599999999999996</v>
      </c>
    </row>
    <row r="589" spans="2:68">
      <c r="B589" s="218">
        <v>15.22</v>
      </c>
      <c r="C589" s="218">
        <f t="shared" si="45"/>
        <v>-15.22</v>
      </c>
      <c r="D589" s="218">
        <v>0.8</v>
      </c>
      <c r="E589" s="218">
        <v>0.17</v>
      </c>
      <c r="F589" s="218">
        <v>4.58</v>
      </c>
      <c r="Q589" s="218">
        <v>15.27</v>
      </c>
      <c r="R589" s="251">
        <f t="shared" si="46"/>
        <v>-15.27</v>
      </c>
      <c r="S589" s="218">
        <v>0.8</v>
      </c>
      <c r="T589" s="218">
        <v>0.17</v>
      </c>
      <c r="U589" s="218">
        <v>4.5599999999999996</v>
      </c>
      <c r="AF589" s="218">
        <v>15.19</v>
      </c>
      <c r="AG589" s="251">
        <f t="shared" si="47"/>
        <v>-15.19</v>
      </c>
      <c r="AH589" s="218">
        <v>0.8</v>
      </c>
      <c r="AI589" s="218">
        <v>0.17</v>
      </c>
      <c r="AJ589" s="218">
        <v>4.6100000000000003</v>
      </c>
      <c r="AV589" s="218">
        <v>15.18</v>
      </c>
      <c r="AW589" s="251">
        <f t="shared" si="48"/>
        <v>-15.18</v>
      </c>
      <c r="AX589" s="218">
        <v>0.8</v>
      </c>
      <c r="AY589" s="218">
        <v>0.17</v>
      </c>
      <c r="AZ589" s="218">
        <v>4.58</v>
      </c>
      <c r="BL589" s="218">
        <v>15.1</v>
      </c>
      <c r="BM589" s="251">
        <f t="shared" si="49"/>
        <v>-15.1</v>
      </c>
      <c r="BN589" s="218">
        <v>0.8</v>
      </c>
      <c r="BO589" s="218">
        <v>0.17</v>
      </c>
      <c r="BP589" s="218">
        <v>4.5599999999999996</v>
      </c>
    </row>
    <row r="590" spans="2:68">
      <c r="B590" s="218">
        <v>15.24</v>
      </c>
      <c r="C590" s="218">
        <f t="shared" si="45"/>
        <v>-15.24</v>
      </c>
      <c r="D590" s="218">
        <v>0.8</v>
      </c>
      <c r="E590" s="218">
        <v>0.17</v>
      </c>
      <c r="F590" s="218">
        <v>4.58</v>
      </c>
      <c r="Q590" s="218">
        <v>15.29</v>
      </c>
      <c r="R590" s="251">
        <f t="shared" si="46"/>
        <v>-15.29</v>
      </c>
      <c r="S590" s="218">
        <v>0.8</v>
      </c>
      <c r="T590" s="218">
        <v>0.17</v>
      </c>
      <c r="U590" s="218">
        <v>4.5599999999999996</v>
      </c>
      <c r="AF590" s="218">
        <v>15.21</v>
      </c>
      <c r="AG590" s="251">
        <f t="shared" si="47"/>
        <v>-15.21</v>
      </c>
      <c r="AH590" s="218">
        <v>0.8</v>
      </c>
      <c r="AI590" s="218">
        <v>0.17</v>
      </c>
      <c r="AJ590" s="218">
        <v>4.6100000000000003</v>
      </c>
      <c r="AV590" s="218">
        <v>15.2</v>
      </c>
      <c r="AW590" s="251">
        <f t="shared" si="48"/>
        <v>-15.2</v>
      </c>
      <c r="AX590" s="218">
        <v>0.8</v>
      </c>
      <c r="AY590" s="218">
        <v>0.17</v>
      </c>
      <c r="AZ590" s="218">
        <v>4.58</v>
      </c>
      <c r="BL590" s="218">
        <v>15.12</v>
      </c>
      <c r="BM590" s="251">
        <f t="shared" si="49"/>
        <v>-15.12</v>
      </c>
      <c r="BN590" s="218">
        <v>0.8</v>
      </c>
      <c r="BO590" s="218">
        <v>0.17</v>
      </c>
      <c r="BP590" s="218">
        <v>4.57</v>
      </c>
    </row>
    <row r="591" spans="2:68">
      <c r="B591" s="218">
        <v>15.27</v>
      </c>
      <c r="C591" s="218">
        <f t="shared" si="45"/>
        <v>-15.27</v>
      </c>
      <c r="D591" s="218">
        <v>0.8</v>
      </c>
      <c r="E591" s="218">
        <v>0.17</v>
      </c>
      <c r="F591" s="218">
        <v>4.58</v>
      </c>
      <c r="Q591" s="218">
        <v>15.32</v>
      </c>
      <c r="R591" s="251">
        <f t="shared" si="46"/>
        <v>-15.32</v>
      </c>
      <c r="S591" s="218">
        <v>0.8</v>
      </c>
      <c r="T591" s="218">
        <v>0.17</v>
      </c>
      <c r="U591" s="218">
        <v>4.57</v>
      </c>
      <c r="AF591" s="218">
        <v>15.24</v>
      </c>
      <c r="AG591" s="251">
        <f t="shared" si="47"/>
        <v>-15.24</v>
      </c>
      <c r="AH591" s="218">
        <v>0.8</v>
      </c>
      <c r="AI591" s="218">
        <v>0.17</v>
      </c>
      <c r="AJ591" s="218">
        <v>4.6100000000000003</v>
      </c>
      <c r="AV591" s="218">
        <v>15.23</v>
      </c>
      <c r="AW591" s="251">
        <f t="shared" si="48"/>
        <v>-15.23</v>
      </c>
      <c r="AX591" s="218">
        <v>0.8</v>
      </c>
      <c r="AY591" s="218">
        <v>0.17</v>
      </c>
      <c r="AZ591" s="218">
        <v>4.58</v>
      </c>
      <c r="BL591" s="218">
        <v>15.15</v>
      </c>
      <c r="BM591" s="251">
        <f t="shared" si="49"/>
        <v>-15.15</v>
      </c>
      <c r="BN591" s="218">
        <v>0.8</v>
      </c>
      <c r="BO591" s="218">
        <v>0.17</v>
      </c>
      <c r="BP591" s="218">
        <v>4.57</v>
      </c>
    </row>
    <row r="592" spans="2:68">
      <c r="B592" s="218">
        <v>15.29</v>
      </c>
      <c r="C592" s="218">
        <f t="shared" si="45"/>
        <v>-15.29</v>
      </c>
      <c r="D592" s="218">
        <v>0.8</v>
      </c>
      <c r="E592" s="218">
        <v>0.17</v>
      </c>
      <c r="F592" s="218">
        <v>4.58</v>
      </c>
      <c r="Q592" s="218">
        <v>15.34</v>
      </c>
      <c r="R592" s="251">
        <f t="shared" si="46"/>
        <v>-15.34</v>
      </c>
      <c r="S592" s="218">
        <v>0.8</v>
      </c>
      <c r="T592" s="218">
        <v>0.17</v>
      </c>
      <c r="U592" s="218">
        <v>4.57</v>
      </c>
      <c r="AF592" s="218">
        <v>15.26</v>
      </c>
      <c r="AG592" s="251">
        <f t="shared" si="47"/>
        <v>-15.26</v>
      </c>
      <c r="AH592" s="218">
        <v>0.8</v>
      </c>
      <c r="AI592" s="218">
        <v>0.17</v>
      </c>
      <c r="AJ592" s="218">
        <v>4.62</v>
      </c>
      <c r="AV592" s="218">
        <v>15.25</v>
      </c>
      <c r="AW592" s="251">
        <f t="shared" si="48"/>
        <v>-15.25</v>
      </c>
      <c r="AX592" s="218">
        <v>0.8</v>
      </c>
      <c r="AY592" s="218">
        <v>0.17</v>
      </c>
      <c r="AZ592" s="218">
        <v>4.58</v>
      </c>
      <c r="BL592" s="218">
        <v>15.17</v>
      </c>
      <c r="BM592" s="251">
        <f t="shared" si="49"/>
        <v>-15.17</v>
      </c>
      <c r="BN592" s="218">
        <v>0.8</v>
      </c>
      <c r="BO592" s="218">
        <v>0.17</v>
      </c>
      <c r="BP592" s="218">
        <v>4.57</v>
      </c>
    </row>
    <row r="593" spans="2:68">
      <c r="B593" s="218">
        <v>15.32</v>
      </c>
      <c r="C593" s="218">
        <f t="shared" si="45"/>
        <v>-15.32</v>
      </c>
      <c r="D593" s="218">
        <v>0.79</v>
      </c>
      <c r="E593" s="218">
        <v>0.17</v>
      </c>
      <c r="F593" s="218">
        <v>4.58</v>
      </c>
      <c r="Q593" s="218">
        <v>15.37</v>
      </c>
      <c r="R593" s="251">
        <f t="shared" si="46"/>
        <v>-15.37</v>
      </c>
      <c r="S593" s="218">
        <v>0.8</v>
      </c>
      <c r="T593" s="218">
        <v>0.17</v>
      </c>
      <c r="U593" s="218">
        <v>4.57</v>
      </c>
      <c r="AF593" s="218">
        <v>15.29</v>
      </c>
      <c r="AG593" s="251">
        <f t="shared" si="47"/>
        <v>-15.29</v>
      </c>
      <c r="AH593" s="218">
        <v>0.8</v>
      </c>
      <c r="AI593" s="218">
        <v>0.17</v>
      </c>
      <c r="AJ593" s="218">
        <v>4.62</v>
      </c>
      <c r="AV593" s="218">
        <v>15.28</v>
      </c>
      <c r="AW593" s="251">
        <f t="shared" si="48"/>
        <v>-15.28</v>
      </c>
      <c r="AX593" s="218">
        <v>0.8</v>
      </c>
      <c r="AY593" s="218">
        <v>0.17</v>
      </c>
      <c r="AZ593" s="218">
        <v>4.58</v>
      </c>
      <c r="BL593" s="218">
        <v>15.2</v>
      </c>
      <c r="BM593" s="251">
        <f t="shared" si="49"/>
        <v>-15.2</v>
      </c>
      <c r="BN593" s="218">
        <v>0.8</v>
      </c>
      <c r="BO593" s="218">
        <v>0.17</v>
      </c>
      <c r="BP593" s="218">
        <v>4.57</v>
      </c>
    </row>
    <row r="594" spans="2:68">
      <c r="B594" s="218">
        <v>15.34</v>
      </c>
      <c r="C594" s="218">
        <f t="shared" si="45"/>
        <v>-15.34</v>
      </c>
      <c r="D594" s="218">
        <v>0.79</v>
      </c>
      <c r="E594" s="218">
        <v>0.17</v>
      </c>
      <c r="F594" s="218">
        <v>4.59</v>
      </c>
      <c r="Q594" s="218">
        <v>15.39</v>
      </c>
      <c r="R594" s="251">
        <f t="shared" si="46"/>
        <v>-15.39</v>
      </c>
      <c r="S594" s="218">
        <v>0.8</v>
      </c>
      <c r="T594" s="218">
        <v>0.17</v>
      </c>
      <c r="U594" s="218">
        <v>4.57</v>
      </c>
      <c r="AF594" s="218">
        <v>15.31</v>
      </c>
      <c r="AG594" s="251">
        <f t="shared" si="47"/>
        <v>-15.31</v>
      </c>
      <c r="AH594" s="218">
        <v>0.8</v>
      </c>
      <c r="AI594" s="218">
        <v>0.17</v>
      </c>
      <c r="AJ594" s="218">
        <v>4.62</v>
      </c>
      <c r="AV594" s="218">
        <v>15.3</v>
      </c>
      <c r="AW594" s="251">
        <f t="shared" si="48"/>
        <v>-15.3</v>
      </c>
      <c r="AX594" s="218">
        <v>0.8</v>
      </c>
      <c r="AY594" s="218">
        <v>0.17</v>
      </c>
      <c r="AZ594" s="218">
        <v>4.58</v>
      </c>
      <c r="BL594" s="218">
        <v>15.22</v>
      </c>
      <c r="BM594" s="251">
        <f t="shared" si="49"/>
        <v>-15.22</v>
      </c>
      <c r="BN594" s="218">
        <v>0.8</v>
      </c>
      <c r="BO594" s="218">
        <v>0.17</v>
      </c>
      <c r="BP594" s="218">
        <v>4.57</v>
      </c>
    </row>
    <row r="595" spans="2:68">
      <c r="B595" s="218">
        <v>15.37</v>
      </c>
      <c r="C595" s="218">
        <f t="shared" si="45"/>
        <v>-15.37</v>
      </c>
      <c r="D595" s="218">
        <v>0.79</v>
      </c>
      <c r="E595" s="218">
        <v>0.17</v>
      </c>
      <c r="F595" s="218">
        <v>4.59</v>
      </c>
      <c r="Q595" s="218">
        <v>15.42</v>
      </c>
      <c r="R595" s="251">
        <f t="shared" si="46"/>
        <v>-15.42</v>
      </c>
      <c r="S595" s="218">
        <v>0.8</v>
      </c>
      <c r="T595" s="218">
        <v>0.17</v>
      </c>
      <c r="U595" s="218">
        <v>4.57</v>
      </c>
      <c r="AF595" s="218">
        <v>15.34</v>
      </c>
      <c r="AG595" s="251">
        <f t="shared" si="47"/>
        <v>-15.34</v>
      </c>
      <c r="AH595" s="218">
        <v>0.8</v>
      </c>
      <c r="AI595" s="218">
        <v>0.17</v>
      </c>
      <c r="AJ595" s="218">
        <v>4.62</v>
      </c>
      <c r="AV595" s="218">
        <v>15.33</v>
      </c>
      <c r="AW595" s="251">
        <f t="shared" si="48"/>
        <v>-15.33</v>
      </c>
      <c r="AX595" s="218">
        <v>0.8</v>
      </c>
      <c r="AY595" s="218">
        <v>0.17</v>
      </c>
      <c r="AZ595" s="218">
        <v>4.58</v>
      </c>
      <c r="BL595" s="218">
        <v>15.25</v>
      </c>
      <c r="BM595" s="251">
        <f t="shared" si="49"/>
        <v>-15.25</v>
      </c>
      <c r="BN595" s="218">
        <v>0.8</v>
      </c>
      <c r="BO595" s="218">
        <v>0.17</v>
      </c>
      <c r="BP595" s="218">
        <v>4.57</v>
      </c>
    </row>
    <row r="596" spans="2:68">
      <c r="B596" s="218">
        <v>15.39</v>
      </c>
      <c r="C596" s="218">
        <f t="shared" si="45"/>
        <v>-15.39</v>
      </c>
      <c r="D596" s="218">
        <v>0.79</v>
      </c>
      <c r="E596" s="218">
        <v>0.17</v>
      </c>
      <c r="F596" s="218">
        <v>4.59</v>
      </c>
      <c r="Q596" s="218">
        <v>15.44</v>
      </c>
      <c r="R596" s="251">
        <f t="shared" si="46"/>
        <v>-15.44</v>
      </c>
      <c r="S596" s="218">
        <v>0.8</v>
      </c>
      <c r="T596" s="218">
        <v>0.17</v>
      </c>
      <c r="U596" s="218">
        <v>4.57</v>
      </c>
      <c r="AF596" s="218">
        <v>15.36</v>
      </c>
      <c r="AG596" s="251">
        <f t="shared" si="47"/>
        <v>-15.36</v>
      </c>
      <c r="AH596" s="218">
        <v>0.8</v>
      </c>
      <c r="AI596" s="218">
        <v>0.17</v>
      </c>
      <c r="AJ596" s="218">
        <v>4.62</v>
      </c>
      <c r="AV596" s="218">
        <v>15.35</v>
      </c>
      <c r="AW596" s="251">
        <f t="shared" si="48"/>
        <v>-15.35</v>
      </c>
      <c r="AX596" s="218">
        <v>0.8</v>
      </c>
      <c r="AY596" s="218">
        <v>0.17</v>
      </c>
      <c r="AZ596" s="218">
        <v>4.58</v>
      </c>
      <c r="BL596" s="218">
        <v>15.27</v>
      </c>
      <c r="BM596" s="251">
        <f t="shared" si="49"/>
        <v>-15.27</v>
      </c>
      <c r="BN596" s="218">
        <v>0.8</v>
      </c>
      <c r="BO596" s="218">
        <v>0.17</v>
      </c>
      <c r="BP596" s="218">
        <v>4.57</v>
      </c>
    </row>
    <row r="597" spans="2:68">
      <c r="B597" s="218">
        <v>15.42</v>
      </c>
      <c r="C597" s="218">
        <f t="shared" si="45"/>
        <v>-15.42</v>
      </c>
      <c r="D597" s="218">
        <v>0.79</v>
      </c>
      <c r="E597" s="218">
        <v>0.17</v>
      </c>
      <c r="F597" s="218">
        <v>4.59</v>
      </c>
      <c r="Q597" s="218">
        <v>15.47</v>
      </c>
      <c r="R597" s="251">
        <f t="shared" si="46"/>
        <v>-15.47</v>
      </c>
      <c r="S597" s="218">
        <v>0.8</v>
      </c>
      <c r="T597" s="218">
        <v>0.17</v>
      </c>
      <c r="U597" s="218">
        <v>4.57</v>
      </c>
      <c r="AF597" s="218">
        <v>15.39</v>
      </c>
      <c r="AG597" s="251">
        <f t="shared" si="47"/>
        <v>-15.39</v>
      </c>
      <c r="AH597" s="218">
        <v>0.79</v>
      </c>
      <c r="AI597" s="218">
        <v>0.17</v>
      </c>
      <c r="AJ597" s="218">
        <v>4.62</v>
      </c>
      <c r="AV597" s="218">
        <v>15.38</v>
      </c>
      <c r="AW597" s="251">
        <f t="shared" si="48"/>
        <v>-15.38</v>
      </c>
      <c r="AX597" s="218">
        <v>0.8</v>
      </c>
      <c r="AY597" s="218">
        <v>0.17</v>
      </c>
      <c r="AZ597" s="218">
        <v>4.59</v>
      </c>
      <c r="BL597" s="218">
        <v>15.3</v>
      </c>
      <c r="BM597" s="251">
        <f t="shared" si="49"/>
        <v>-15.3</v>
      </c>
      <c r="BN597" s="218">
        <v>0.8</v>
      </c>
      <c r="BO597" s="218">
        <v>0.17</v>
      </c>
      <c r="BP597" s="218">
        <v>4.57</v>
      </c>
    </row>
    <row r="598" spans="2:68">
      <c r="B598" s="218">
        <v>15.44</v>
      </c>
      <c r="C598" s="218">
        <f t="shared" si="45"/>
        <v>-15.44</v>
      </c>
      <c r="D598" s="218">
        <v>0.79</v>
      </c>
      <c r="E598" s="218">
        <v>0.17</v>
      </c>
      <c r="F598" s="218">
        <v>4.59</v>
      </c>
      <c r="Q598" s="218">
        <v>15.49</v>
      </c>
      <c r="R598" s="251">
        <f t="shared" si="46"/>
        <v>-15.49</v>
      </c>
      <c r="S598" s="218">
        <v>0.8</v>
      </c>
      <c r="T598" s="218">
        <v>0.17</v>
      </c>
      <c r="U598" s="218">
        <v>4.57</v>
      </c>
      <c r="AF598" s="218">
        <v>15.41</v>
      </c>
      <c r="AG598" s="251">
        <f t="shared" si="47"/>
        <v>-15.41</v>
      </c>
      <c r="AH598" s="218">
        <v>0.79</v>
      </c>
      <c r="AI598" s="218">
        <v>0.17</v>
      </c>
      <c r="AJ598" s="218">
        <v>4.62</v>
      </c>
      <c r="AV598" s="218">
        <v>15.4</v>
      </c>
      <c r="AW598" s="251">
        <f t="shared" si="48"/>
        <v>-15.4</v>
      </c>
      <c r="AX598" s="218">
        <v>0.79</v>
      </c>
      <c r="AY598" s="218">
        <v>0.17</v>
      </c>
      <c r="AZ598" s="218">
        <v>4.59</v>
      </c>
      <c r="BL598" s="218">
        <v>15.32</v>
      </c>
      <c r="BM598" s="251">
        <f t="shared" si="49"/>
        <v>-15.32</v>
      </c>
      <c r="BN598" s="218">
        <v>0.8</v>
      </c>
      <c r="BO598" s="218">
        <v>0.17</v>
      </c>
      <c r="BP598" s="218">
        <v>4.57</v>
      </c>
    </row>
    <row r="599" spans="2:68">
      <c r="B599" s="218">
        <v>15.47</v>
      </c>
      <c r="C599" s="218">
        <f t="shared" si="45"/>
        <v>-15.47</v>
      </c>
      <c r="D599" s="218">
        <v>0.79</v>
      </c>
      <c r="E599" s="218">
        <v>0.17</v>
      </c>
      <c r="F599" s="218">
        <v>4.59</v>
      </c>
      <c r="Q599" s="218">
        <v>15.52</v>
      </c>
      <c r="R599" s="251">
        <f t="shared" si="46"/>
        <v>-15.52</v>
      </c>
      <c r="S599" s="218">
        <v>0.79</v>
      </c>
      <c r="T599" s="218">
        <v>0.17</v>
      </c>
      <c r="U599" s="218">
        <v>4.57</v>
      </c>
      <c r="AF599" s="218">
        <v>15.44</v>
      </c>
      <c r="AG599" s="251">
        <f t="shared" si="47"/>
        <v>-15.44</v>
      </c>
      <c r="AH599" s="218">
        <v>0.79</v>
      </c>
      <c r="AI599" s="218">
        <v>0.17</v>
      </c>
      <c r="AJ599" s="218">
        <v>4.62</v>
      </c>
      <c r="AV599" s="218">
        <v>15.43</v>
      </c>
      <c r="AW599" s="251">
        <f t="shared" si="48"/>
        <v>-15.43</v>
      </c>
      <c r="AX599" s="218">
        <v>0.79</v>
      </c>
      <c r="AY599" s="218">
        <v>0.17</v>
      </c>
      <c r="AZ599" s="218">
        <v>4.59</v>
      </c>
      <c r="BL599" s="218">
        <v>15.35</v>
      </c>
      <c r="BM599" s="251">
        <f t="shared" si="49"/>
        <v>-15.35</v>
      </c>
      <c r="BN599" s="218">
        <v>0.8</v>
      </c>
      <c r="BO599" s="218">
        <v>0.17</v>
      </c>
      <c r="BP599" s="218">
        <v>4.57</v>
      </c>
    </row>
    <row r="600" spans="2:68">
      <c r="B600" s="218">
        <v>15.49</v>
      </c>
      <c r="C600" s="218">
        <f t="shared" si="45"/>
        <v>-15.49</v>
      </c>
      <c r="D600" s="218">
        <v>0.79</v>
      </c>
      <c r="E600" s="218">
        <v>0.17</v>
      </c>
      <c r="F600" s="218">
        <v>4.59</v>
      </c>
      <c r="Q600" s="218">
        <v>15.54</v>
      </c>
      <c r="R600" s="251">
        <f t="shared" si="46"/>
        <v>-15.54</v>
      </c>
      <c r="S600" s="218">
        <v>0.79</v>
      </c>
      <c r="T600" s="218">
        <v>0.17</v>
      </c>
      <c r="U600" s="218">
        <v>4.57</v>
      </c>
      <c r="AF600" s="218">
        <v>15.46</v>
      </c>
      <c r="AG600" s="251">
        <f t="shared" si="47"/>
        <v>-15.46</v>
      </c>
      <c r="AH600" s="218">
        <v>0.79</v>
      </c>
      <c r="AI600" s="218">
        <v>0.17</v>
      </c>
      <c r="AJ600" s="218">
        <v>4.62</v>
      </c>
      <c r="AV600" s="218">
        <v>15.45</v>
      </c>
      <c r="AW600" s="251">
        <f t="shared" si="48"/>
        <v>-15.45</v>
      </c>
      <c r="AX600" s="218">
        <v>0.79</v>
      </c>
      <c r="AY600" s="218">
        <v>0.17</v>
      </c>
      <c r="AZ600" s="218">
        <v>4.59</v>
      </c>
      <c r="BL600" s="218">
        <v>15.37</v>
      </c>
      <c r="BM600" s="251">
        <f t="shared" si="49"/>
        <v>-15.37</v>
      </c>
      <c r="BN600" s="218">
        <v>0.8</v>
      </c>
      <c r="BO600" s="218">
        <v>0.17</v>
      </c>
      <c r="BP600" s="218">
        <v>4.58</v>
      </c>
    </row>
    <row r="601" spans="2:68">
      <c r="B601" s="218">
        <v>15.52</v>
      </c>
      <c r="C601" s="218">
        <f t="shared" si="45"/>
        <v>-15.52</v>
      </c>
      <c r="D601" s="218">
        <v>0.79</v>
      </c>
      <c r="E601" s="218">
        <v>0.17</v>
      </c>
      <c r="F601" s="218">
        <v>4.59</v>
      </c>
      <c r="Q601" s="218">
        <v>15.57</v>
      </c>
      <c r="R601" s="251">
        <f t="shared" si="46"/>
        <v>-15.57</v>
      </c>
      <c r="S601" s="218">
        <v>0.79</v>
      </c>
      <c r="T601" s="218">
        <v>0.17</v>
      </c>
      <c r="U601" s="218">
        <v>4.58</v>
      </c>
      <c r="AF601" s="218">
        <v>15.49</v>
      </c>
      <c r="AG601" s="251">
        <f t="shared" si="47"/>
        <v>-15.49</v>
      </c>
      <c r="AH601" s="218">
        <v>0.79</v>
      </c>
      <c r="AI601" s="218">
        <v>0.17</v>
      </c>
      <c r="AJ601" s="218">
        <v>4.62</v>
      </c>
      <c r="AV601" s="218">
        <v>15.48</v>
      </c>
      <c r="AW601" s="251">
        <f t="shared" si="48"/>
        <v>-15.48</v>
      </c>
      <c r="AX601" s="218">
        <v>0.79</v>
      </c>
      <c r="AY601" s="218">
        <v>0.17</v>
      </c>
      <c r="AZ601" s="218">
        <v>4.59</v>
      </c>
      <c r="BL601" s="218">
        <v>15.4</v>
      </c>
      <c r="BM601" s="251">
        <f t="shared" si="49"/>
        <v>-15.4</v>
      </c>
      <c r="BN601" s="218">
        <v>0.8</v>
      </c>
      <c r="BO601" s="218">
        <v>0.17</v>
      </c>
      <c r="BP601" s="218">
        <v>4.58</v>
      </c>
    </row>
    <row r="602" spans="2:68">
      <c r="B602" s="218">
        <v>15.54</v>
      </c>
      <c r="C602" s="218">
        <f t="shared" si="45"/>
        <v>-15.54</v>
      </c>
      <c r="D602" s="218">
        <v>0.79</v>
      </c>
      <c r="E602" s="218">
        <v>0.17</v>
      </c>
      <c r="F602" s="218">
        <v>4.59</v>
      </c>
      <c r="Q602" s="218">
        <v>15.59</v>
      </c>
      <c r="R602" s="251">
        <f t="shared" si="46"/>
        <v>-15.59</v>
      </c>
      <c r="S602" s="218">
        <v>0.79</v>
      </c>
      <c r="T602" s="218">
        <v>0.17</v>
      </c>
      <c r="U602" s="218">
        <v>4.58</v>
      </c>
      <c r="AF602" s="218">
        <v>15.51</v>
      </c>
      <c r="AG602" s="251">
        <f t="shared" si="47"/>
        <v>-15.51</v>
      </c>
      <c r="AH602" s="218">
        <v>0.79</v>
      </c>
      <c r="AI602" s="218">
        <v>0.17</v>
      </c>
      <c r="AJ602" s="218">
        <v>4.62</v>
      </c>
      <c r="AV602" s="218">
        <v>15.5</v>
      </c>
      <c r="AW602" s="251">
        <f t="shared" si="48"/>
        <v>-15.5</v>
      </c>
      <c r="AX602" s="218">
        <v>0.79</v>
      </c>
      <c r="AY602" s="218">
        <v>0.17</v>
      </c>
      <c r="AZ602" s="218">
        <v>4.59</v>
      </c>
      <c r="BL602" s="218">
        <v>15.42</v>
      </c>
      <c r="BM602" s="251">
        <f t="shared" si="49"/>
        <v>-15.42</v>
      </c>
      <c r="BN602" s="218">
        <v>0.8</v>
      </c>
      <c r="BO602" s="218">
        <v>0.17</v>
      </c>
      <c r="BP602" s="218">
        <v>4.58</v>
      </c>
    </row>
    <row r="603" spans="2:68">
      <c r="B603" s="218">
        <v>15.57</v>
      </c>
      <c r="C603" s="218">
        <f t="shared" si="45"/>
        <v>-15.57</v>
      </c>
      <c r="D603" s="218">
        <v>0.79</v>
      </c>
      <c r="E603" s="218">
        <v>0.17</v>
      </c>
      <c r="F603" s="218">
        <v>4.59</v>
      </c>
      <c r="Q603" s="218">
        <v>15.62</v>
      </c>
      <c r="R603" s="251">
        <f t="shared" si="46"/>
        <v>-15.62</v>
      </c>
      <c r="S603" s="218">
        <v>0.79</v>
      </c>
      <c r="T603" s="218">
        <v>0.17</v>
      </c>
      <c r="U603" s="218">
        <v>4.58</v>
      </c>
      <c r="AF603" s="218">
        <v>15.54</v>
      </c>
      <c r="AG603" s="251">
        <f t="shared" si="47"/>
        <v>-15.54</v>
      </c>
      <c r="AH603" s="218">
        <v>0.79</v>
      </c>
      <c r="AI603" s="218">
        <v>0.17</v>
      </c>
      <c r="AJ603" s="218">
        <v>4.63</v>
      </c>
      <c r="AV603" s="218">
        <v>15.53</v>
      </c>
      <c r="AW603" s="251">
        <f t="shared" si="48"/>
        <v>-15.53</v>
      </c>
      <c r="AX603" s="218">
        <v>0.79</v>
      </c>
      <c r="AY603" s="218">
        <v>0.17</v>
      </c>
      <c r="AZ603" s="218">
        <v>4.59</v>
      </c>
      <c r="BL603" s="218">
        <v>15.45</v>
      </c>
      <c r="BM603" s="251">
        <f t="shared" si="49"/>
        <v>-15.45</v>
      </c>
      <c r="BN603" s="218">
        <v>0.8</v>
      </c>
      <c r="BO603" s="218">
        <v>0.17</v>
      </c>
      <c r="BP603" s="218">
        <v>4.58</v>
      </c>
    </row>
    <row r="604" spans="2:68">
      <c r="B604" s="218">
        <v>15.59</v>
      </c>
      <c r="C604" s="218">
        <f t="shared" si="45"/>
        <v>-15.59</v>
      </c>
      <c r="D604" s="218">
        <v>0.79</v>
      </c>
      <c r="E604" s="218">
        <v>0.17</v>
      </c>
      <c r="F604" s="218">
        <v>4.5999999999999996</v>
      </c>
      <c r="Q604" s="218">
        <v>15.64</v>
      </c>
      <c r="R604" s="251">
        <f t="shared" si="46"/>
        <v>-15.64</v>
      </c>
      <c r="S604" s="218">
        <v>0.79</v>
      </c>
      <c r="T604" s="218">
        <v>0.17</v>
      </c>
      <c r="U604" s="218">
        <v>4.58</v>
      </c>
      <c r="AF604" s="218">
        <v>15.56</v>
      </c>
      <c r="AG604" s="251">
        <f t="shared" si="47"/>
        <v>-15.56</v>
      </c>
      <c r="AH604" s="218">
        <v>0.79</v>
      </c>
      <c r="AI604" s="218">
        <v>0.17</v>
      </c>
      <c r="AJ604" s="218">
        <v>4.63</v>
      </c>
      <c r="AV604" s="218">
        <v>15.55</v>
      </c>
      <c r="AW604" s="251">
        <f t="shared" si="48"/>
        <v>-15.55</v>
      </c>
      <c r="AX604" s="218">
        <v>0.79</v>
      </c>
      <c r="AY604" s="218">
        <v>0.17</v>
      </c>
      <c r="AZ604" s="218">
        <v>4.59</v>
      </c>
      <c r="BL604" s="218">
        <v>15.47</v>
      </c>
      <c r="BM604" s="251">
        <f t="shared" si="49"/>
        <v>-15.47</v>
      </c>
      <c r="BN604" s="218">
        <v>0.8</v>
      </c>
      <c r="BO604" s="218">
        <v>0.17</v>
      </c>
      <c r="BP604" s="218">
        <v>4.58</v>
      </c>
    </row>
    <row r="605" spans="2:68">
      <c r="B605" s="218">
        <v>15.62</v>
      </c>
      <c r="C605" s="218">
        <f t="shared" si="45"/>
        <v>-15.62</v>
      </c>
      <c r="D605" s="218">
        <v>0.79</v>
      </c>
      <c r="E605" s="218">
        <v>0.17</v>
      </c>
      <c r="F605" s="218">
        <v>4.5999999999999996</v>
      </c>
      <c r="Q605" s="218">
        <v>15.67</v>
      </c>
      <c r="R605" s="251">
        <f t="shared" si="46"/>
        <v>-15.67</v>
      </c>
      <c r="S605" s="218">
        <v>0.79</v>
      </c>
      <c r="T605" s="218">
        <v>0.17</v>
      </c>
      <c r="U605" s="218">
        <v>4.58</v>
      </c>
      <c r="AF605" s="218">
        <v>15.59</v>
      </c>
      <c r="AG605" s="251">
        <f t="shared" si="47"/>
        <v>-15.59</v>
      </c>
      <c r="AH605" s="218">
        <v>0.79</v>
      </c>
      <c r="AI605" s="218">
        <v>0.17</v>
      </c>
      <c r="AJ605" s="218">
        <v>4.63</v>
      </c>
      <c r="AV605" s="218">
        <v>15.58</v>
      </c>
      <c r="AW605" s="251">
        <f t="shared" si="48"/>
        <v>-15.58</v>
      </c>
      <c r="AX605" s="218">
        <v>0.79</v>
      </c>
      <c r="AY605" s="218">
        <v>0.17</v>
      </c>
      <c r="AZ605" s="218">
        <v>4.59</v>
      </c>
      <c r="BL605" s="218">
        <v>15.5</v>
      </c>
      <c r="BM605" s="251">
        <f t="shared" si="49"/>
        <v>-15.5</v>
      </c>
      <c r="BN605" s="218">
        <v>0.8</v>
      </c>
      <c r="BO605" s="218">
        <v>0.17</v>
      </c>
      <c r="BP605" s="218">
        <v>4.58</v>
      </c>
    </row>
    <row r="606" spans="2:68">
      <c r="B606" s="218">
        <v>15.64</v>
      </c>
      <c r="C606" s="218">
        <f t="shared" si="45"/>
        <v>-15.64</v>
      </c>
      <c r="D606" s="218">
        <v>0.79</v>
      </c>
      <c r="E606" s="218">
        <v>0.17</v>
      </c>
      <c r="F606" s="218">
        <v>4.5999999999999996</v>
      </c>
      <c r="Q606" s="218">
        <v>15.69</v>
      </c>
      <c r="R606" s="251">
        <f t="shared" si="46"/>
        <v>-15.69</v>
      </c>
      <c r="S606" s="218">
        <v>0.79</v>
      </c>
      <c r="T606" s="218">
        <v>0.17</v>
      </c>
      <c r="U606" s="218">
        <v>4.58</v>
      </c>
      <c r="AF606" s="218">
        <v>15.61</v>
      </c>
      <c r="AG606" s="251">
        <f t="shared" si="47"/>
        <v>-15.61</v>
      </c>
      <c r="AH606" s="218">
        <v>0.79</v>
      </c>
      <c r="AI606" s="218">
        <v>0.17</v>
      </c>
      <c r="AJ606" s="218">
        <v>4.63</v>
      </c>
      <c r="AV606" s="218">
        <v>15.6</v>
      </c>
      <c r="AW606" s="251">
        <f t="shared" si="48"/>
        <v>-15.6</v>
      </c>
      <c r="AX606" s="218">
        <v>0.79</v>
      </c>
      <c r="AY606" s="218">
        <v>0.17</v>
      </c>
      <c r="AZ606" s="218">
        <v>4.59</v>
      </c>
      <c r="BL606" s="218">
        <v>15.52</v>
      </c>
      <c r="BM606" s="251">
        <f t="shared" si="49"/>
        <v>-15.52</v>
      </c>
      <c r="BN606" s="218">
        <v>0.8</v>
      </c>
      <c r="BO606" s="218">
        <v>0.17</v>
      </c>
      <c r="BP606" s="218">
        <v>4.58</v>
      </c>
    </row>
    <row r="607" spans="2:68">
      <c r="B607" s="218">
        <v>15.67</v>
      </c>
      <c r="C607" s="218">
        <f t="shared" si="45"/>
        <v>-15.67</v>
      </c>
      <c r="D607" s="218">
        <v>0.79</v>
      </c>
      <c r="E607" s="218">
        <v>0.17</v>
      </c>
      <c r="F607" s="218">
        <v>4.5999999999999996</v>
      </c>
      <c r="Q607" s="218">
        <v>15.72</v>
      </c>
      <c r="R607" s="251">
        <f t="shared" si="46"/>
        <v>-15.72</v>
      </c>
      <c r="S607" s="218">
        <v>0.79</v>
      </c>
      <c r="T607" s="218">
        <v>0.17</v>
      </c>
      <c r="U607" s="218">
        <v>4.58</v>
      </c>
      <c r="AF607" s="218">
        <v>15.64</v>
      </c>
      <c r="AG607" s="251">
        <f t="shared" si="47"/>
        <v>-15.64</v>
      </c>
      <c r="AH607" s="218">
        <v>0.79</v>
      </c>
      <c r="AI607" s="218">
        <v>0.17</v>
      </c>
      <c r="AJ607" s="218">
        <v>4.63</v>
      </c>
      <c r="AV607" s="218">
        <v>15.63</v>
      </c>
      <c r="AW607" s="251">
        <f t="shared" si="48"/>
        <v>-15.63</v>
      </c>
      <c r="AX607" s="218">
        <v>0.79</v>
      </c>
      <c r="AY607" s="218">
        <v>0.17</v>
      </c>
      <c r="AZ607" s="218">
        <v>4.5999999999999996</v>
      </c>
      <c r="BL607" s="218">
        <v>15.55</v>
      </c>
      <c r="BM607" s="251">
        <f t="shared" si="49"/>
        <v>-15.55</v>
      </c>
      <c r="BN607" s="218">
        <v>0.79</v>
      </c>
      <c r="BO607" s="218">
        <v>0.17</v>
      </c>
      <c r="BP607" s="218">
        <v>4.58</v>
      </c>
    </row>
    <row r="608" spans="2:68">
      <c r="B608" s="218">
        <v>15.69</v>
      </c>
      <c r="C608" s="218">
        <f t="shared" si="45"/>
        <v>-15.69</v>
      </c>
      <c r="D608" s="218">
        <v>0.79</v>
      </c>
      <c r="E608" s="218">
        <v>0.17</v>
      </c>
      <c r="F608" s="218">
        <v>4.5999999999999996</v>
      </c>
      <c r="Q608" s="218">
        <v>15.74</v>
      </c>
      <c r="R608" s="251">
        <f t="shared" si="46"/>
        <v>-15.74</v>
      </c>
      <c r="S608" s="218">
        <v>0.79</v>
      </c>
      <c r="T608" s="218">
        <v>0.17</v>
      </c>
      <c r="U608" s="218">
        <v>4.58</v>
      </c>
      <c r="AF608" s="218">
        <v>15.66</v>
      </c>
      <c r="AG608" s="251">
        <f t="shared" si="47"/>
        <v>-15.66</v>
      </c>
      <c r="AH608" s="218">
        <v>0.79</v>
      </c>
      <c r="AI608" s="218">
        <v>0.17</v>
      </c>
      <c r="AJ608" s="218">
        <v>4.63</v>
      </c>
      <c r="AV608" s="218">
        <v>15.65</v>
      </c>
      <c r="AW608" s="251">
        <f t="shared" si="48"/>
        <v>-15.65</v>
      </c>
      <c r="AX608" s="218">
        <v>0.79</v>
      </c>
      <c r="AY608" s="218">
        <v>0.17</v>
      </c>
      <c r="AZ608" s="218">
        <v>4.5999999999999996</v>
      </c>
      <c r="BL608" s="218">
        <v>15.57</v>
      </c>
      <c r="BM608" s="251">
        <f t="shared" si="49"/>
        <v>-15.57</v>
      </c>
      <c r="BN608" s="218">
        <v>0.79</v>
      </c>
      <c r="BO608" s="218">
        <v>0.17</v>
      </c>
      <c r="BP608" s="218">
        <v>4.58</v>
      </c>
    </row>
    <row r="609" spans="2:68">
      <c r="B609" s="218">
        <v>15.72</v>
      </c>
      <c r="C609" s="218">
        <f t="shared" si="45"/>
        <v>-15.72</v>
      </c>
      <c r="D609" s="218">
        <v>0.79</v>
      </c>
      <c r="E609" s="218">
        <v>0.17</v>
      </c>
      <c r="F609" s="218">
        <v>4.5999999999999996</v>
      </c>
      <c r="Q609" s="218">
        <v>15.77</v>
      </c>
      <c r="R609" s="251">
        <f t="shared" si="46"/>
        <v>-15.77</v>
      </c>
      <c r="S609" s="218">
        <v>0.79</v>
      </c>
      <c r="T609" s="218">
        <v>0.17</v>
      </c>
      <c r="U609" s="218">
        <v>4.58</v>
      </c>
      <c r="AF609" s="218">
        <v>15.69</v>
      </c>
      <c r="AG609" s="251">
        <f t="shared" si="47"/>
        <v>-15.69</v>
      </c>
      <c r="AH609" s="218">
        <v>0.79</v>
      </c>
      <c r="AI609" s="218">
        <v>0.17</v>
      </c>
      <c r="AJ609" s="218">
        <v>4.63</v>
      </c>
      <c r="AV609" s="218">
        <v>15.68</v>
      </c>
      <c r="AW609" s="251">
        <f t="shared" si="48"/>
        <v>-15.68</v>
      </c>
      <c r="AX609" s="218">
        <v>0.79</v>
      </c>
      <c r="AY609" s="218">
        <v>0.17</v>
      </c>
      <c r="AZ609" s="218">
        <v>4.5999999999999996</v>
      </c>
      <c r="BL609" s="218">
        <v>15.6</v>
      </c>
      <c r="BM609" s="251">
        <f t="shared" si="49"/>
        <v>-15.6</v>
      </c>
      <c r="BN609" s="218">
        <v>0.79</v>
      </c>
      <c r="BO609" s="218">
        <v>0.17</v>
      </c>
      <c r="BP609" s="218">
        <v>4.58</v>
      </c>
    </row>
    <row r="610" spans="2:68">
      <c r="B610" s="218">
        <v>15.74</v>
      </c>
      <c r="C610" s="218">
        <f t="shared" si="45"/>
        <v>-15.74</v>
      </c>
      <c r="D610" s="218">
        <v>0.79</v>
      </c>
      <c r="E610" s="218">
        <v>0.17</v>
      </c>
      <c r="F610" s="218">
        <v>4.5999999999999996</v>
      </c>
      <c r="Q610" s="218">
        <v>15.79</v>
      </c>
      <c r="R610" s="251">
        <f t="shared" si="46"/>
        <v>-15.79</v>
      </c>
      <c r="S610" s="218">
        <v>0.79</v>
      </c>
      <c r="T610" s="218">
        <v>0.17</v>
      </c>
      <c r="U610" s="218">
        <v>4.59</v>
      </c>
      <c r="AF610" s="218">
        <v>15.71</v>
      </c>
      <c r="AG610" s="251">
        <f t="shared" si="47"/>
        <v>-15.71</v>
      </c>
      <c r="AH610" s="218">
        <v>0.79</v>
      </c>
      <c r="AI610" s="218">
        <v>0.17</v>
      </c>
      <c r="AJ610" s="218">
        <v>4.63</v>
      </c>
      <c r="AV610" s="218">
        <v>15.7</v>
      </c>
      <c r="AW610" s="251">
        <f t="shared" si="48"/>
        <v>-15.7</v>
      </c>
      <c r="AX610" s="218">
        <v>0.79</v>
      </c>
      <c r="AY610" s="218">
        <v>0.17</v>
      </c>
      <c r="AZ610" s="218">
        <v>4.5999999999999996</v>
      </c>
      <c r="BL610" s="218">
        <v>15.62</v>
      </c>
      <c r="BM610" s="251">
        <f t="shared" si="49"/>
        <v>-15.62</v>
      </c>
      <c r="BN610" s="218">
        <v>0.79</v>
      </c>
      <c r="BO610" s="218">
        <v>0.17</v>
      </c>
      <c r="BP610" s="218">
        <v>4.59</v>
      </c>
    </row>
    <row r="611" spans="2:68">
      <c r="B611" s="218">
        <v>15.77</v>
      </c>
      <c r="C611" s="218">
        <f t="shared" si="45"/>
        <v>-15.77</v>
      </c>
      <c r="D611" s="218">
        <v>0.79</v>
      </c>
      <c r="E611" s="218">
        <v>0.17</v>
      </c>
      <c r="F611" s="218">
        <v>4.5999999999999996</v>
      </c>
      <c r="Q611" s="218">
        <v>15.82</v>
      </c>
      <c r="R611" s="251">
        <f t="shared" si="46"/>
        <v>-15.82</v>
      </c>
      <c r="S611" s="218">
        <v>0.79</v>
      </c>
      <c r="T611" s="218">
        <v>0.17</v>
      </c>
      <c r="U611" s="218">
        <v>4.59</v>
      </c>
      <c r="AF611" s="218">
        <v>15.74</v>
      </c>
      <c r="AG611" s="251">
        <f t="shared" si="47"/>
        <v>-15.74</v>
      </c>
      <c r="AH611" s="218">
        <v>0.79</v>
      </c>
      <c r="AI611" s="218">
        <v>0.17</v>
      </c>
      <c r="AJ611" s="218">
        <v>4.63</v>
      </c>
      <c r="AV611" s="218">
        <v>15.73</v>
      </c>
      <c r="AW611" s="251">
        <f t="shared" si="48"/>
        <v>-15.73</v>
      </c>
      <c r="AX611" s="218">
        <v>0.79</v>
      </c>
      <c r="AY611" s="218">
        <v>0.17</v>
      </c>
      <c r="AZ611" s="218">
        <v>4.5999999999999996</v>
      </c>
      <c r="BL611" s="218">
        <v>15.65</v>
      </c>
      <c r="BM611" s="251">
        <f t="shared" si="49"/>
        <v>-15.65</v>
      </c>
      <c r="BN611" s="218">
        <v>0.79</v>
      </c>
      <c r="BO611" s="218">
        <v>0.17</v>
      </c>
      <c r="BP611" s="218">
        <v>4.59</v>
      </c>
    </row>
    <row r="612" spans="2:68">
      <c r="B612" s="218">
        <v>15.79</v>
      </c>
      <c r="C612" s="218">
        <f t="shared" si="45"/>
        <v>-15.79</v>
      </c>
      <c r="D612" s="218">
        <v>0.79</v>
      </c>
      <c r="E612" s="218">
        <v>0.17</v>
      </c>
      <c r="F612" s="218">
        <v>4.5999999999999996</v>
      </c>
      <c r="Q612" s="218">
        <v>15.84</v>
      </c>
      <c r="R612" s="251">
        <f t="shared" si="46"/>
        <v>-15.84</v>
      </c>
      <c r="S612" s="218">
        <v>0.79</v>
      </c>
      <c r="T612" s="218">
        <v>0.17</v>
      </c>
      <c r="U612" s="218">
        <v>4.59</v>
      </c>
      <c r="AF612" s="218">
        <v>15.76</v>
      </c>
      <c r="AG612" s="251">
        <f t="shared" si="47"/>
        <v>-15.76</v>
      </c>
      <c r="AH612" s="218">
        <v>0.79</v>
      </c>
      <c r="AI612" s="218">
        <v>0.17</v>
      </c>
      <c r="AJ612" s="218">
        <v>4.6399999999999997</v>
      </c>
      <c r="AV612" s="218">
        <v>15.75</v>
      </c>
      <c r="AW612" s="251">
        <f t="shared" si="48"/>
        <v>-15.75</v>
      </c>
      <c r="AX612" s="218">
        <v>0.79</v>
      </c>
      <c r="AY612" s="218">
        <v>0.17</v>
      </c>
      <c r="AZ612" s="218">
        <v>4.5999999999999996</v>
      </c>
      <c r="BL612" s="218">
        <v>15.67</v>
      </c>
      <c r="BM612" s="251">
        <f t="shared" si="49"/>
        <v>-15.67</v>
      </c>
      <c r="BN612" s="218">
        <v>0.79</v>
      </c>
      <c r="BO612" s="218">
        <v>0.17</v>
      </c>
      <c r="BP612" s="218">
        <v>4.59</v>
      </c>
    </row>
    <row r="613" spans="2:68">
      <c r="B613" s="218">
        <v>15.82</v>
      </c>
      <c r="C613" s="218">
        <f t="shared" si="45"/>
        <v>-15.82</v>
      </c>
      <c r="D613" s="218">
        <v>0.79</v>
      </c>
      <c r="E613" s="218">
        <v>0.17</v>
      </c>
      <c r="F613" s="218">
        <v>4.6100000000000003</v>
      </c>
      <c r="Q613" s="218">
        <v>15.87</v>
      </c>
      <c r="R613" s="251">
        <f t="shared" si="46"/>
        <v>-15.87</v>
      </c>
      <c r="S613" s="218">
        <v>0.79</v>
      </c>
      <c r="T613" s="218">
        <v>0.17</v>
      </c>
      <c r="U613" s="218">
        <v>4.59</v>
      </c>
      <c r="AF613" s="218">
        <v>15.79</v>
      </c>
      <c r="AG613" s="251">
        <f t="shared" si="47"/>
        <v>-15.79</v>
      </c>
      <c r="AH613" s="218">
        <v>0.79</v>
      </c>
      <c r="AI613" s="218">
        <v>0.17</v>
      </c>
      <c r="AJ613" s="218">
        <v>4.6399999999999997</v>
      </c>
      <c r="AV613" s="218">
        <v>15.78</v>
      </c>
      <c r="AW613" s="251">
        <f t="shared" si="48"/>
        <v>-15.78</v>
      </c>
      <c r="AX613" s="218">
        <v>0.79</v>
      </c>
      <c r="AY613" s="218">
        <v>0.17</v>
      </c>
      <c r="AZ613" s="218">
        <v>4.5999999999999996</v>
      </c>
      <c r="BL613" s="218">
        <v>15.7</v>
      </c>
      <c r="BM613" s="251">
        <f t="shared" si="49"/>
        <v>-15.7</v>
      </c>
      <c r="BN613" s="218">
        <v>0.79</v>
      </c>
      <c r="BO613" s="218">
        <v>0.17</v>
      </c>
      <c r="BP613" s="218">
        <v>4.59</v>
      </c>
    </row>
    <row r="614" spans="2:68">
      <c r="B614" s="218">
        <v>15.84</v>
      </c>
      <c r="C614" s="218">
        <f t="shared" si="45"/>
        <v>-15.84</v>
      </c>
      <c r="D614" s="218">
        <v>0.79</v>
      </c>
      <c r="E614" s="218">
        <v>0.17</v>
      </c>
      <c r="F614" s="218">
        <v>4.6100000000000003</v>
      </c>
      <c r="Q614" s="218">
        <v>15.89</v>
      </c>
      <c r="R614" s="251">
        <f t="shared" si="46"/>
        <v>-15.89</v>
      </c>
      <c r="S614" s="218">
        <v>0.79</v>
      </c>
      <c r="T614" s="218">
        <v>0.17</v>
      </c>
      <c r="U614" s="218">
        <v>4.59</v>
      </c>
      <c r="AF614" s="218">
        <v>15.81</v>
      </c>
      <c r="AG614" s="251">
        <f t="shared" si="47"/>
        <v>-15.81</v>
      </c>
      <c r="AH614" s="218">
        <v>0.79</v>
      </c>
      <c r="AI614" s="218">
        <v>0.17</v>
      </c>
      <c r="AJ614" s="218">
        <v>4.6399999999999997</v>
      </c>
      <c r="AV614" s="218">
        <v>15.8</v>
      </c>
      <c r="AW614" s="251">
        <f t="shared" si="48"/>
        <v>-15.8</v>
      </c>
      <c r="AX614" s="218">
        <v>0.79</v>
      </c>
      <c r="AY614" s="218">
        <v>0.17</v>
      </c>
      <c r="AZ614" s="218">
        <v>4.5999999999999996</v>
      </c>
      <c r="BL614" s="218">
        <v>15.72</v>
      </c>
      <c r="BM614" s="251">
        <f t="shared" si="49"/>
        <v>-15.72</v>
      </c>
      <c r="BN614" s="218">
        <v>0.79</v>
      </c>
      <c r="BO614" s="218">
        <v>0.17</v>
      </c>
      <c r="BP614" s="218">
        <v>4.59</v>
      </c>
    </row>
    <row r="615" spans="2:68">
      <c r="B615" s="218">
        <v>15.87</v>
      </c>
      <c r="C615" s="218">
        <f t="shared" si="45"/>
        <v>-15.87</v>
      </c>
      <c r="D615" s="218">
        <v>0.79</v>
      </c>
      <c r="E615" s="218">
        <v>0.17</v>
      </c>
      <c r="F615" s="218">
        <v>4.6100000000000003</v>
      </c>
      <c r="Q615" s="218">
        <v>15.92</v>
      </c>
      <c r="R615" s="251">
        <f t="shared" si="46"/>
        <v>-15.92</v>
      </c>
      <c r="S615" s="218">
        <v>0.79</v>
      </c>
      <c r="T615" s="218">
        <v>0.17</v>
      </c>
      <c r="U615" s="218">
        <v>4.59</v>
      </c>
      <c r="AF615" s="218">
        <v>15.84</v>
      </c>
      <c r="AG615" s="251">
        <f t="shared" si="47"/>
        <v>-15.84</v>
      </c>
      <c r="AH615" s="218">
        <v>0.79</v>
      </c>
      <c r="AI615" s="218">
        <v>0.17</v>
      </c>
      <c r="AJ615" s="218">
        <v>4.6399999999999997</v>
      </c>
      <c r="AV615" s="218">
        <v>15.83</v>
      </c>
      <c r="AW615" s="251">
        <f t="shared" si="48"/>
        <v>-15.83</v>
      </c>
      <c r="AX615" s="218">
        <v>0.79</v>
      </c>
      <c r="AY615" s="218">
        <v>0.17</v>
      </c>
      <c r="AZ615" s="218">
        <v>4.5999999999999996</v>
      </c>
      <c r="BL615" s="218">
        <v>15.75</v>
      </c>
      <c r="BM615" s="251">
        <f t="shared" si="49"/>
        <v>-15.75</v>
      </c>
      <c r="BN615" s="218">
        <v>0.79</v>
      </c>
      <c r="BO615" s="218">
        <v>0.17</v>
      </c>
      <c r="BP615" s="218">
        <v>4.59</v>
      </c>
    </row>
    <row r="616" spans="2:68">
      <c r="B616" s="218">
        <v>15.89</v>
      </c>
      <c r="C616" s="218">
        <f t="shared" si="45"/>
        <v>-15.89</v>
      </c>
      <c r="D616" s="218">
        <v>0.79</v>
      </c>
      <c r="E616" s="218">
        <v>0.17</v>
      </c>
      <c r="F616" s="218">
        <v>4.6100000000000003</v>
      </c>
      <c r="Q616" s="218">
        <v>15.94</v>
      </c>
      <c r="R616" s="251">
        <f t="shared" si="46"/>
        <v>-15.94</v>
      </c>
      <c r="S616" s="218">
        <v>0.79</v>
      </c>
      <c r="T616" s="218">
        <v>0.17</v>
      </c>
      <c r="U616" s="218">
        <v>4.59</v>
      </c>
      <c r="AF616" s="218">
        <v>15.86</v>
      </c>
      <c r="AG616" s="251">
        <f t="shared" si="47"/>
        <v>-15.86</v>
      </c>
      <c r="AH616" s="218">
        <v>0.79</v>
      </c>
      <c r="AI616" s="218">
        <v>0.17</v>
      </c>
      <c r="AJ616" s="218">
        <v>4.6399999999999997</v>
      </c>
      <c r="AV616" s="218">
        <v>15.85</v>
      </c>
      <c r="AW616" s="251">
        <f t="shared" si="48"/>
        <v>-15.85</v>
      </c>
      <c r="AX616" s="218">
        <v>0.79</v>
      </c>
      <c r="AY616" s="218">
        <v>0.17</v>
      </c>
      <c r="AZ616" s="218">
        <v>4.6100000000000003</v>
      </c>
      <c r="BL616" s="218">
        <v>15.77</v>
      </c>
      <c r="BM616" s="251">
        <f t="shared" si="49"/>
        <v>-15.77</v>
      </c>
      <c r="BN616" s="218">
        <v>0.79</v>
      </c>
      <c r="BO616" s="218">
        <v>0.17</v>
      </c>
      <c r="BP616" s="218">
        <v>4.59</v>
      </c>
    </row>
    <row r="617" spans="2:68">
      <c r="B617" s="218">
        <v>15.92</v>
      </c>
      <c r="C617" s="218">
        <f t="shared" si="45"/>
        <v>-15.92</v>
      </c>
      <c r="D617" s="218">
        <v>0.79</v>
      </c>
      <c r="E617" s="218">
        <v>0.17</v>
      </c>
      <c r="F617" s="218">
        <v>4.6100000000000003</v>
      </c>
      <c r="Q617" s="218">
        <v>15.97</v>
      </c>
      <c r="R617" s="251">
        <f t="shared" si="46"/>
        <v>-15.97</v>
      </c>
      <c r="S617" s="218">
        <v>0.79</v>
      </c>
      <c r="T617" s="218">
        <v>0.17</v>
      </c>
      <c r="U617" s="218">
        <v>4.59</v>
      </c>
      <c r="AF617" s="218">
        <v>15.89</v>
      </c>
      <c r="AG617" s="251">
        <f t="shared" si="47"/>
        <v>-15.89</v>
      </c>
      <c r="AH617" s="218">
        <v>0.79</v>
      </c>
      <c r="AI617" s="218">
        <v>0.17</v>
      </c>
      <c r="AJ617" s="218">
        <v>4.6399999999999997</v>
      </c>
      <c r="AV617" s="218">
        <v>15.88</v>
      </c>
      <c r="AW617" s="251">
        <f t="shared" si="48"/>
        <v>-15.88</v>
      </c>
      <c r="AX617" s="218">
        <v>0.79</v>
      </c>
      <c r="AY617" s="218">
        <v>0.17</v>
      </c>
      <c r="AZ617" s="218">
        <v>4.6100000000000003</v>
      </c>
      <c r="BL617" s="218">
        <v>15.8</v>
      </c>
      <c r="BM617" s="251">
        <f t="shared" si="49"/>
        <v>-15.8</v>
      </c>
      <c r="BN617" s="218">
        <v>0.79</v>
      </c>
      <c r="BO617" s="218">
        <v>0.17</v>
      </c>
      <c r="BP617" s="218">
        <v>4.59</v>
      </c>
    </row>
    <row r="618" spans="2:68">
      <c r="B618" s="218">
        <v>15.94</v>
      </c>
      <c r="C618" s="218">
        <f t="shared" si="45"/>
        <v>-15.94</v>
      </c>
      <c r="D618" s="218">
        <v>0.79</v>
      </c>
      <c r="E618" s="218">
        <v>0.17</v>
      </c>
      <c r="F618" s="218">
        <v>4.6100000000000003</v>
      </c>
      <c r="Q618" s="218">
        <v>15.99</v>
      </c>
      <c r="R618" s="251">
        <f t="shared" si="46"/>
        <v>-15.99</v>
      </c>
      <c r="S618" s="218">
        <v>0.79</v>
      </c>
      <c r="T618" s="218">
        <v>0.17</v>
      </c>
      <c r="U618" s="218">
        <v>4.5999999999999996</v>
      </c>
      <c r="AF618" s="218">
        <v>15.91</v>
      </c>
      <c r="AG618" s="251">
        <f t="shared" si="47"/>
        <v>-15.91</v>
      </c>
      <c r="AH618" s="218">
        <v>0.79</v>
      </c>
      <c r="AI618" s="218">
        <v>0.17</v>
      </c>
      <c r="AJ618" s="218">
        <v>4.6399999999999997</v>
      </c>
      <c r="AV618" s="218">
        <v>15.9</v>
      </c>
      <c r="AW618" s="251">
        <f t="shared" si="48"/>
        <v>-15.9</v>
      </c>
      <c r="AX618" s="218">
        <v>0.79</v>
      </c>
      <c r="AY618" s="218">
        <v>0.17</v>
      </c>
      <c r="AZ618" s="218">
        <v>4.6100000000000003</v>
      </c>
      <c r="BL618" s="218">
        <v>15.82</v>
      </c>
      <c r="BM618" s="251">
        <f t="shared" si="49"/>
        <v>-15.82</v>
      </c>
      <c r="BN618" s="218">
        <v>0.79</v>
      </c>
      <c r="BO618" s="218">
        <v>0.17</v>
      </c>
      <c r="BP618" s="218">
        <v>4.59</v>
      </c>
    </row>
    <row r="619" spans="2:68">
      <c r="B619" s="218">
        <v>15.97</v>
      </c>
      <c r="C619" s="218">
        <f t="shared" si="45"/>
        <v>-15.97</v>
      </c>
      <c r="D619" s="218">
        <v>0.79</v>
      </c>
      <c r="E619" s="218">
        <v>0.17</v>
      </c>
      <c r="F619" s="218">
        <v>4.6100000000000003</v>
      </c>
      <c r="Q619" s="218">
        <v>16.02</v>
      </c>
      <c r="R619" s="251">
        <f t="shared" si="46"/>
        <v>-16.02</v>
      </c>
      <c r="S619" s="218">
        <v>0.79</v>
      </c>
      <c r="T619" s="218">
        <v>0.17</v>
      </c>
      <c r="U619" s="218">
        <v>4.5999999999999996</v>
      </c>
      <c r="AF619" s="218">
        <v>15.94</v>
      </c>
      <c r="AG619" s="251">
        <f t="shared" si="47"/>
        <v>-15.94</v>
      </c>
      <c r="AH619" s="218">
        <v>0.79</v>
      </c>
      <c r="AI619" s="218">
        <v>0.17</v>
      </c>
      <c r="AJ619" s="218">
        <v>4.6399999999999997</v>
      </c>
      <c r="AV619" s="218">
        <v>15.93</v>
      </c>
      <c r="AW619" s="251">
        <f t="shared" si="48"/>
        <v>-15.93</v>
      </c>
      <c r="AX619" s="218">
        <v>0.79</v>
      </c>
      <c r="AY619" s="218">
        <v>0.17</v>
      </c>
      <c r="AZ619" s="218">
        <v>4.6100000000000003</v>
      </c>
      <c r="BL619" s="218">
        <v>15.85</v>
      </c>
      <c r="BM619" s="251">
        <f t="shared" si="49"/>
        <v>-15.85</v>
      </c>
      <c r="BN619" s="218">
        <v>0.79</v>
      </c>
      <c r="BO619" s="218">
        <v>0.17</v>
      </c>
      <c r="BP619" s="218">
        <v>4.5999999999999996</v>
      </c>
    </row>
    <row r="620" spans="2:68">
      <c r="B620" s="218">
        <v>15.99</v>
      </c>
      <c r="C620" s="218">
        <f t="shared" si="45"/>
        <v>-15.99</v>
      </c>
      <c r="D620" s="218">
        <v>0.79</v>
      </c>
      <c r="E620" s="218">
        <v>0.17</v>
      </c>
      <c r="F620" s="218">
        <v>4.6100000000000003</v>
      </c>
      <c r="Q620" s="218">
        <v>16.04</v>
      </c>
      <c r="R620" s="251">
        <f t="shared" si="46"/>
        <v>-16.04</v>
      </c>
      <c r="S620" s="218">
        <v>0.79</v>
      </c>
      <c r="T620" s="218">
        <v>0.17</v>
      </c>
      <c r="U620" s="218">
        <v>4.5999999999999996</v>
      </c>
      <c r="AF620" s="218">
        <v>15.96</v>
      </c>
      <c r="AG620" s="251">
        <f t="shared" si="47"/>
        <v>-15.96</v>
      </c>
      <c r="AH620" s="218">
        <v>0.79</v>
      </c>
      <c r="AI620" s="218">
        <v>0.17</v>
      </c>
      <c r="AJ620" s="218">
        <v>4.6399999999999997</v>
      </c>
      <c r="AV620" s="218">
        <v>15.95</v>
      </c>
      <c r="AW620" s="251">
        <f t="shared" si="48"/>
        <v>-15.95</v>
      </c>
      <c r="AX620" s="218">
        <v>0.79</v>
      </c>
      <c r="AY620" s="218">
        <v>0.17</v>
      </c>
      <c r="AZ620" s="218">
        <v>4.6100000000000003</v>
      </c>
      <c r="BL620" s="218">
        <v>15.87</v>
      </c>
      <c r="BM620" s="251">
        <f t="shared" si="49"/>
        <v>-15.87</v>
      </c>
      <c r="BN620" s="218">
        <v>0.79</v>
      </c>
      <c r="BO620" s="218">
        <v>0.17</v>
      </c>
      <c r="BP620" s="218">
        <v>4.5999999999999996</v>
      </c>
    </row>
    <row r="621" spans="2:68">
      <c r="B621" s="218">
        <v>16.02</v>
      </c>
      <c r="C621" s="218">
        <f t="shared" si="45"/>
        <v>-16.02</v>
      </c>
      <c r="D621" s="218">
        <v>0.79</v>
      </c>
      <c r="E621" s="218">
        <v>0.17</v>
      </c>
      <c r="F621" s="218">
        <v>4.62</v>
      </c>
      <c r="Q621" s="218">
        <v>16.07</v>
      </c>
      <c r="R621" s="251">
        <f t="shared" si="46"/>
        <v>-16.07</v>
      </c>
      <c r="S621" s="218">
        <v>0.79</v>
      </c>
      <c r="T621" s="218">
        <v>0.17</v>
      </c>
      <c r="U621" s="218">
        <v>4.5999999999999996</v>
      </c>
      <c r="AF621" s="218">
        <v>15.99</v>
      </c>
      <c r="AG621" s="251">
        <f t="shared" si="47"/>
        <v>-15.99</v>
      </c>
      <c r="AH621" s="218">
        <v>0.79</v>
      </c>
      <c r="AI621" s="218">
        <v>0.17</v>
      </c>
      <c r="AJ621" s="218">
        <v>4.6500000000000004</v>
      </c>
      <c r="AV621" s="218">
        <v>15.98</v>
      </c>
      <c r="AW621" s="251">
        <f t="shared" si="48"/>
        <v>-15.98</v>
      </c>
      <c r="AX621" s="218">
        <v>0.79</v>
      </c>
      <c r="AY621" s="218">
        <v>0.17</v>
      </c>
      <c r="AZ621" s="218">
        <v>4.6100000000000003</v>
      </c>
      <c r="BL621" s="218">
        <v>15.9</v>
      </c>
      <c r="BM621" s="251">
        <f t="shared" si="49"/>
        <v>-15.9</v>
      </c>
      <c r="BN621" s="218">
        <v>0.79</v>
      </c>
      <c r="BO621" s="218">
        <v>0.17</v>
      </c>
      <c r="BP621" s="218">
        <v>4.5999999999999996</v>
      </c>
    </row>
    <row r="622" spans="2:68">
      <c r="B622" s="218">
        <v>16.04</v>
      </c>
      <c r="C622" s="218">
        <f t="shared" si="45"/>
        <v>-16.04</v>
      </c>
      <c r="D622" s="218">
        <v>0.79</v>
      </c>
      <c r="E622" s="218">
        <v>0.17</v>
      </c>
      <c r="F622" s="218">
        <v>4.62</v>
      </c>
      <c r="Q622" s="218">
        <v>16.09</v>
      </c>
      <c r="R622" s="251">
        <f t="shared" si="46"/>
        <v>-16.09</v>
      </c>
      <c r="S622" s="218">
        <v>0.79</v>
      </c>
      <c r="T622" s="218">
        <v>0.17</v>
      </c>
      <c r="U622" s="218">
        <v>4.5999999999999996</v>
      </c>
      <c r="AF622" s="218">
        <v>16.010000000000002</v>
      </c>
      <c r="AG622" s="251">
        <f t="shared" si="47"/>
        <v>-16.010000000000002</v>
      </c>
      <c r="AH622" s="218">
        <v>0.79</v>
      </c>
      <c r="AI622" s="218">
        <v>0.17</v>
      </c>
      <c r="AJ622" s="218">
        <v>4.6500000000000004</v>
      </c>
      <c r="AV622" s="218">
        <v>16</v>
      </c>
      <c r="AW622" s="251">
        <f t="shared" si="48"/>
        <v>-16</v>
      </c>
      <c r="AX622" s="218">
        <v>0.79</v>
      </c>
      <c r="AY622" s="218">
        <v>0.17</v>
      </c>
      <c r="AZ622" s="218">
        <v>4.6100000000000003</v>
      </c>
      <c r="BL622" s="218">
        <v>15.92</v>
      </c>
      <c r="BM622" s="251">
        <f t="shared" si="49"/>
        <v>-15.92</v>
      </c>
      <c r="BN622" s="218">
        <v>0.79</v>
      </c>
      <c r="BO622" s="218">
        <v>0.17</v>
      </c>
      <c r="BP622" s="218">
        <v>4.5999999999999996</v>
      </c>
    </row>
    <row r="623" spans="2:68">
      <c r="B623" s="218">
        <v>16.07</v>
      </c>
      <c r="C623" s="218">
        <f t="shared" si="45"/>
        <v>-16.07</v>
      </c>
      <c r="D623" s="218">
        <v>0.79</v>
      </c>
      <c r="E623" s="218">
        <v>0.17</v>
      </c>
      <c r="F623" s="218">
        <v>4.62</v>
      </c>
      <c r="Q623" s="218">
        <v>16.12</v>
      </c>
      <c r="R623" s="251">
        <f t="shared" si="46"/>
        <v>-16.12</v>
      </c>
      <c r="S623" s="218">
        <v>0.79</v>
      </c>
      <c r="T623" s="218">
        <v>0.17</v>
      </c>
      <c r="U623" s="218">
        <v>4.5999999999999996</v>
      </c>
      <c r="AF623" s="218">
        <v>16.04</v>
      </c>
      <c r="AG623" s="251">
        <f t="shared" si="47"/>
        <v>-16.04</v>
      </c>
      <c r="AH623" s="218">
        <v>0.79</v>
      </c>
      <c r="AI623" s="218">
        <v>0.17</v>
      </c>
      <c r="AJ623" s="218">
        <v>4.6500000000000004</v>
      </c>
      <c r="AV623" s="218">
        <v>16.03</v>
      </c>
      <c r="AW623" s="251">
        <f t="shared" si="48"/>
        <v>-16.03</v>
      </c>
      <c r="AX623" s="218">
        <v>0.79</v>
      </c>
      <c r="AY623" s="218">
        <v>0.17</v>
      </c>
      <c r="AZ623" s="218">
        <v>4.6100000000000003</v>
      </c>
      <c r="BL623" s="218">
        <v>15.95</v>
      </c>
      <c r="BM623" s="251">
        <f t="shared" si="49"/>
        <v>-15.95</v>
      </c>
      <c r="BN623" s="218">
        <v>0.79</v>
      </c>
      <c r="BO623" s="218">
        <v>0.17</v>
      </c>
      <c r="BP623" s="218">
        <v>4.5999999999999996</v>
      </c>
    </row>
    <row r="624" spans="2:68">
      <c r="B624" s="218">
        <v>16.09</v>
      </c>
      <c r="C624" s="218">
        <f t="shared" si="45"/>
        <v>-16.09</v>
      </c>
      <c r="D624" s="218">
        <v>0.79</v>
      </c>
      <c r="E624" s="218">
        <v>0.17</v>
      </c>
      <c r="F624" s="218">
        <v>4.62</v>
      </c>
      <c r="Q624" s="218">
        <v>16.14</v>
      </c>
      <c r="R624" s="251">
        <f t="shared" si="46"/>
        <v>-16.14</v>
      </c>
      <c r="S624" s="218">
        <v>0.79</v>
      </c>
      <c r="T624" s="218">
        <v>0.17</v>
      </c>
      <c r="U624" s="218">
        <v>4.5999999999999996</v>
      </c>
      <c r="AF624" s="218">
        <v>16.059999999999999</v>
      </c>
      <c r="AG624" s="251">
        <f t="shared" si="47"/>
        <v>-16.059999999999999</v>
      </c>
      <c r="AH624" s="218">
        <v>0.79</v>
      </c>
      <c r="AI624" s="218">
        <v>0.17</v>
      </c>
      <c r="AJ624" s="218">
        <v>4.6500000000000004</v>
      </c>
      <c r="AV624" s="218">
        <v>16.05</v>
      </c>
      <c r="AW624" s="251">
        <f t="shared" si="48"/>
        <v>-16.05</v>
      </c>
      <c r="AX624" s="218">
        <v>0.79</v>
      </c>
      <c r="AY624" s="218">
        <v>0.17</v>
      </c>
      <c r="AZ624" s="218">
        <v>4.62</v>
      </c>
      <c r="BL624" s="218">
        <v>15.97</v>
      </c>
      <c r="BM624" s="251">
        <f t="shared" si="49"/>
        <v>-15.97</v>
      </c>
      <c r="BN624" s="218">
        <v>0.79</v>
      </c>
      <c r="BO624" s="218">
        <v>0.17</v>
      </c>
      <c r="BP624" s="218">
        <v>4.5999999999999996</v>
      </c>
    </row>
    <row r="625" spans="2:68">
      <c r="B625" s="218">
        <v>16.12</v>
      </c>
      <c r="C625" s="218">
        <f t="shared" si="45"/>
        <v>-16.12</v>
      </c>
      <c r="D625" s="218">
        <v>0.79</v>
      </c>
      <c r="E625" s="218">
        <v>0.17</v>
      </c>
      <c r="F625" s="218">
        <v>4.62</v>
      </c>
      <c r="Q625" s="218">
        <v>16.170000000000002</v>
      </c>
      <c r="R625" s="251">
        <f t="shared" si="46"/>
        <v>-16.170000000000002</v>
      </c>
      <c r="S625" s="218">
        <v>0.79</v>
      </c>
      <c r="T625" s="218">
        <v>0.17</v>
      </c>
      <c r="U625" s="218">
        <v>4.5999999999999996</v>
      </c>
      <c r="AF625" s="218">
        <v>16.09</v>
      </c>
      <c r="AG625" s="251">
        <f t="shared" si="47"/>
        <v>-16.09</v>
      </c>
      <c r="AH625" s="218">
        <v>0.79</v>
      </c>
      <c r="AI625" s="218">
        <v>0.17</v>
      </c>
      <c r="AJ625" s="218">
        <v>4.6500000000000004</v>
      </c>
      <c r="AV625" s="218">
        <v>16.079999999999998</v>
      </c>
      <c r="AW625" s="251">
        <f t="shared" si="48"/>
        <v>-16.079999999999998</v>
      </c>
      <c r="AX625" s="218">
        <v>0.79</v>
      </c>
      <c r="AY625" s="218">
        <v>0.17</v>
      </c>
      <c r="AZ625" s="218">
        <v>4.62</v>
      </c>
      <c r="BL625" s="218">
        <v>16</v>
      </c>
      <c r="BM625" s="251">
        <f t="shared" si="49"/>
        <v>-16</v>
      </c>
      <c r="BN625" s="218">
        <v>0.79</v>
      </c>
      <c r="BO625" s="218">
        <v>0.17</v>
      </c>
      <c r="BP625" s="218">
        <v>4.5999999999999996</v>
      </c>
    </row>
    <row r="626" spans="2:68">
      <c r="B626" s="218">
        <v>16.14</v>
      </c>
      <c r="C626" s="218">
        <f t="shared" si="45"/>
        <v>-16.14</v>
      </c>
      <c r="D626" s="218">
        <v>0.79</v>
      </c>
      <c r="E626" s="218">
        <v>0.17</v>
      </c>
      <c r="F626" s="218">
        <v>4.62</v>
      </c>
      <c r="Q626" s="218">
        <v>16.190000000000001</v>
      </c>
      <c r="R626" s="251">
        <f t="shared" si="46"/>
        <v>-16.190000000000001</v>
      </c>
      <c r="S626" s="218">
        <v>0.79</v>
      </c>
      <c r="T626" s="218">
        <v>0.17</v>
      </c>
      <c r="U626" s="218">
        <v>4.6100000000000003</v>
      </c>
      <c r="AF626" s="218">
        <v>16.11</v>
      </c>
      <c r="AG626" s="251">
        <f t="shared" si="47"/>
        <v>-16.11</v>
      </c>
      <c r="AH626" s="218">
        <v>0.79</v>
      </c>
      <c r="AI626" s="218">
        <v>0.17</v>
      </c>
      <c r="AJ626" s="218">
        <v>4.6500000000000004</v>
      </c>
      <c r="AV626" s="218">
        <v>16.100000000000001</v>
      </c>
      <c r="AW626" s="251">
        <f t="shared" si="48"/>
        <v>-16.100000000000001</v>
      </c>
      <c r="AX626" s="218">
        <v>0.79</v>
      </c>
      <c r="AY626" s="218">
        <v>0.17</v>
      </c>
      <c r="AZ626" s="218">
        <v>4.62</v>
      </c>
      <c r="BL626" s="218">
        <v>16.02</v>
      </c>
      <c r="BM626" s="251">
        <f t="shared" si="49"/>
        <v>-16.02</v>
      </c>
      <c r="BN626" s="218">
        <v>0.79</v>
      </c>
      <c r="BO626" s="218">
        <v>0.17</v>
      </c>
      <c r="BP626" s="218">
        <v>4.5999999999999996</v>
      </c>
    </row>
    <row r="627" spans="2:68">
      <c r="B627" s="218">
        <v>16.170000000000002</v>
      </c>
      <c r="C627" s="218">
        <f t="shared" si="45"/>
        <v>-16.170000000000002</v>
      </c>
      <c r="D627" s="218">
        <v>0.79</v>
      </c>
      <c r="E627" s="218">
        <v>0.17</v>
      </c>
      <c r="F627" s="218">
        <v>4.62</v>
      </c>
      <c r="Q627" s="218">
        <v>16.22</v>
      </c>
      <c r="R627" s="251">
        <f t="shared" si="46"/>
        <v>-16.22</v>
      </c>
      <c r="S627" s="218">
        <v>0.79</v>
      </c>
      <c r="T627" s="218">
        <v>0.17</v>
      </c>
      <c r="U627" s="218">
        <v>4.6100000000000003</v>
      </c>
      <c r="AF627" s="218">
        <v>16.14</v>
      </c>
      <c r="AG627" s="251">
        <f t="shared" si="47"/>
        <v>-16.14</v>
      </c>
      <c r="AH627" s="218">
        <v>0.79</v>
      </c>
      <c r="AI627" s="218">
        <v>0.17</v>
      </c>
      <c r="AJ627" s="218">
        <v>4.6500000000000004</v>
      </c>
      <c r="AV627" s="218">
        <v>16.13</v>
      </c>
      <c r="AW627" s="251">
        <f t="shared" si="48"/>
        <v>-16.13</v>
      </c>
      <c r="AX627" s="218">
        <v>0.79</v>
      </c>
      <c r="AY627" s="218">
        <v>0.17</v>
      </c>
      <c r="AZ627" s="218">
        <v>4.62</v>
      </c>
      <c r="BL627" s="218">
        <v>16.05</v>
      </c>
      <c r="BM627" s="251">
        <f t="shared" si="49"/>
        <v>-16.05</v>
      </c>
      <c r="BN627" s="218">
        <v>0.79</v>
      </c>
      <c r="BO627" s="218">
        <v>0.17</v>
      </c>
      <c r="BP627" s="218">
        <v>4.6100000000000003</v>
      </c>
    </row>
    <row r="628" spans="2:68">
      <c r="B628" s="218">
        <v>16.190000000000001</v>
      </c>
      <c r="C628" s="218">
        <f t="shared" si="45"/>
        <v>-16.190000000000001</v>
      </c>
      <c r="D628" s="218">
        <v>0.79</v>
      </c>
      <c r="E628" s="218">
        <v>0.17</v>
      </c>
      <c r="F628" s="218">
        <v>4.62</v>
      </c>
      <c r="Q628" s="218">
        <v>16.239999999999998</v>
      </c>
      <c r="R628" s="251">
        <f t="shared" si="46"/>
        <v>-16.239999999999998</v>
      </c>
      <c r="S628" s="218">
        <v>0.79</v>
      </c>
      <c r="T628" s="218">
        <v>0.17</v>
      </c>
      <c r="U628" s="218">
        <v>4.6100000000000003</v>
      </c>
      <c r="AF628" s="218">
        <v>16.16</v>
      </c>
      <c r="AG628" s="251">
        <f t="shared" si="47"/>
        <v>-16.16</v>
      </c>
      <c r="AH628" s="218">
        <v>0.79</v>
      </c>
      <c r="AI628" s="218">
        <v>0.17</v>
      </c>
      <c r="AJ628" s="218">
        <v>4.6500000000000004</v>
      </c>
      <c r="AV628" s="218">
        <v>16.149999999999999</v>
      </c>
      <c r="AW628" s="251">
        <f t="shared" si="48"/>
        <v>-16.149999999999999</v>
      </c>
      <c r="AX628" s="218">
        <v>0.79</v>
      </c>
      <c r="AY628" s="218">
        <v>0.17</v>
      </c>
      <c r="AZ628" s="218">
        <v>4.62</v>
      </c>
      <c r="BL628" s="218">
        <v>16.07</v>
      </c>
      <c r="BM628" s="251">
        <f t="shared" si="49"/>
        <v>-16.07</v>
      </c>
      <c r="BN628" s="218">
        <v>0.79</v>
      </c>
      <c r="BO628" s="218">
        <v>0.17</v>
      </c>
      <c r="BP628" s="218">
        <v>4.6100000000000003</v>
      </c>
    </row>
    <row r="629" spans="2:68">
      <c r="B629" s="218">
        <v>16.22</v>
      </c>
      <c r="C629" s="218">
        <f t="shared" si="45"/>
        <v>-16.22</v>
      </c>
      <c r="D629" s="218">
        <v>0.79</v>
      </c>
      <c r="E629" s="218">
        <v>0.17</v>
      </c>
      <c r="F629" s="218">
        <v>4.63</v>
      </c>
      <c r="Q629" s="218">
        <v>16.27</v>
      </c>
      <c r="R629" s="251">
        <f t="shared" si="46"/>
        <v>-16.27</v>
      </c>
      <c r="S629" s="218">
        <v>0.79</v>
      </c>
      <c r="T629" s="218">
        <v>0.17</v>
      </c>
      <c r="U629" s="218">
        <v>4.6100000000000003</v>
      </c>
      <c r="AF629" s="218">
        <v>16.190000000000001</v>
      </c>
      <c r="AG629" s="251">
        <f t="shared" si="47"/>
        <v>-16.190000000000001</v>
      </c>
      <c r="AH629" s="218">
        <v>0.79</v>
      </c>
      <c r="AI629" s="218">
        <v>0.17</v>
      </c>
      <c r="AJ629" s="218">
        <v>4.66</v>
      </c>
      <c r="AV629" s="218">
        <v>16.18</v>
      </c>
      <c r="AW629" s="251">
        <f t="shared" si="48"/>
        <v>-16.18</v>
      </c>
      <c r="AX629" s="218">
        <v>0.79</v>
      </c>
      <c r="AY629" s="218">
        <v>0.17</v>
      </c>
      <c r="AZ629" s="218">
        <v>4.62</v>
      </c>
      <c r="BL629" s="218">
        <v>16.100000000000001</v>
      </c>
      <c r="BM629" s="251">
        <f t="shared" si="49"/>
        <v>-16.100000000000001</v>
      </c>
      <c r="BN629" s="218">
        <v>0.79</v>
      </c>
      <c r="BO629" s="218">
        <v>0.17</v>
      </c>
      <c r="BP629" s="218">
        <v>4.6100000000000003</v>
      </c>
    </row>
    <row r="630" spans="2:68">
      <c r="B630" s="218">
        <v>16.239999999999998</v>
      </c>
      <c r="C630" s="218">
        <f t="shared" si="45"/>
        <v>-16.239999999999998</v>
      </c>
      <c r="D630" s="218">
        <v>0.79</v>
      </c>
      <c r="E630" s="218">
        <v>0.17</v>
      </c>
      <c r="F630" s="218">
        <v>4.63</v>
      </c>
      <c r="Q630" s="218">
        <v>16.29</v>
      </c>
      <c r="R630" s="251">
        <f t="shared" si="46"/>
        <v>-16.29</v>
      </c>
      <c r="S630" s="218">
        <v>0.79</v>
      </c>
      <c r="T630" s="218">
        <v>0.17</v>
      </c>
      <c r="U630" s="218">
        <v>4.6100000000000003</v>
      </c>
      <c r="AF630" s="218">
        <v>16.21</v>
      </c>
      <c r="AG630" s="251">
        <f t="shared" si="47"/>
        <v>-16.21</v>
      </c>
      <c r="AH630" s="218">
        <v>0.79</v>
      </c>
      <c r="AI630" s="218">
        <v>0.17</v>
      </c>
      <c r="AJ630" s="218">
        <v>4.66</v>
      </c>
      <c r="AV630" s="218">
        <v>16.2</v>
      </c>
      <c r="AW630" s="251">
        <f t="shared" si="48"/>
        <v>-16.2</v>
      </c>
      <c r="AX630" s="218">
        <v>0.79</v>
      </c>
      <c r="AY630" s="218">
        <v>0.17</v>
      </c>
      <c r="AZ630" s="218">
        <v>4.62</v>
      </c>
      <c r="BL630" s="218">
        <v>16.12</v>
      </c>
      <c r="BM630" s="251">
        <f t="shared" si="49"/>
        <v>-16.12</v>
      </c>
      <c r="BN630" s="218">
        <v>0.79</v>
      </c>
      <c r="BO630" s="218">
        <v>0.17</v>
      </c>
      <c r="BP630" s="218">
        <v>4.6100000000000003</v>
      </c>
    </row>
    <row r="631" spans="2:68">
      <c r="B631" s="218">
        <v>16.27</v>
      </c>
      <c r="C631" s="218">
        <f t="shared" si="45"/>
        <v>-16.27</v>
      </c>
      <c r="D631" s="218">
        <v>0.79</v>
      </c>
      <c r="E631" s="218">
        <v>0.17</v>
      </c>
      <c r="F631" s="218">
        <v>4.63</v>
      </c>
      <c r="Q631" s="218">
        <v>16.32</v>
      </c>
      <c r="R631" s="251">
        <f t="shared" si="46"/>
        <v>-16.32</v>
      </c>
      <c r="S631" s="218">
        <v>0.79</v>
      </c>
      <c r="T631" s="218">
        <v>0.17</v>
      </c>
      <c r="U631" s="218">
        <v>4.6100000000000003</v>
      </c>
      <c r="AF631" s="218">
        <v>16.239999999999998</v>
      </c>
      <c r="AG631" s="251">
        <f t="shared" si="47"/>
        <v>-16.239999999999998</v>
      </c>
      <c r="AH631" s="218">
        <v>0.79</v>
      </c>
      <c r="AI631" s="218">
        <v>0.17</v>
      </c>
      <c r="AJ631" s="218">
        <v>4.66</v>
      </c>
      <c r="AV631" s="218">
        <v>16.23</v>
      </c>
      <c r="AW631" s="251">
        <f t="shared" si="48"/>
        <v>-16.23</v>
      </c>
      <c r="AX631" s="218">
        <v>0.79</v>
      </c>
      <c r="AY631" s="218">
        <v>0.17</v>
      </c>
      <c r="AZ631" s="218">
        <v>4.62</v>
      </c>
      <c r="BL631" s="218">
        <v>16.149999999999999</v>
      </c>
      <c r="BM631" s="251">
        <f t="shared" si="49"/>
        <v>-16.149999999999999</v>
      </c>
      <c r="BN631" s="218">
        <v>0.79</v>
      </c>
      <c r="BO631" s="218">
        <v>0.17</v>
      </c>
      <c r="BP631" s="218">
        <v>4.6100000000000003</v>
      </c>
    </row>
    <row r="632" spans="2:68">
      <c r="B632" s="218">
        <v>16.29</v>
      </c>
      <c r="C632" s="218">
        <f t="shared" si="45"/>
        <v>-16.29</v>
      </c>
      <c r="D632" s="218">
        <v>0.79</v>
      </c>
      <c r="E632" s="218">
        <v>0.17</v>
      </c>
      <c r="F632" s="218">
        <v>4.63</v>
      </c>
      <c r="Q632" s="218">
        <v>16.34</v>
      </c>
      <c r="R632" s="251">
        <f t="shared" si="46"/>
        <v>-16.34</v>
      </c>
      <c r="S632" s="218">
        <v>0.79</v>
      </c>
      <c r="T632" s="218">
        <v>0.17</v>
      </c>
      <c r="U632" s="218">
        <v>4.6100000000000003</v>
      </c>
      <c r="AF632" s="218">
        <v>16.260000000000002</v>
      </c>
      <c r="AG632" s="251">
        <f t="shared" si="47"/>
        <v>-16.260000000000002</v>
      </c>
      <c r="AH632" s="218">
        <v>0.79</v>
      </c>
      <c r="AI632" s="218">
        <v>0.17</v>
      </c>
      <c r="AJ632" s="218">
        <v>4.66</v>
      </c>
      <c r="AV632" s="218">
        <v>16.25</v>
      </c>
      <c r="AW632" s="251">
        <f t="shared" si="48"/>
        <v>-16.25</v>
      </c>
      <c r="AX632" s="218">
        <v>0.79</v>
      </c>
      <c r="AY632" s="218">
        <v>0.17</v>
      </c>
      <c r="AZ632" s="218">
        <v>4.63</v>
      </c>
      <c r="BL632" s="218">
        <v>16.170000000000002</v>
      </c>
      <c r="BM632" s="251">
        <f t="shared" si="49"/>
        <v>-16.170000000000002</v>
      </c>
      <c r="BN632" s="218">
        <v>0.79</v>
      </c>
      <c r="BO632" s="218">
        <v>0.17</v>
      </c>
      <c r="BP632" s="218">
        <v>4.6100000000000003</v>
      </c>
    </row>
    <row r="633" spans="2:68">
      <c r="B633" s="218">
        <v>16.32</v>
      </c>
      <c r="C633" s="218">
        <f t="shared" si="45"/>
        <v>-16.32</v>
      </c>
      <c r="D633" s="218">
        <v>0.79</v>
      </c>
      <c r="E633" s="218">
        <v>0.17</v>
      </c>
      <c r="F633" s="218">
        <v>4.63</v>
      </c>
      <c r="Q633" s="218">
        <v>16.37</v>
      </c>
      <c r="R633" s="251">
        <f t="shared" si="46"/>
        <v>-16.37</v>
      </c>
      <c r="S633" s="218">
        <v>0.79</v>
      </c>
      <c r="T633" s="218">
        <v>0.17</v>
      </c>
      <c r="U633" s="218">
        <v>4.62</v>
      </c>
      <c r="AF633" s="218">
        <v>16.29</v>
      </c>
      <c r="AG633" s="251">
        <f t="shared" si="47"/>
        <v>-16.29</v>
      </c>
      <c r="AH633" s="218">
        <v>0.79</v>
      </c>
      <c r="AI633" s="218">
        <v>0.17</v>
      </c>
      <c r="AJ633" s="218">
        <v>4.66</v>
      </c>
      <c r="AV633" s="218">
        <v>16.28</v>
      </c>
      <c r="AW633" s="251">
        <f t="shared" si="48"/>
        <v>-16.28</v>
      </c>
      <c r="AX633" s="218">
        <v>0.79</v>
      </c>
      <c r="AY633" s="218">
        <v>0.17</v>
      </c>
      <c r="AZ633" s="218">
        <v>4.63</v>
      </c>
      <c r="BL633" s="218">
        <v>16.2</v>
      </c>
      <c r="BM633" s="251">
        <f t="shared" si="49"/>
        <v>-16.2</v>
      </c>
      <c r="BN633" s="218">
        <v>0.79</v>
      </c>
      <c r="BO633" s="218">
        <v>0.17</v>
      </c>
      <c r="BP633" s="218">
        <v>4.6100000000000003</v>
      </c>
    </row>
    <row r="634" spans="2:68">
      <c r="B634" s="218">
        <v>16.34</v>
      </c>
      <c r="C634" s="218">
        <f t="shared" si="45"/>
        <v>-16.34</v>
      </c>
      <c r="D634" s="218">
        <v>0.79</v>
      </c>
      <c r="E634" s="218">
        <v>0.17</v>
      </c>
      <c r="F634" s="218">
        <v>4.63</v>
      </c>
      <c r="Q634" s="218">
        <v>16.39</v>
      </c>
      <c r="R634" s="251">
        <f t="shared" si="46"/>
        <v>-16.39</v>
      </c>
      <c r="S634" s="218">
        <v>0.79</v>
      </c>
      <c r="T634" s="218">
        <v>0.17</v>
      </c>
      <c r="U634" s="218">
        <v>4.62</v>
      </c>
      <c r="AF634" s="218">
        <v>16.309999999999999</v>
      </c>
      <c r="AG634" s="251">
        <f t="shared" si="47"/>
        <v>-16.309999999999999</v>
      </c>
      <c r="AH634" s="218">
        <v>0.79</v>
      </c>
      <c r="AI634" s="218">
        <v>0.17</v>
      </c>
      <c r="AJ634" s="218">
        <v>4.66</v>
      </c>
      <c r="AV634" s="218">
        <v>16.3</v>
      </c>
      <c r="AW634" s="251">
        <f t="shared" si="48"/>
        <v>-16.3</v>
      </c>
      <c r="AX634" s="218">
        <v>0.79</v>
      </c>
      <c r="AY634" s="218">
        <v>0.17</v>
      </c>
      <c r="AZ634" s="218">
        <v>4.63</v>
      </c>
      <c r="BL634" s="218">
        <v>16.22</v>
      </c>
      <c r="BM634" s="251">
        <f t="shared" si="49"/>
        <v>-16.22</v>
      </c>
      <c r="BN634" s="218">
        <v>0.79</v>
      </c>
      <c r="BO634" s="218">
        <v>0.17</v>
      </c>
      <c r="BP634" s="218">
        <v>4.6100000000000003</v>
      </c>
    </row>
    <row r="635" spans="2:68">
      <c r="B635" s="218">
        <v>16.37</v>
      </c>
      <c r="C635" s="218">
        <f t="shared" si="45"/>
        <v>-16.37</v>
      </c>
      <c r="D635" s="218">
        <v>0.79</v>
      </c>
      <c r="E635" s="218">
        <v>0.17</v>
      </c>
      <c r="F635" s="218">
        <v>4.63</v>
      </c>
      <c r="Q635" s="218">
        <v>16.420000000000002</v>
      </c>
      <c r="R635" s="251">
        <f t="shared" si="46"/>
        <v>-16.420000000000002</v>
      </c>
      <c r="S635" s="218">
        <v>0.79</v>
      </c>
      <c r="T635" s="218">
        <v>0.17</v>
      </c>
      <c r="U635" s="218">
        <v>4.62</v>
      </c>
      <c r="AF635" s="218">
        <v>16.34</v>
      </c>
      <c r="AG635" s="251">
        <f t="shared" si="47"/>
        <v>-16.34</v>
      </c>
      <c r="AH635" s="218">
        <v>0.79</v>
      </c>
      <c r="AI635" s="218">
        <v>0.17</v>
      </c>
      <c r="AJ635" s="218">
        <v>4.66</v>
      </c>
      <c r="AV635" s="218">
        <v>16.329999999999998</v>
      </c>
      <c r="AW635" s="251">
        <f t="shared" si="48"/>
        <v>-16.329999999999998</v>
      </c>
      <c r="AX635" s="218">
        <v>0.79</v>
      </c>
      <c r="AY635" s="218">
        <v>0.17</v>
      </c>
      <c r="AZ635" s="218">
        <v>4.63</v>
      </c>
      <c r="BL635" s="218">
        <v>16.25</v>
      </c>
      <c r="BM635" s="251">
        <f t="shared" si="49"/>
        <v>-16.25</v>
      </c>
      <c r="BN635" s="218">
        <v>0.79</v>
      </c>
      <c r="BO635" s="218">
        <v>0.17</v>
      </c>
      <c r="BP635" s="218">
        <v>4.62</v>
      </c>
    </row>
    <row r="636" spans="2:68">
      <c r="B636" s="218">
        <v>16.39</v>
      </c>
      <c r="C636" s="218">
        <f t="shared" si="45"/>
        <v>-16.39</v>
      </c>
      <c r="D636" s="218">
        <v>0.79</v>
      </c>
      <c r="E636" s="218">
        <v>0.17</v>
      </c>
      <c r="F636" s="218">
        <v>4.6399999999999997</v>
      </c>
      <c r="Q636" s="218">
        <v>16.440000000000001</v>
      </c>
      <c r="R636" s="251">
        <f t="shared" si="46"/>
        <v>-16.440000000000001</v>
      </c>
      <c r="S636" s="218">
        <v>0.79</v>
      </c>
      <c r="T636" s="218">
        <v>0.17</v>
      </c>
      <c r="U636" s="218">
        <v>4.62</v>
      </c>
      <c r="AF636" s="218">
        <v>16.36</v>
      </c>
      <c r="AG636" s="251">
        <f t="shared" si="47"/>
        <v>-16.36</v>
      </c>
      <c r="AH636" s="218">
        <v>0.79</v>
      </c>
      <c r="AI636" s="218">
        <v>0.17</v>
      </c>
      <c r="AJ636" s="218">
        <v>4.66</v>
      </c>
      <c r="AV636" s="218">
        <v>16.350000000000001</v>
      </c>
      <c r="AW636" s="251">
        <f t="shared" si="48"/>
        <v>-16.350000000000001</v>
      </c>
      <c r="AX636" s="218">
        <v>0.79</v>
      </c>
      <c r="AY636" s="218">
        <v>0.17</v>
      </c>
      <c r="AZ636" s="218">
        <v>4.63</v>
      </c>
      <c r="BL636" s="218">
        <v>16.27</v>
      </c>
      <c r="BM636" s="251">
        <f t="shared" si="49"/>
        <v>-16.27</v>
      </c>
      <c r="BN636" s="218">
        <v>0.79</v>
      </c>
      <c r="BO636" s="218">
        <v>0.17</v>
      </c>
      <c r="BP636" s="218">
        <v>4.62</v>
      </c>
    </row>
    <row r="637" spans="2:68">
      <c r="B637" s="218">
        <v>16.420000000000002</v>
      </c>
      <c r="C637" s="218">
        <f t="shared" si="45"/>
        <v>-16.420000000000002</v>
      </c>
      <c r="D637" s="218">
        <v>0.79</v>
      </c>
      <c r="E637" s="218">
        <v>0.17</v>
      </c>
      <c r="F637" s="218">
        <v>4.6399999999999997</v>
      </c>
      <c r="Q637" s="218">
        <v>16.47</v>
      </c>
      <c r="R637" s="251">
        <f t="shared" si="46"/>
        <v>-16.47</v>
      </c>
      <c r="S637" s="218">
        <v>0.79</v>
      </c>
      <c r="T637" s="218">
        <v>0.17</v>
      </c>
      <c r="U637" s="218">
        <v>4.62</v>
      </c>
      <c r="AF637" s="218">
        <v>16.39</v>
      </c>
      <c r="AG637" s="251">
        <f t="shared" si="47"/>
        <v>-16.39</v>
      </c>
      <c r="AH637" s="218">
        <v>0.79</v>
      </c>
      <c r="AI637" s="218">
        <v>0.17</v>
      </c>
      <c r="AJ637" s="218">
        <v>4.67</v>
      </c>
      <c r="AV637" s="218">
        <v>16.38</v>
      </c>
      <c r="AW637" s="251">
        <f t="shared" si="48"/>
        <v>-16.38</v>
      </c>
      <c r="AX637" s="218">
        <v>0.79</v>
      </c>
      <c r="AY637" s="218">
        <v>0.17</v>
      </c>
      <c r="AZ637" s="218">
        <v>4.63</v>
      </c>
      <c r="BL637" s="218">
        <v>16.3</v>
      </c>
      <c r="BM637" s="251">
        <f t="shared" si="49"/>
        <v>-16.3</v>
      </c>
      <c r="BN637" s="218">
        <v>0.79</v>
      </c>
      <c r="BO637" s="218">
        <v>0.17</v>
      </c>
      <c r="BP637" s="218">
        <v>4.62</v>
      </c>
    </row>
    <row r="638" spans="2:68">
      <c r="B638" s="218">
        <v>16.440000000000001</v>
      </c>
      <c r="C638" s="218">
        <f t="shared" si="45"/>
        <v>-16.440000000000001</v>
      </c>
      <c r="D638" s="218">
        <v>0.79</v>
      </c>
      <c r="E638" s="218">
        <v>0.17</v>
      </c>
      <c r="F638" s="218">
        <v>4.6399999999999997</v>
      </c>
      <c r="Q638" s="218">
        <v>16.489999999999998</v>
      </c>
      <c r="R638" s="251">
        <f t="shared" si="46"/>
        <v>-16.489999999999998</v>
      </c>
      <c r="S638" s="218">
        <v>0.79</v>
      </c>
      <c r="T638" s="218">
        <v>0.17</v>
      </c>
      <c r="U638" s="218">
        <v>4.62</v>
      </c>
      <c r="AF638" s="218">
        <v>16.41</v>
      </c>
      <c r="AG638" s="251">
        <f t="shared" si="47"/>
        <v>-16.41</v>
      </c>
      <c r="AH638" s="218">
        <v>0.79</v>
      </c>
      <c r="AI638" s="218">
        <v>0.17</v>
      </c>
      <c r="AJ638" s="218">
        <v>4.67</v>
      </c>
      <c r="AV638" s="218">
        <v>16.399999999999999</v>
      </c>
      <c r="AW638" s="251">
        <f t="shared" si="48"/>
        <v>-16.399999999999999</v>
      </c>
      <c r="AX638" s="218">
        <v>0.79</v>
      </c>
      <c r="AY638" s="218">
        <v>0.17</v>
      </c>
      <c r="AZ638" s="218">
        <v>4.63</v>
      </c>
      <c r="BL638" s="218">
        <v>16.32</v>
      </c>
      <c r="BM638" s="251">
        <f t="shared" si="49"/>
        <v>-16.32</v>
      </c>
      <c r="BN638" s="218">
        <v>0.79</v>
      </c>
      <c r="BO638" s="218">
        <v>0.17</v>
      </c>
      <c r="BP638" s="218">
        <v>4.62</v>
      </c>
    </row>
    <row r="639" spans="2:68">
      <c r="B639" s="218">
        <v>16.47</v>
      </c>
      <c r="C639" s="218">
        <f t="shared" si="45"/>
        <v>-16.47</v>
      </c>
      <c r="D639" s="218">
        <v>0.79</v>
      </c>
      <c r="E639" s="218">
        <v>0.17</v>
      </c>
      <c r="F639" s="218">
        <v>4.6399999999999997</v>
      </c>
      <c r="Q639" s="218">
        <v>16.52</v>
      </c>
      <c r="R639" s="251">
        <f t="shared" si="46"/>
        <v>-16.52</v>
      </c>
      <c r="S639" s="218">
        <v>0.79</v>
      </c>
      <c r="T639" s="218">
        <v>0.17</v>
      </c>
      <c r="U639" s="218">
        <v>4.62</v>
      </c>
      <c r="AF639" s="218">
        <v>16.440000000000001</v>
      </c>
      <c r="AG639" s="251">
        <f t="shared" si="47"/>
        <v>-16.440000000000001</v>
      </c>
      <c r="AH639" s="218">
        <v>0.79</v>
      </c>
      <c r="AI639" s="218">
        <v>0.17</v>
      </c>
      <c r="AJ639" s="218">
        <v>4.67</v>
      </c>
      <c r="AV639" s="218">
        <v>16.43</v>
      </c>
      <c r="AW639" s="251">
        <f t="shared" si="48"/>
        <v>-16.43</v>
      </c>
      <c r="AX639" s="218">
        <v>0.79</v>
      </c>
      <c r="AY639" s="218">
        <v>0.17</v>
      </c>
      <c r="AZ639" s="218">
        <v>4.6399999999999997</v>
      </c>
      <c r="BL639" s="218">
        <v>16.350000000000001</v>
      </c>
      <c r="BM639" s="251">
        <f t="shared" si="49"/>
        <v>-16.350000000000001</v>
      </c>
      <c r="BN639" s="218">
        <v>0.79</v>
      </c>
      <c r="BO639" s="218">
        <v>0.17</v>
      </c>
      <c r="BP639" s="218">
        <v>4.62</v>
      </c>
    </row>
    <row r="640" spans="2:68">
      <c r="B640" s="218">
        <v>16.489999999999998</v>
      </c>
      <c r="C640" s="218">
        <f t="shared" si="45"/>
        <v>-16.489999999999998</v>
      </c>
      <c r="D640" s="218">
        <v>0.79</v>
      </c>
      <c r="E640" s="218">
        <v>0.17</v>
      </c>
      <c r="F640" s="218">
        <v>4.6399999999999997</v>
      </c>
      <c r="Q640" s="218">
        <v>16.54</v>
      </c>
      <c r="R640" s="251">
        <f t="shared" si="46"/>
        <v>-16.54</v>
      </c>
      <c r="S640" s="218">
        <v>0.79</v>
      </c>
      <c r="T640" s="218">
        <v>0.17</v>
      </c>
      <c r="U640" s="218">
        <v>4.63</v>
      </c>
      <c r="AF640" s="218">
        <v>16.46</v>
      </c>
      <c r="AG640" s="251">
        <f t="shared" si="47"/>
        <v>-16.46</v>
      </c>
      <c r="AH640" s="218">
        <v>0.79</v>
      </c>
      <c r="AI640" s="218">
        <v>0.17</v>
      </c>
      <c r="AJ640" s="218">
        <v>4.67</v>
      </c>
      <c r="AV640" s="218">
        <v>16.45</v>
      </c>
      <c r="AW640" s="251">
        <f t="shared" si="48"/>
        <v>-16.45</v>
      </c>
      <c r="AX640" s="218">
        <v>0.79</v>
      </c>
      <c r="AY640" s="218">
        <v>0.17</v>
      </c>
      <c r="AZ640" s="218">
        <v>4.6399999999999997</v>
      </c>
      <c r="BL640" s="218">
        <v>16.37</v>
      </c>
      <c r="BM640" s="251">
        <f t="shared" si="49"/>
        <v>-16.37</v>
      </c>
      <c r="BN640" s="218">
        <v>0.79</v>
      </c>
      <c r="BO640" s="218">
        <v>0.17</v>
      </c>
      <c r="BP640" s="218">
        <v>4.62</v>
      </c>
    </row>
    <row r="641" spans="2:68">
      <c r="B641" s="218">
        <v>16.52</v>
      </c>
      <c r="C641" s="218">
        <f t="shared" si="45"/>
        <v>-16.52</v>
      </c>
      <c r="D641" s="218">
        <v>0.79</v>
      </c>
      <c r="E641" s="218">
        <v>0.17</v>
      </c>
      <c r="F641" s="218">
        <v>4.6399999999999997</v>
      </c>
      <c r="Q641" s="218">
        <v>16.57</v>
      </c>
      <c r="R641" s="251">
        <f t="shared" si="46"/>
        <v>-16.57</v>
      </c>
      <c r="S641" s="218">
        <v>0.79</v>
      </c>
      <c r="T641" s="218">
        <v>0.17</v>
      </c>
      <c r="U641" s="218">
        <v>4.63</v>
      </c>
      <c r="AF641" s="218">
        <v>16.489999999999998</v>
      </c>
      <c r="AG641" s="251">
        <f t="shared" si="47"/>
        <v>-16.489999999999998</v>
      </c>
      <c r="AH641" s="218">
        <v>0.79</v>
      </c>
      <c r="AI641" s="218">
        <v>0.17</v>
      </c>
      <c r="AJ641" s="218">
        <v>4.67</v>
      </c>
      <c r="AV641" s="218">
        <v>16.48</v>
      </c>
      <c r="AW641" s="251">
        <f t="shared" si="48"/>
        <v>-16.48</v>
      </c>
      <c r="AX641" s="218">
        <v>0.79</v>
      </c>
      <c r="AY641" s="218">
        <v>0.17</v>
      </c>
      <c r="AZ641" s="218">
        <v>4.6399999999999997</v>
      </c>
      <c r="BL641" s="218">
        <v>16.399999999999999</v>
      </c>
      <c r="BM641" s="251">
        <f t="shared" si="49"/>
        <v>-16.399999999999999</v>
      </c>
      <c r="BN641" s="218">
        <v>0.79</v>
      </c>
      <c r="BO641" s="218">
        <v>0.17</v>
      </c>
      <c r="BP641" s="218">
        <v>4.62</v>
      </c>
    </row>
    <row r="642" spans="2:68">
      <c r="B642" s="218">
        <v>16.54</v>
      </c>
      <c r="C642" s="218">
        <f t="shared" si="45"/>
        <v>-16.54</v>
      </c>
      <c r="D642" s="218">
        <v>0.79</v>
      </c>
      <c r="E642" s="218">
        <v>0.17</v>
      </c>
      <c r="F642" s="218">
        <v>4.6399999999999997</v>
      </c>
      <c r="Q642" s="218">
        <v>16.59</v>
      </c>
      <c r="R642" s="251">
        <f t="shared" si="46"/>
        <v>-16.59</v>
      </c>
      <c r="S642" s="218">
        <v>0.79</v>
      </c>
      <c r="T642" s="218">
        <v>0.17</v>
      </c>
      <c r="U642" s="218">
        <v>4.63</v>
      </c>
      <c r="AF642" s="218">
        <v>16.510000000000002</v>
      </c>
      <c r="AG642" s="251">
        <f t="shared" si="47"/>
        <v>-16.510000000000002</v>
      </c>
      <c r="AH642" s="218">
        <v>0.79</v>
      </c>
      <c r="AI642" s="218">
        <v>0.17</v>
      </c>
      <c r="AJ642" s="218">
        <v>4.67</v>
      </c>
      <c r="AV642" s="218">
        <v>16.5</v>
      </c>
      <c r="AW642" s="251">
        <f t="shared" si="48"/>
        <v>-16.5</v>
      </c>
      <c r="AX642" s="218">
        <v>0.79</v>
      </c>
      <c r="AY642" s="218">
        <v>0.17</v>
      </c>
      <c r="AZ642" s="218">
        <v>4.6399999999999997</v>
      </c>
      <c r="BL642" s="218">
        <v>16.420000000000002</v>
      </c>
      <c r="BM642" s="251">
        <f t="shared" si="49"/>
        <v>-16.420000000000002</v>
      </c>
      <c r="BN642" s="218">
        <v>0.79</v>
      </c>
      <c r="BO642" s="218">
        <v>0.17</v>
      </c>
      <c r="BP642" s="218">
        <v>4.63</v>
      </c>
    </row>
    <row r="643" spans="2:68">
      <c r="B643" s="218">
        <v>16.57</v>
      </c>
      <c r="C643" s="218">
        <f t="shared" si="45"/>
        <v>-16.57</v>
      </c>
      <c r="D643" s="218">
        <v>0.79</v>
      </c>
      <c r="E643" s="218">
        <v>0.17</v>
      </c>
      <c r="F643" s="218">
        <v>4.6500000000000004</v>
      </c>
      <c r="Q643" s="218">
        <v>16.62</v>
      </c>
      <c r="R643" s="251">
        <f t="shared" si="46"/>
        <v>-16.62</v>
      </c>
      <c r="S643" s="218">
        <v>0.79</v>
      </c>
      <c r="T643" s="218">
        <v>0.17</v>
      </c>
      <c r="U643" s="218">
        <v>4.63</v>
      </c>
      <c r="AF643" s="218">
        <v>16.54</v>
      </c>
      <c r="AG643" s="251">
        <f t="shared" si="47"/>
        <v>-16.54</v>
      </c>
      <c r="AH643" s="218">
        <v>0.79</v>
      </c>
      <c r="AI643" s="218">
        <v>0.17</v>
      </c>
      <c r="AJ643" s="218">
        <v>4.67</v>
      </c>
      <c r="AV643" s="218">
        <v>16.53</v>
      </c>
      <c r="AW643" s="251">
        <f t="shared" si="48"/>
        <v>-16.53</v>
      </c>
      <c r="AX643" s="218">
        <v>0.79</v>
      </c>
      <c r="AY643" s="218">
        <v>0.17</v>
      </c>
      <c r="AZ643" s="218">
        <v>4.6399999999999997</v>
      </c>
      <c r="BL643" s="218">
        <v>16.45</v>
      </c>
      <c r="BM643" s="251">
        <f t="shared" si="49"/>
        <v>-16.45</v>
      </c>
      <c r="BN643" s="218">
        <v>0.79</v>
      </c>
      <c r="BO643" s="218">
        <v>0.17</v>
      </c>
      <c r="BP643" s="218">
        <v>4.63</v>
      </c>
    </row>
    <row r="644" spans="2:68">
      <c r="B644" s="218">
        <v>16.59</v>
      </c>
      <c r="C644" s="218">
        <f t="shared" si="45"/>
        <v>-16.59</v>
      </c>
      <c r="D644" s="218">
        <v>0.79</v>
      </c>
      <c r="E644" s="218">
        <v>0.17</v>
      </c>
      <c r="F644" s="218">
        <v>4.6500000000000004</v>
      </c>
      <c r="Q644" s="218">
        <v>16.64</v>
      </c>
      <c r="R644" s="251">
        <f t="shared" si="46"/>
        <v>-16.64</v>
      </c>
      <c r="S644" s="218">
        <v>0.79</v>
      </c>
      <c r="T644" s="218">
        <v>0.17</v>
      </c>
      <c r="U644" s="218">
        <v>4.63</v>
      </c>
      <c r="AF644" s="218">
        <v>16.559999999999999</v>
      </c>
      <c r="AG644" s="251">
        <f t="shared" si="47"/>
        <v>-16.559999999999999</v>
      </c>
      <c r="AH644" s="218">
        <v>0.79</v>
      </c>
      <c r="AI644" s="218">
        <v>0.17</v>
      </c>
      <c r="AJ644" s="218">
        <v>4.67</v>
      </c>
      <c r="AV644" s="218">
        <v>16.55</v>
      </c>
      <c r="AW644" s="251">
        <f t="shared" si="48"/>
        <v>-16.55</v>
      </c>
      <c r="AX644" s="218">
        <v>0.79</v>
      </c>
      <c r="AY644" s="218">
        <v>0.17</v>
      </c>
      <c r="AZ644" s="218">
        <v>4.6399999999999997</v>
      </c>
      <c r="BL644" s="218">
        <v>16.47</v>
      </c>
      <c r="BM644" s="251">
        <f t="shared" si="49"/>
        <v>-16.47</v>
      </c>
      <c r="BN644" s="218">
        <v>0.79</v>
      </c>
      <c r="BO644" s="218">
        <v>0.17</v>
      </c>
      <c r="BP644" s="218">
        <v>4.63</v>
      </c>
    </row>
    <row r="645" spans="2:68">
      <c r="B645" s="218">
        <v>16.62</v>
      </c>
      <c r="C645" s="218">
        <f t="shared" si="45"/>
        <v>-16.62</v>
      </c>
      <c r="D645" s="218">
        <v>0.79</v>
      </c>
      <c r="E645" s="218">
        <v>0.17</v>
      </c>
      <c r="F645" s="218">
        <v>4.6500000000000004</v>
      </c>
      <c r="Q645" s="218">
        <v>16.670000000000002</v>
      </c>
      <c r="R645" s="251">
        <f t="shared" si="46"/>
        <v>-16.670000000000002</v>
      </c>
      <c r="S645" s="218">
        <v>0.79</v>
      </c>
      <c r="T645" s="218">
        <v>0.17</v>
      </c>
      <c r="U645" s="218">
        <v>4.63</v>
      </c>
      <c r="AF645" s="218">
        <v>16.59</v>
      </c>
      <c r="AG645" s="251">
        <f t="shared" si="47"/>
        <v>-16.59</v>
      </c>
      <c r="AH645" s="218">
        <v>0.79</v>
      </c>
      <c r="AI645" s="218">
        <v>0.17</v>
      </c>
      <c r="AJ645" s="218">
        <v>4.68</v>
      </c>
      <c r="AV645" s="218">
        <v>16.579999999999998</v>
      </c>
      <c r="AW645" s="251">
        <f t="shared" si="48"/>
        <v>-16.579999999999998</v>
      </c>
      <c r="AX645" s="218">
        <v>0.79</v>
      </c>
      <c r="AY645" s="218">
        <v>0.17</v>
      </c>
      <c r="AZ645" s="218">
        <v>4.6399999999999997</v>
      </c>
      <c r="BL645" s="218">
        <v>16.5</v>
      </c>
      <c r="BM645" s="251">
        <f t="shared" si="49"/>
        <v>-16.5</v>
      </c>
      <c r="BN645" s="218">
        <v>0.79</v>
      </c>
      <c r="BO645" s="218">
        <v>0.17</v>
      </c>
      <c r="BP645" s="218">
        <v>4.63</v>
      </c>
    </row>
    <row r="646" spans="2:68">
      <c r="B646" s="218">
        <v>16.64</v>
      </c>
      <c r="C646" s="218">
        <f t="shared" ref="C646:C709" si="50">$F$2-B646</f>
        <v>-16.64</v>
      </c>
      <c r="D646" s="218">
        <v>0.79</v>
      </c>
      <c r="E646" s="218">
        <v>0.17</v>
      </c>
      <c r="F646" s="218">
        <v>4.6500000000000004</v>
      </c>
      <c r="Q646" s="218">
        <v>16.690000000000001</v>
      </c>
      <c r="R646" s="251">
        <f t="shared" ref="R646:R709" si="51">$U$2-Q646</f>
        <v>-16.690000000000001</v>
      </c>
      <c r="S646" s="218">
        <v>0.79</v>
      </c>
      <c r="T646" s="218">
        <v>0.17</v>
      </c>
      <c r="U646" s="218">
        <v>4.63</v>
      </c>
      <c r="AF646" s="218">
        <v>16.61</v>
      </c>
      <c r="AG646" s="251">
        <f t="shared" ref="AG646:AG709" si="52">$AJ$2-AF646</f>
        <v>-16.61</v>
      </c>
      <c r="AH646" s="218">
        <v>0.79</v>
      </c>
      <c r="AI646" s="218">
        <v>0.17</v>
      </c>
      <c r="AJ646" s="218">
        <v>4.68</v>
      </c>
      <c r="AV646" s="218">
        <v>16.600000000000001</v>
      </c>
      <c r="AW646" s="251">
        <f t="shared" ref="AW646:AW709" si="53">$AZ$2-AV646</f>
        <v>-16.600000000000001</v>
      </c>
      <c r="AX646" s="218">
        <v>0.79</v>
      </c>
      <c r="AY646" s="218">
        <v>0.17</v>
      </c>
      <c r="AZ646" s="218">
        <v>4.6500000000000004</v>
      </c>
      <c r="BL646" s="218">
        <v>16.52</v>
      </c>
      <c r="BM646" s="251">
        <f t="shared" ref="BM646:BM709" si="54">$AZ$2-BL646</f>
        <v>-16.52</v>
      </c>
      <c r="BN646" s="218">
        <v>0.79</v>
      </c>
      <c r="BO646" s="218">
        <v>0.17</v>
      </c>
      <c r="BP646" s="218">
        <v>4.63</v>
      </c>
    </row>
    <row r="647" spans="2:68">
      <c r="B647" s="218">
        <v>16.670000000000002</v>
      </c>
      <c r="C647" s="218">
        <f t="shared" si="50"/>
        <v>-16.670000000000002</v>
      </c>
      <c r="D647" s="218">
        <v>0.79</v>
      </c>
      <c r="E647" s="218">
        <v>0.17</v>
      </c>
      <c r="F647" s="218">
        <v>4.6500000000000004</v>
      </c>
      <c r="Q647" s="218">
        <v>16.72</v>
      </c>
      <c r="R647" s="251">
        <f t="shared" si="51"/>
        <v>-16.72</v>
      </c>
      <c r="S647" s="218">
        <v>0.79</v>
      </c>
      <c r="T647" s="218">
        <v>0.17</v>
      </c>
      <c r="U647" s="218">
        <v>4.6399999999999997</v>
      </c>
      <c r="AF647" s="218">
        <v>16.64</v>
      </c>
      <c r="AG647" s="251">
        <f t="shared" si="52"/>
        <v>-16.64</v>
      </c>
      <c r="AH647" s="218">
        <v>0.79</v>
      </c>
      <c r="AI647" s="218">
        <v>0.17</v>
      </c>
      <c r="AJ647" s="218">
        <v>4.68</v>
      </c>
      <c r="AV647" s="218">
        <v>16.63</v>
      </c>
      <c r="AW647" s="251">
        <f t="shared" si="53"/>
        <v>-16.63</v>
      </c>
      <c r="AX647" s="218">
        <v>0.79</v>
      </c>
      <c r="AY647" s="218">
        <v>0.17</v>
      </c>
      <c r="AZ647" s="218">
        <v>4.6500000000000004</v>
      </c>
      <c r="BL647" s="218">
        <v>16.55</v>
      </c>
      <c r="BM647" s="251">
        <f t="shared" si="54"/>
        <v>-16.55</v>
      </c>
      <c r="BN647" s="218">
        <v>0.79</v>
      </c>
      <c r="BO647" s="218">
        <v>0.17</v>
      </c>
      <c r="BP647" s="218">
        <v>4.63</v>
      </c>
    </row>
    <row r="648" spans="2:68">
      <c r="B648" s="218">
        <v>16.690000000000001</v>
      </c>
      <c r="C648" s="218">
        <f t="shared" si="50"/>
        <v>-16.690000000000001</v>
      </c>
      <c r="D648" s="218">
        <v>0.79</v>
      </c>
      <c r="E648" s="218">
        <v>0.17</v>
      </c>
      <c r="F648" s="218">
        <v>4.6500000000000004</v>
      </c>
      <c r="Q648" s="218">
        <v>16.739999999999998</v>
      </c>
      <c r="R648" s="251">
        <f t="shared" si="51"/>
        <v>-16.739999999999998</v>
      </c>
      <c r="S648" s="218">
        <v>0.79</v>
      </c>
      <c r="T648" s="218">
        <v>0.17</v>
      </c>
      <c r="U648" s="218">
        <v>4.6399999999999997</v>
      </c>
      <c r="AF648" s="218">
        <v>16.66</v>
      </c>
      <c r="AG648" s="251">
        <f t="shared" si="52"/>
        <v>-16.66</v>
      </c>
      <c r="AH648" s="218">
        <v>0.79</v>
      </c>
      <c r="AI648" s="218">
        <v>0.17</v>
      </c>
      <c r="AJ648" s="218">
        <v>4.68</v>
      </c>
      <c r="AV648" s="218">
        <v>16.649999999999999</v>
      </c>
      <c r="AW648" s="251">
        <f t="shared" si="53"/>
        <v>-16.649999999999999</v>
      </c>
      <c r="AX648" s="218">
        <v>0.79</v>
      </c>
      <c r="AY648" s="218">
        <v>0.17</v>
      </c>
      <c r="AZ648" s="218">
        <v>4.6500000000000004</v>
      </c>
      <c r="BL648" s="218">
        <v>16.57</v>
      </c>
      <c r="BM648" s="251">
        <f t="shared" si="54"/>
        <v>-16.57</v>
      </c>
      <c r="BN648" s="218">
        <v>0.79</v>
      </c>
      <c r="BO648" s="218">
        <v>0.17</v>
      </c>
      <c r="BP648" s="218">
        <v>4.63</v>
      </c>
    </row>
    <row r="649" spans="2:68">
      <c r="B649" s="218">
        <v>16.72</v>
      </c>
      <c r="C649" s="218">
        <f t="shared" si="50"/>
        <v>-16.72</v>
      </c>
      <c r="D649" s="218">
        <v>0.78</v>
      </c>
      <c r="E649" s="218">
        <v>0.17</v>
      </c>
      <c r="F649" s="218">
        <v>4.6500000000000004</v>
      </c>
      <c r="Q649" s="218">
        <v>16.77</v>
      </c>
      <c r="R649" s="251">
        <f t="shared" si="51"/>
        <v>-16.77</v>
      </c>
      <c r="S649" s="218">
        <v>0.79</v>
      </c>
      <c r="T649" s="218">
        <v>0.17</v>
      </c>
      <c r="U649" s="218">
        <v>4.6399999999999997</v>
      </c>
      <c r="AF649" s="218">
        <v>16.690000000000001</v>
      </c>
      <c r="AG649" s="251">
        <f t="shared" si="52"/>
        <v>-16.690000000000001</v>
      </c>
      <c r="AH649" s="218">
        <v>0.79</v>
      </c>
      <c r="AI649" s="218">
        <v>0.17</v>
      </c>
      <c r="AJ649" s="218">
        <v>4.68</v>
      </c>
      <c r="AV649" s="218">
        <v>16.68</v>
      </c>
      <c r="AW649" s="251">
        <f t="shared" si="53"/>
        <v>-16.68</v>
      </c>
      <c r="AX649" s="218">
        <v>0.79</v>
      </c>
      <c r="AY649" s="218">
        <v>0.17</v>
      </c>
      <c r="AZ649" s="218">
        <v>4.6500000000000004</v>
      </c>
      <c r="BL649" s="218">
        <v>16.600000000000001</v>
      </c>
      <c r="BM649" s="251">
        <f t="shared" si="54"/>
        <v>-16.600000000000001</v>
      </c>
      <c r="BN649" s="218">
        <v>0.79</v>
      </c>
      <c r="BO649" s="218">
        <v>0.17</v>
      </c>
      <c r="BP649" s="218">
        <v>4.6399999999999997</v>
      </c>
    </row>
    <row r="650" spans="2:68">
      <c r="B650" s="218">
        <v>16.739999999999998</v>
      </c>
      <c r="C650" s="218">
        <f t="shared" si="50"/>
        <v>-16.739999999999998</v>
      </c>
      <c r="D650" s="218">
        <v>0.78</v>
      </c>
      <c r="E650" s="218">
        <v>0.17</v>
      </c>
      <c r="F650" s="218">
        <v>4.66</v>
      </c>
      <c r="Q650" s="218">
        <v>16.79</v>
      </c>
      <c r="R650" s="251">
        <f t="shared" si="51"/>
        <v>-16.79</v>
      </c>
      <c r="S650" s="218">
        <v>0.79</v>
      </c>
      <c r="T650" s="218">
        <v>0.17</v>
      </c>
      <c r="U650" s="218">
        <v>4.6399999999999997</v>
      </c>
      <c r="AF650" s="218">
        <v>16.71</v>
      </c>
      <c r="AG650" s="251">
        <f t="shared" si="52"/>
        <v>-16.71</v>
      </c>
      <c r="AH650" s="218">
        <v>0.79</v>
      </c>
      <c r="AI650" s="218">
        <v>0.17</v>
      </c>
      <c r="AJ650" s="218">
        <v>4.68</v>
      </c>
      <c r="AV650" s="218">
        <v>16.7</v>
      </c>
      <c r="AW650" s="251">
        <f t="shared" si="53"/>
        <v>-16.7</v>
      </c>
      <c r="AX650" s="218">
        <v>0.79</v>
      </c>
      <c r="AY650" s="218">
        <v>0.17</v>
      </c>
      <c r="AZ650" s="218">
        <v>4.6500000000000004</v>
      </c>
      <c r="BL650" s="218">
        <v>16.62</v>
      </c>
      <c r="BM650" s="251">
        <f t="shared" si="54"/>
        <v>-16.62</v>
      </c>
      <c r="BN650" s="218">
        <v>0.79</v>
      </c>
      <c r="BO650" s="218">
        <v>0.17</v>
      </c>
      <c r="BP650" s="218">
        <v>4.6399999999999997</v>
      </c>
    </row>
    <row r="651" spans="2:68">
      <c r="B651" s="218">
        <v>16.77</v>
      </c>
      <c r="C651" s="218">
        <f t="shared" si="50"/>
        <v>-16.77</v>
      </c>
      <c r="D651" s="218">
        <v>0.78</v>
      </c>
      <c r="E651" s="218">
        <v>0.17</v>
      </c>
      <c r="F651" s="218">
        <v>4.66</v>
      </c>
      <c r="Q651" s="218">
        <v>16.82</v>
      </c>
      <c r="R651" s="251">
        <f t="shared" si="51"/>
        <v>-16.82</v>
      </c>
      <c r="S651" s="218">
        <v>0.79</v>
      </c>
      <c r="T651" s="218">
        <v>0.17</v>
      </c>
      <c r="U651" s="218">
        <v>4.6399999999999997</v>
      </c>
      <c r="AF651" s="218">
        <v>16.739999999999998</v>
      </c>
      <c r="AG651" s="251">
        <f t="shared" si="52"/>
        <v>-16.739999999999998</v>
      </c>
      <c r="AH651" s="218">
        <v>0.79</v>
      </c>
      <c r="AI651" s="218">
        <v>0.17</v>
      </c>
      <c r="AJ651" s="218">
        <v>4.68</v>
      </c>
      <c r="AV651" s="218">
        <v>16.73</v>
      </c>
      <c r="AW651" s="251">
        <f t="shared" si="53"/>
        <v>-16.73</v>
      </c>
      <c r="AX651" s="218">
        <v>0.79</v>
      </c>
      <c r="AY651" s="218">
        <v>0.17</v>
      </c>
      <c r="AZ651" s="218">
        <v>4.6500000000000004</v>
      </c>
      <c r="BL651" s="218">
        <v>16.649999999999999</v>
      </c>
      <c r="BM651" s="251">
        <f t="shared" si="54"/>
        <v>-16.649999999999999</v>
      </c>
      <c r="BN651" s="218">
        <v>0.79</v>
      </c>
      <c r="BO651" s="218">
        <v>0.17</v>
      </c>
      <c r="BP651" s="218">
        <v>4.6399999999999997</v>
      </c>
    </row>
    <row r="652" spans="2:68">
      <c r="B652" s="218">
        <v>16.79</v>
      </c>
      <c r="C652" s="218">
        <f t="shared" si="50"/>
        <v>-16.79</v>
      </c>
      <c r="D652" s="218">
        <v>0.78</v>
      </c>
      <c r="E652" s="218">
        <v>0.17</v>
      </c>
      <c r="F652" s="218">
        <v>4.66</v>
      </c>
      <c r="Q652" s="218">
        <v>16.84</v>
      </c>
      <c r="R652" s="251">
        <f t="shared" si="51"/>
        <v>-16.84</v>
      </c>
      <c r="S652" s="218">
        <v>0.79</v>
      </c>
      <c r="T652" s="218">
        <v>0.17</v>
      </c>
      <c r="U652" s="218">
        <v>4.6399999999999997</v>
      </c>
      <c r="AF652" s="218">
        <v>16.760000000000002</v>
      </c>
      <c r="AG652" s="251">
        <f t="shared" si="52"/>
        <v>-16.760000000000002</v>
      </c>
      <c r="AH652" s="218">
        <v>0.79</v>
      </c>
      <c r="AI652" s="218">
        <v>0.17</v>
      </c>
      <c r="AJ652" s="218">
        <v>4.6900000000000004</v>
      </c>
      <c r="AV652" s="218">
        <v>16.75</v>
      </c>
      <c r="AW652" s="251">
        <f t="shared" si="53"/>
        <v>-16.75</v>
      </c>
      <c r="AX652" s="218">
        <v>0.79</v>
      </c>
      <c r="AY652" s="218">
        <v>0.17</v>
      </c>
      <c r="AZ652" s="218">
        <v>4.6500000000000004</v>
      </c>
      <c r="BL652" s="218">
        <v>16.670000000000002</v>
      </c>
      <c r="BM652" s="251">
        <f t="shared" si="54"/>
        <v>-16.670000000000002</v>
      </c>
      <c r="BN652" s="218">
        <v>0.79</v>
      </c>
      <c r="BO652" s="218">
        <v>0.17</v>
      </c>
      <c r="BP652" s="218">
        <v>4.6399999999999997</v>
      </c>
    </row>
    <row r="653" spans="2:68">
      <c r="B653" s="218">
        <v>16.82</v>
      </c>
      <c r="C653" s="218">
        <f t="shared" si="50"/>
        <v>-16.82</v>
      </c>
      <c r="D653" s="218">
        <v>0.78</v>
      </c>
      <c r="E653" s="218">
        <v>0.17</v>
      </c>
      <c r="F653" s="218">
        <v>4.66</v>
      </c>
      <c r="Q653" s="218">
        <v>16.87</v>
      </c>
      <c r="R653" s="251">
        <f t="shared" si="51"/>
        <v>-16.87</v>
      </c>
      <c r="S653" s="218">
        <v>0.79</v>
      </c>
      <c r="T653" s="218">
        <v>0.17</v>
      </c>
      <c r="U653" s="218">
        <v>4.6399999999999997</v>
      </c>
      <c r="AF653" s="218">
        <v>16.79</v>
      </c>
      <c r="AG653" s="251">
        <f t="shared" si="52"/>
        <v>-16.79</v>
      </c>
      <c r="AH653" s="218">
        <v>0.79</v>
      </c>
      <c r="AI653" s="218">
        <v>0.17</v>
      </c>
      <c r="AJ653" s="218">
        <v>4.6900000000000004</v>
      </c>
      <c r="AV653" s="218">
        <v>16.78</v>
      </c>
      <c r="AW653" s="251">
        <f t="shared" si="53"/>
        <v>-16.78</v>
      </c>
      <c r="AX653" s="218">
        <v>0.79</v>
      </c>
      <c r="AY653" s="218">
        <v>0.17</v>
      </c>
      <c r="AZ653" s="218">
        <v>4.66</v>
      </c>
      <c r="BL653" s="218">
        <v>16.7</v>
      </c>
      <c r="BM653" s="251">
        <f t="shared" si="54"/>
        <v>-16.7</v>
      </c>
      <c r="BN653" s="218">
        <v>0.79</v>
      </c>
      <c r="BO653" s="218">
        <v>0.17</v>
      </c>
      <c r="BP653" s="218">
        <v>4.6399999999999997</v>
      </c>
    </row>
    <row r="654" spans="2:68">
      <c r="B654" s="218">
        <v>16.84</v>
      </c>
      <c r="C654" s="218">
        <f t="shared" si="50"/>
        <v>-16.84</v>
      </c>
      <c r="D654" s="218">
        <v>0.78</v>
      </c>
      <c r="E654" s="218">
        <v>0.17</v>
      </c>
      <c r="F654" s="218">
        <v>4.66</v>
      </c>
      <c r="Q654" s="218">
        <v>16.89</v>
      </c>
      <c r="R654" s="251">
        <f t="shared" si="51"/>
        <v>-16.89</v>
      </c>
      <c r="S654" s="218">
        <v>0.79</v>
      </c>
      <c r="T654" s="218">
        <v>0.17</v>
      </c>
      <c r="U654" s="218">
        <v>4.6500000000000004</v>
      </c>
      <c r="AF654" s="218">
        <v>16.809999999999999</v>
      </c>
      <c r="AG654" s="251">
        <f t="shared" si="52"/>
        <v>-16.809999999999999</v>
      </c>
      <c r="AH654" s="218">
        <v>0.78</v>
      </c>
      <c r="AI654" s="218">
        <v>0.17</v>
      </c>
      <c r="AJ654" s="218">
        <v>4.6900000000000004</v>
      </c>
      <c r="AV654" s="218">
        <v>16.8</v>
      </c>
      <c r="AW654" s="251">
        <f t="shared" si="53"/>
        <v>-16.8</v>
      </c>
      <c r="AX654" s="218">
        <v>0.79</v>
      </c>
      <c r="AY654" s="218">
        <v>0.17</v>
      </c>
      <c r="AZ654" s="218">
        <v>4.66</v>
      </c>
      <c r="BL654" s="218">
        <v>16.72</v>
      </c>
      <c r="BM654" s="251">
        <f t="shared" si="54"/>
        <v>-16.72</v>
      </c>
      <c r="BN654" s="218">
        <v>0.79</v>
      </c>
      <c r="BO654" s="218">
        <v>0.17</v>
      </c>
      <c r="BP654" s="218">
        <v>4.6399999999999997</v>
      </c>
    </row>
    <row r="655" spans="2:68">
      <c r="B655" s="218">
        <v>16.87</v>
      </c>
      <c r="C655" s="218">
        <f t="shared" si="50"/>
        <v>-16.87</v>
      </c>
      <c r="D655" s="218">
        <v>0.78</v>
      </c>
      <c r="E655" s="218">
        <v>0.17</v>
      </c>
      <c r="F655" s="218">
        <v>4.66</v>
      </c>
      <c r="Q655" s="218">
        <v>16.920000000000002</v>
      </c>
      <c r="R655" s="251">
        <f t="shared" si="51"/>
        <v>-16.920000000000002</v>
      </c>
      <c r="S655" s="218">
        <v>0.78</v>
      </c>
      <c r="T655" s="218">
        <v>0.17</v>
      </c>
      <c r="U655" s="218">
        <v>4.6500000000000004</v>
      </c>
      <c r="AF655" s="218">
        <v>16.84</v>
      </c>
      <c r="AG655" s="251">
        <f t="shared" si="52"/>
        <v>-16.84</v>
      </c>
      <c r="AH655" s="218">
        <v>0.78</v>
      </c>
      <c r="AI655" s="218">
        <v>0.17</v>
      </c>
      <c r="AJ655" s="218">
        <v>4.6900000000000004</v>
      </c>
      <c r="AV655" s="218">
        <v>16.829999999999998</v>
      </c>
      <c r="AW655" s="251">
        <f t="shared" si="53"/>
        <v>-16.829999999999998</v>
      </c>
      <c r="AX655" s="218">
        <v>0.78</v>
      </c>
      <c r="AY655" s="218">
        <v>0.17</v>
      </c>
      <c r="AZ655" s="218">
        <v>4.66</v>
      </c>
      <c r="BL655" s="218">
        <v>16.75</v>
      </c>
      <c r="BM655" s="251">
        <f t="shared" si="54"/>
        <v>-16.75</v>
      </c>
      <c r="BN655" s="218">
        <v>0.79</v>
      </c>
      <c r="BO655" s="218">
        <v>0.17</v>
      </c>
      <c r="BP655" s="218">
        <v>4.6399999999999997</v>
      </c>
    </row>
    <row r="656" spans="2:68">
      <c r="B656" s="218">
        <v>16.89</v>
      </c>
      <c r="C656" s="218">
        <f t="shared" si="50"/>
        <v>-16.89</v>
      </c>
      <c r="D656" s="218">
        <v>0.78</v>
      </c>
      <c r="E656" s="218">
        <v>0.17</v>
      </c>
      <c r="F656" s="218">
        <v>4.66</v>
      </c>
      <c r="Q656" s="218">
        <v>16.940000000000001</v>
      </c>
      <c r="R656" s="251">
        <f t="shared" si="51"/>
        <v>-16.940000000000001</v>
      </c>
      <c r="S656" s="218">
        <v>0.78</v>
      </c>
      <c r="T656" s="218">
        <v>0.17</v>
      </c>
      <c r="U656" s="218">
        <v>4.6500000000000004</v>
      </c>
      <c r="AF656" s="218">
        <v>16.86</v>
      </c>
      <c r="AG656" s="251">
        <f t="shared" si="52"/>
        <v>-16.86</v>
      </c>
      <c r="AH656" s="218">
        <v>0.78</v>
      </c>
      <c r="AI656" s="218">
        <v>0.17</v>
      </c>
      <c r="AJ656" s="218">
        <v>4.6900000000000004</v>
      </c>
      <c r="AV656" s="218">
        <v>16.850000000000001</v>
      </c>
      <c r="AW656" s="251">
        <f t="shared" si="53"/>
        <v>-16.850000000000001</v>
      </c>
      <c r="AX656" s="218">
        <v>0.78</v>
      </c>
      <c r="AY656" s="218">
        <v>0.17</v>
      </c>
      <c r="AZ656" s="218">
        <v>4.66</v>
      </c>
      <c r="BL656" s="218">
        <v>16.77</v>
      </c>
      <c r="BM656" s="251">
        <f t="shared" si="54"/>
        <v>-16.77</v>
      </c>
      <c r="BN656" s="218">
        <v>0.79</v>
      </c>
      <c r="BO656" s="218">
        <v>0.17</v>
      </c>
      <c r="BP656" s="218">
        <v>4.6500000000000004</v>
      </c>
    </row>
    <row r="657" spans="2:68">
      <c r="B657" s="218">
        <v>16.920000000000002</v>
      </c>
      <c r="C657" s="218">
        <f t="shared" si="50"/>
        <v>-16.920000000000002</v>
      </c>
      <c r="D657" s="218">
        <v>0.78</v>
      </c>
      <c r="E657" s="218">
        <v>0.17</v>
      </c>
      <c r="F657" s="218">
        <v>4.67</v>
      </c>
      <c r="Q657" s="218">
        <v>16.97</v>
      </c>
      <c r="R657" s="251">
        <f t="shared" si="51"/>
        <v>-16.97</v>
      </c>
      <c r="S657" s="218">
        <v>0.78</v>
      </c>
      <c r="T657" s="218">
        <v>0.17</v>
      </c>
      <c r="U657" s="218">
        <v>4.6500000000000004</v>
      </c>
      <c r="AF657" s="218">
        <v>16.89</v>
      </c>
      <c r="AG657" s="251">
        <f t="shared" si="52"/>
        <v>-16.89</v>
      </c>
      <c r="AH657" s="218">
        <v>0.78</v>
      </c>
      <c r="AI657" s="218">
        <v>0.17</v>
      </c>
      <c r="AJ657" s="218">
        <v>4.6900000000000004</v>
      </c>
      <c r="AV657" s="218">
        <v>16.88</v>
      </c>
      <c r="AW657" s="251">
        <f t="shared" si="53"/>
        <v>-16.88</v>
      </c>
      <c r="AX657" s="218">
        <v>0.78</v>
      </c>
      <c r="AY657" s="218">
        <v>0.17</v>
      </c>
      <c r="AZ657" s="218">
        <v>4.66</v>
      </c>
      <c r="BL657" s="218">
        <v>16.8</v>
      </c>
      <c r="BM657" s="251">
        <f t="shared" si="54"/>
        <v>-16.8</v>
      </c>
      <c r="BN657" s="218">
        <v>0.79</v>
      </c>
      <c r="BO657" s="218">
        <v>0.17</v>
      </c>
      <c r="BP657" s="218">
        <v>4.6500000000000004</v>
      </c>
    </row>
    <row r="658" spans="2:68">
      <c r="B658" s="218">
        <v>16.940000000000001</v>
      </c>
      <c r="C658" s="218">
        <f t="shared" si="50"/>
        <v>-16.940000000000001</v>
      </c>
      <c r="D658" s="218">
        <v>0.78</v>
      </c>
      <c r="E658" s="218">
        <v>0.17</v>
      </c>
      <c r="F658" s="218">
        <v>4.67</v>
      </c>
      <c r="Q658" s="218">
        <v>16.989999999999998</v>
      </c>
      <c r="R658" s="251">
        <f t="shared" si="51"/>
        <v>-16.989999999999998</v>
      </c>
      <c r="S658" s="218">
        <v>0.78</v>
      </c>
      <c r="T658" s="218">
        <v>0.17</v>
      </c>
      <c r="U658" s="218">
        <v>4.6500000000000004</v>
      </c>
      <c r="AF658" s="218">
        <v>16.91</v>
      </c>
      <c r="AG658" s="251">
        <f t="shared" si="52"/>
        <v>-16.91</v>
      </c>
      <c r="AH658" s="218">
        <v>0.78</v>
      </c>
      <c r="AI658" s="218">
        <v>0.17</v>
      </c>
      <c r="AJ658" s="218">
        <v>4.7</v>
      </c>
      <c r="AV658" s="218">
        <v>16.899999999999999</v>
      </c>
      <c r="AW658" s="251">
        <f t="shared" si="53"/>
        <v>-16.899999999999999</v>
      </c>
      <c r="AX658" s="218">
        <v>0.78</v>
      </c>
      <c r="AY658" s="218">
        <v>0.17</v>
      </c>
      <c r="AZ658" s="218">
        <v>4.66</v>
      </c>
      <c r="BL658" s="218">
        <v>16.82</v>
      </c>
      <c r="BM658" s="251">
        <f t="shared" si="54"/>
        <v>-16.82</v>
      </c>
      <c r="BN658" s="218">
        <v>0.79</v>
      </c>
      <c r="BO658" s="218">
        <v>0.17</v>
      </c>
      <c r="BP658" s="218">
        <v>4.6500000000000004</v>
      </c>
    </row>
    <row r="659" spans="2:68">
      <c r="B659" s="218">
        <v>16.97</v>
      </c>
      <c r="C659" s="218">
        <f t="shared" si="50"/>
        <v>-16.97</v>
      </c>
      <c r="D659" s="218">
        <v>0.78</v>
      </c>
      <c r="E659" s="218">
        <v>0.17</v>
      </c>
      <c r="F659" s="218">
        <v>4.67</v>
      </c>
      <c r="Q659" s="218">
        <v>17.02</v>
      </c>
      <c r="R659" s="251">
        <f t="shared" si="51"/>
        <v>-17.02</v>
      </c>
      <c r="S659" s="218">
        <v>0.78</v>
      </c>
      <c r="T659" s="218">
        <v>0.17</v>
      </c>
      <c r="U659" s="218">
        <v>4.6500000000000004</v>
      </c>
      <c r="AF659" s="218">
        <v>16.940000000000001</v>
      </c>
      <c r="AG659" s="251">
        <f t="shared" si="52"/>
        <v>-16.940000000000001</v>
      </c>
      <c r="AH659" s="218">
        <v>0.78</v>
      </c>
      <c r="AI659" s="218">
        <v>0.17</v>
      </c>
      <c r="AJ659" s="218">
        <v>4.7</v>
      </c>
      <c r="AV659" s="218">
        <v>16.93</v>
      </c>
      <c r="AW659" s="251">
        <f t="shared" si="53"/>
        <v>-16.93</v>
      </c>
      <c r="AX659" s="218">
        <v>0.78</v>
      </c>
      <c r="AY659" s="218">
        <v>0.17</v>
      </c>
      <c r="AZ659" s="218">
        <v>4.66</v>
      </c>
      <c r="BL659" s="218">
        <v>16.850000000000001</v>
      </c>
      <c r="BM659" s="251">
        <f t="shared" si="54"/>
        <v>-16.850000000000001</v>
      </c>
      <c r="BN659" s="218">
        <v>0.79</v>
      </c>
      <c r="BO659" s="218">
        <v>0.17</v>
      </c>
      <c r="BP659" s="218">
        <v>4.6500000000000004</v>
      </c>
    </row>
    <row r="660" spans="2:68">
      <c r="B660" s="218">
        <v>16.989999999999998</v>
      </c>
      <c r="C660" s="218">
        <f t="shared" si="50"/>
        <v>-16.989999999999998</v>
      </c>
      <c r="D660" s="218">
        <v>0.78</v>
      </c>
      <c r="E660" s="218">
        <v>0.17</v>
      </c>
      <c r="F660" s="218">
        <v>4.67</v>
      </c>
      <c r="Q660" s="218">
        <v>17.04</v>
      </c>
      <c r="R660" s="251">
        <f t="shared" si="51"/>
        <v>-17.04</v>
      </c>
      <c r="S660" s="218">
        <v>0.78</v>
      </c>
      <c r="T660" s="218">
        <v>0.17</v>
      </c>
      <c r="U660" s="218">
        <v>4.66</v>
      </c>
      <c r="AF660" s="218">
        <v>16.96</v>
      </c>
      <c r="AG660" s="251">
        <f t="shared" si="52"/>
        <v>-16.96</v>
      </c>
      <c r="AH660" s="218">
        <v>0.78</v>
      </c>
      <c r="AI660" s="218">
        <v>0.17</v>
      </c>
      <c r="AJ660" s="218">
        <v>4.7</v>
      </c>
      <c r="AV660" s="218">
        <v>16.95</v>
      </c>
      <c r="AW660" s="251">
        <f t="shared" si="53"/>
        <v>-16.95</v>
      </c>
      <c r="AX660" s="218">
        <v>0.78</v>
      </c>
      <c r="AY660" s="218">
        <v>0.17</v>
      </c>
      <c r="AZ660" s="218">
        <v>4.67</v>
      </c>
      <c r="BL660" s="218">
        <v>16.87</v>
      </c>
      <c r="BM660" s="251">
        <f t="shared" si="54"/>
        <v>-16.87</v>
      </c>
      <c r="BN660" s="218">
        <v>0.79</v>
      </c>
      <c r="BO660" s="218">
        <v>0.17</v>
      </c>
      <c r="BP660" s="218">
        <v>4.6500000000000004</v>
      </c>
    </row>
    <row r="661" spans="2:68">
      <c r="B661" s="218">
        <v>17.02</v>
      </c>
      <c r="C661" s="218">
        <f t="shared" si="50"/>
        <v>-17.02</v>
      </c>
      <c r="D661" s="218">
        <v>0.78</v>
      </c>
      <c r="E661" s="218">
        <v>0.17</v>
      </c>
      <c r="F661" s="218">
        <v>4.67</v>
      </c>
      <c r="Q661" s="218">
        <v>17.07</v>
      </c>
      <c r="R661" s="251">
        <f t="shared" si="51"/>
        <v>-17.07</v>
      </c>
      <c r="S661" s="218">
        <v>0.78</v>
      </c>
      <c r="T661" s="218">
        <v>0.17</v>
      </c>
      <c r="U661" s="218">
        <v>4.66</v>
      </c>
      <c r="AF661" s="218">
        <v>16.989999999999998</v>
      </c>
      <c r="AG661" s="251">
        <f t="shared" si="52"/>
        <v>-16.989999999999998</v>
      </c>
      <c r="AH661" s="218">
        <v>0.78</v>
      </c>
      <c r="AI661" s="218">
        <v>0.17</v>
      </c>
      <c r="AJ661" s="218">
        <v>4.7</v>
      </c>
      <c r="AV661" s="218">
        <v>16.98</v>
      </c>
      <c r="AW661" s="251">
        <f t="shared" si="53"/>
        <v>-16.98</v>
      </c>
      <c r="AX661" s="218">
        <v>0.78</v>
      </c>
      <c r="AY661" s="218">
        <v>0.17</v>
      </c>
      <c r="AZ661" s="218">
        <v>4.67</v>
      </c>
      <c r="BL661" s="218">
        <v>16.899999999999999</v>
      </c>
      <c r="BM661" s="251">
        <f t="shared" si="54"/>
        <v>-16.899999999999999</v>
      </c>
      <c r="BN661" s="218">
        <v>0.79</v>
      </c>
      <c r="BO661" s="218">
        <v>0.17</v>
      </c>
      <c r="BP661" s="218">
        <v>4.6500000000000004</v>
      </c>
    </row>
    <row r="662" spans="2:68">
      <c r="B662" s="218">
        <v>17.04</v>
      </c>
      <c r="C662" s="218">
        <f t="shared" si="50"/>
        <v>-17.04</v>
      </c>
      <c r="D662" s="218">
        <v>0.78</v>
      </c>
      <c r="E662" s="218">
        <v>0.17</v>
      </c>
      <c r="F662" s="218">
        <v>4.67</v>
      </c>
      <c r="Q662" s="218">
        <v>17.09</v>
      </c>
      <c r="R662" s="251">
        <f t="shared" si="51"/>
        <v>-17.09</v>
      </c>
      <c r="S662" s="218">
        <v>0.78</v>
      </c>
      <c r="T662" s="218">
        <v>0.17</v>
      </c>
      <c r="U662" s="218">
        <v>4.66</v>
      </c>
      <c r="AF662" s="218">
        <v>17.010000000000002</v>
      </c>
      <c r="AG662" s="251">
        <f t="shared" si="52"/>
        <v>-17.010000000000002</v>
      </c>
      <c r="AH662" s="218">
        <v>0.78</v>
      </c>
      <c r="AI662" s="218">
        <v>0.17</v>
      </c>
      <c r="AJ662" s="218">
        <v>4.7</v>
      </c>
      <c r="AV662" s="218">
        <v>17</v>
      </c>
      <c r="AW662" s="251">
        <f t="shared" si="53"/>
        <v>-17</v>
      </c>
      <c r="AX662" s="218">
        <v>0.78</v>
      </c>
      <c r="AY662" s="218">
        <v>0.17</v>
      </c>
      <c r="AZ662" s="218">
        <v>4.67</v>
      </c>
      <c r="BL662" s="218">
        <v>16.920000000000002</v>
      </c>
      <c r="BM662" s="251">
        <f t="shared" si="54"/>
        <v>-16.920000000000002</v>
      </c>
      <c r="BN662" s="218">
        <v>0.79</v>
      </c>
      <c r="BO662" s="218">
        <v>0.17</v>
      </c>
      <c r="BP662" s="218">
        <v>4.66</v>
      </c>
    </row>
    <row r="663" spans="2:68">
      <c r="B663" s="218">
        <v>17.07</v>
      </c>
      <c r="C663" s="218">
        <f t="shared" si="50"/>
        <v>-17.07</v>
      </c>
      <c r="D663" s="218">
        <v>0.78</v>
      </c>
      <c r="E663" s="218">
        <v>0.17</v>
      </c>
      <c r="F663" s="218">
        <v>4.68</v>
      </c>
      <c r="Q663" s="218">
        <v>17.12</v>
      </c>
      <c r="R663" s="251">
        <f t="shared" si="51"/>
        <v>-17.12</v>
      </c>
      <c r="S663" s="218">
        <v>0.78</v>
      </c>
      <c r="T663" s="218">
        <v>0.17</v>
      </c>
      <c r="U663" s="218">
        <v>4.66</v>
      </c>
      <c r="AF663" s="218">
        <v>17.04</v>
      </c>
      <c r="AG663" s="251">
        <f t="shared" si="52"/>
        <v>-17.04</v>
      </c>
      <c r="AH663" s="218">
        <v>0.78</v>
      </c>
      <c r="AI663" s="218">
        <v>0.17</v>
      </c>
      <c r="AJ663" s="218">
        <v>4.7</v>
      </c>
      <c r="AV663" s="218">
        <v>17.03</v>
      </c>
      <c r="AW663" s="251">
        <f t="shared" si="53"/>
        <v>-17.03</v>
      </c>
      <c r="AX663" s="218">
        <v>0.78</v>
      </c>
      <c r="AY663" s="218">
        <v>0.17</v>
      </c>
      <c r="AZ663" s="218">
        <v>4.67</v>
      </c>
      <c r="BL663" s="218">
        <v>16.95</v>
      </c>
      <c r="BM663" s="251">
        <f t="shared" si="54"/>
        <v>-16.95</v>
      </c>
      <c r="BN663" s="218">
        <v>0.78</v>
      </c>
      <c r="BO663" s="218">
        <v>0.17</v>
      </c>
      <c r="BP663" s="218">
        <v>4.66</v>
      </c>
    </row>
    <row r="664" spans="2:68">
      <c r="B664" s="218">
        <v>17.09</v>
      </c>
      <c r="C664" s="218">
        <f t="shared" si="50"/>
        <v>-17.09</v>
      </c>
      <c r="D664" s="218">
        <v>0.78</v>
      </c>
      <c r="E664" s="218">
        <v>0.17</v>
      </c>
      <c r="F664" s="218">
        <v>4.68</v>
      </c>
      <c r="Q664" s="218">
        <v>17.14</v>
      </c>
      <c r="R664" s="251">
        <f t="shared" si="51"/>
        <v>-17.14</v>
      </c>
      <c r="S664" s="218">
        <v>0.78</v>
      </c>
      <c r="T664" s="218">
        <v>0.17</v>
      </c>
      <c r="U664" s="218">
        <v>4.66</v>
      </c>
      <c r="AF664" s="218">
        <v>17.059999999999999</v>
      </c>
      <c r="AG664" s="251">
        <f t="shared" si="52"/>
        <v>-17.059999999999999</v>
      </c>
      <c r="AH664" s="218">
        <v>0.78</v>
      </c>
      <c r="AI664" s="218">
        <v>0.17</v>
      </c>
      <c r="AJ664" s="218">
        <v>4.7</v>
      </c>
      <c r="AV664" s="218">
        <v>17.05</v>
      </c>
      <c r="AW664" s="251">
        <f t="shared" si="53"/>
        <v>-17.05</v>
      </c>
      <c r="AX664" s="218">
        <v>0.78</v>
      </c>
      <c r="AY664" s="218">
        <v>0.17</v>
      </c>
      <c r="AZ664" s="218">
        <v>4.67</v>
      </c>
      <c r="BL664" s="218">
        <v>16.97</v>
      </c>
      <c r="BM664" s="251">
        <f t="shared" si="54"/>
        <v>-16.97</v>
      </c>
      <c r="BN664" s="218">
        <v>0.78</v>
      </c>
      <c r="BO664" s="218">
        <v>0.17</v>
      </c>
      <c r="BP664" s="218">
        <v>4.66</v>
      </c>
    </row>
    <row r="665" spans="2:68">
      <c r="B665" s="218">
        <v>17.12</v>
      </c>
      <c r="C665" s="218">
        <f t="shared" si="50"/>
        <v>-17.12</v>
      </c>
      <c r="D665" s="218">
        <v>0.78</v>
      </c>
      <c r="E665" s="218">
        <v>0.17</v>
      </c>
      <c r="F665" s="218">
        <v>4.68</v>
      </c>
      <c r="Q665" s="218">
        <v>17.170000000000002</v>
      </c>
      <c r="R665" s="251">
        <f t="shared" si="51"/>
        <v>-17.170000000000002</v>
      </c>
      <c r="S665" s="218">
        <v>0.78</v>
      </c>
      <c r="T665" s="218">
        <v>0.17</v>
      </c>
      <c r="U665" s="218">
        <v>4.66</v>
      </c>
      <c r="AF665" s="218">
        <v>17.09</v>
      </c>
      <c r="AG665" s="251">
        <f t="shared" si="52"/>
        <v>-17.09</v>
      </c>
      <c r="AH665" s="218">
        <v>0.78</v>
      </c>
      <c r="AI665" s="218">
        <v>0.17</v>
      </c>
      <c r="AJ665" s="218">
        <v>4.71</v>
      </c>
      <c r="AV665" s="218">
        <v>17.079999999999998</v>
      </c>
      <c r="AW665" s="251">
        <f t="shared" si="53"/>
        <v>-17.079999999999998</v>
      </c>
      <c r="AX665" s="218">
        <v>0.78</v>
      </c>
      <c r="AY665" s="218">
        <v>0.17</v>
      </c>
      <c r="AZ665" s="218">
        <v>4.67</v>
      </c>
      <c r="BL665" s="218">
        <v>17</v>
      </c>
      <c r="BM665" s="251">
        <f t="shared" si="54"/>
        <v>-17</v>
      </c>
      <c r="BN665" s="218">
        <v>0.78</v>
      </c>
      <c r="BO665" s="218">
        <v>0.17</v>
      </c>
      <c r="BP665" s="218">
        <v>4.66</v>
      </c>
    </row>
    <row r="666" spans="2:68">
      <c r="B666" s="218">
        <v>17.14</v>
      </c>
      <c r="C666" s="218">
        <f t="shared" si="50"/>
        <v>-17.14</v>
      </c>
      <c r="D666" s="218">
        <v>0.78</v>
      </c>
      <c r="E666" s="218">
        <v>0.17</v>
      </c>
      <c r="F666" s="218">
        <v>4.68</v>
      </c>
      <c r="Q666" s="218">
        <v>17.190000000000001</v>
      </c>
      <c r="R666" s="251">
        <f t="shared" si="51"/>
        <v>-17.190000000000001</v>
      </c>
      <c r="S666" s="218">
        <v>0.78</v>
      </c>
      <c r="T666" s="218">
        <v>0.17</v>
      </c>
      <c r="U666" s="218">
        <v>4.67</v>
      </c>
      <c r="AF666" s="218">
        <v>17.11</v>
      </c>
      <c r="AG666" s="251">
        <f t="shared" si="52"/>
        <v>-17.11</v>
      </c>
      <c r="AH666" s="218">
        <v>0.78</v>
      </c>
      <c r="AI666" s="218">
        <v>0.17</v>
      </c>
      <c r="AJ666" s="218">
        <v>4.71</v>
      </c>
      <c r="AV666" s="218">
        <v>17.100000000000001</v>
      </c>
      <c r="AW666" s="251">
        <f t="shared" si="53"/>
        <v>-17.100000000000001</v>
      </c>
      <c r="AX666" s="218">
        <v>0.78</v>
      </c>
      <c r="AY666" s="218">
        <v>0.17</v>
      </c>
      <c r="AZ666" s="218">
        <v>4.68</v>
      </c>
      <c r="BL666" s="218">
        <v>17.02</v>
      </c>
      <c r="BM666" s="251">
        <f t="shared" si="54"/>
        <v>-17.02</v>
      </c>
      <c r="BN666" s="218">
        <v>0.78</v>
      </c>
      <c r="BO666" s="218">
        <v>0.17</v>
      </c>
      <c r="BP666" s="218">
        <v>4.66</v>
      </c>
    </row>
    <row r="667" spans="2:68">
      <c r="B667" s="218">
        <v>17.170000000000002</v>
      </c>
      <c r="C667" s="218">
        <f t="shared" si="50"/>
        <v>-17.170000000000002</v>
      </c>
      <c r="D667" s="218">
        <v>0.78</v>
      </c>
      <c r="E667" s="218">
        <v>0.17</v>
      </c>
      <c r="F667" s="218">
        <v>4.68</v>
      </c>
      <c r="Q667" s="218">
        <v>17.22</v>
      </c>
      <c r="R667" s="251">
        <f t="shared" si="51"/>
        <v>-17.22</v>
      </c>
      <c r="S667" s="218">
        <v>0.78</v>
      </c>
      <c r="T667" s="218">
        <v>0.17</v>
      </c>
      <c r="U667" s="218">
        <v>4.67</v>
      </c>
      <c r="AF667" s="218">
        <v>17.14</v>
      </c>
      <c r="AG667" s="251">
        <f t="shared" si="52"/>
        <v>-17.14</v>
      </c>
      <c r="AH667" s="218">
        <v>0.78</v>
      </c>
      <c r="AI667" s="218">
        <v>0.17</v>
      </c>
      <c r="AJ667" s="218">
        <v>4.71</v>
      </c>
      <c r="AV667" s="218">
        <v>17.13</v>
      </c>
      <c r="AW667" s="251">
        <f t="shared" si="53"/>
        <v>-17.13</v>
      </c>
      <c r="AX667" s="218">
        <v>0.78</v>
      </c>
      <c r="AY667" s="218">
        <v>0.17</v>
      </c>
      <c r="AZ667" s="218">
        <v>4.68</v>
      </c>
      <c r="BL667" s="218">
        <v>17.05</v>
      </c>
      <c r="BM667" s="251">
        <f t="shared" si="54"/>
        <v>-17.05</v>
      </c>
      <c r="BN667" s="218">
        <v>0.78</v>
      </c>
      <c r="BO667" s="218">
        <v>0.17</v>
      </c>
      <c r="BP667" s="218">
        <v>4.66</v>
      </c>
    </row>
    <row r="668" spans="2:68">
      <c r="B668" s="218">
        <v>17.190000000000001</v>
      </c>
      <c r="C668" s="218">
        <f t="shared" si="50"/>
        <v>-17.190000000000001</v>
      </c>
      <c r="D668" s="218">
        <v>0.78</v>
      </c>
      <c r="E668" s="218">
        <v>0.17</v>
      </c>
      <c r="F668" s="218">
        <v>4.68</v>
      </c>
      <c r="Q668" s="218">
        <v>17.239999999999998</v>
      </c>
      <c r="R668" s="251">
        <f t="shared" si="51"/>
        <v>-17.239999999999998</v>
      </c>
      <c r="S668" s="218">
        <v>0.78</v>
      </c>
      <c r="T668" s="218">
        <v>0.17</v>
      </c>
      <c r="U668" s="218">
        <v>4.67</v>
      </c>
      <c r="AF668" s="218">
        <v>17.16</v>
      </c>
      <c r="AG668" s="251">
        <f t="shared" si="52"/>
        <v>-17.16</v>
      </c>
      <c r="AH668" s="218">
        <v>0.78</v>
      </c>
      <c r="AI668" s="218">
        <v>0.17</v>
      </c>
      <c r="AJ668" s="218">
        <v>4.71</v>
      </c>
      <c r="AV668" s="218">
        <v>17.149999999999999</v>
      </c>
      <c r="AW668" s="251">
        <f t="shared" si="53"/>
        <v>-17.149999999999999</v>
      </c>
      <c r="AX668" s="218">
        <v>0.78</v>
      </c>
      <c r="AY668" s="218">
        <v>0.17</v>
      </c>
      <c r="AZ668" s="218">
        <v>4.68</v>
      </c>
      <c r="BL668" s="218">
        <v>17.07</v>
      </c>
      <c r="BM668" s="251">
        <f t="shared" si="54"/>
        <v>-17.07</v>
      </c>
      <c r="BN668" s="218">
        <v>0.78</v>
      </c>
      <c r="BO668" s="218">
        <v>0.17</v>
      </c>
      <c r="BP668" s="218">
        <v>4.66</v>
      </c>
    </row>
    <row r="669" spans="2:68">
      <c r="B669" s="218">
        <v>17.22</v>
      </c>
      <c r="C669" s="218">
        <f t="shared" si="50"/>
        <v>-17.22</v>
      </c>
      <c r="D669" s="218">
        <v>0.78</v>
      </c>
      <c r="E669" s="218">
        <v>0.17</v>
      </c>
      <c r="F669" s="218">
        <v>4.6900000000000004</v>
      </c>
      <c r="Q669" s="218">
        <v>17.27</v>
      </c>
      <c r="R669" s="251">
        <f t="shared" si="51"/>
        <v>-17.27</v>
      </c>
      <c r="S669" s="218">
        <v>0.78</v>
      </c>
      <c r="T669" s="218">
        <v>0.17</v>
      </c>
      <c r="U669" s="218">
        <v>4.67</v>
      </c>
      <c r="AF669" s="218">
        <v>17.190000000000001</v>
      </c>
      <c r="AG669" s="251">
        <f t="shared" si="52"/>
        <v>-17.190000000000001</v>
      </c>
      <c r="AH669" s="218">
        <v>0.78</v>
      </c>
      <c r="AI669" s="218">
        <v>0.17</v>
      </c>
      <c r="AJ669" s="218">
        <v>4.71</v>
      </c>
      <c r="AV669" s="218">
        <v>17.18</v>
      </c>
      <c r="AW669" s="251">
        <f t="shared" si="53"/>
        <v>-17.18</v>
      </c>
      <c r="AX669" s="218">
        <v>0.78</v>
      </c>
      <c r="AY669" s="218">
        <v>0.17</v>
      </c>
      <c r="AZ669" s="218">
        <v>4.68</v>
      </c>
      <c r="BL669" s="218">
        <v>17.100000000000001</v>
      </c>
      <c r="BM669" s="251">
        <f t="shared" si="54"/>
        <v>-17.100000000000001</v>
      </c>
      <c r="BN669" s="218">
        <v>0.78</v>
      </c>
      <c r="BO669" s="218">
        <v>0.17</v>
      </c>
      <c r="BP669" s="218">
        <v>4.67</v>
      </c>
    </row>
    <row r="670" spans="2:68">
      <c r="B670" s="218">
        <v>17.239999999999998</v>
      </c>
      <c r="C670" s="218">
        <f t="shared" si="50"/>
        <v>-17.239999999999998</v>
      </c>
      <c r="D670" s="218">
        <v>0.78</v>
      </c>
      <c r="E670" s="218">
        <v>0.17</v>
      </c>
      <c r="F670" s="218">
        <v>4.6900000000000004</v>
      </c>
      <c r="Q670" s="218">
        <v>17.29</v>
      </c>
      <c r="R670" s="251">
        <f t="shared" si="51"/>
        <v>-17.29</v>
      </c>
      <c r="S670" s="218">
        <v>0.78</v>
      </c>
      <c r="T670" s="218">
        <v>0.17</v>
      </c>
      <c r="U670" s="218">
        <v>4.67</v>
      </c>
      <c r="AF670" s="218">
        <v>17.21</v>
      </c>
      <c r="AG670" s="251">
        <f t="shared" si="52"/>
        <v>-17.21</v>
      </c>
      <c r="AH670" s="218">
        <v>0.78</v>
      </c>
      <c r="AI670" s="218">
        <v>0.17</v>
      </c>
      <c r="AJ670" s="218">
        <v>4.71</v>
      </c>
      <c r="AV670" s="218">
        <v>17.2</v>
      </c>
      <c r="AW670" s="251">
        <f t="shared" si="53"/>
        <v>-17.2</v>
      </c>
      <c r="AX670" s="218">
        <v>0.78</v>
      </c>
      <c r="AY670" s="218">
        <v>0.17</v>
      </c>
      <c r="AZ670" s="218">
        <v>4.68</v>
      </c>
      <c r="BL670" s="218">
        <v>17.12</v>
      </c>
      <c r="BM670" s="251">
        <f t="shared" si="54"/>
        <v>-17.12</v>
      </c>
      <c r="BN670" s="218">
        <v>0.78</v>
      </c>
      <c r="BO670" s="218">
        <v>0.17</v>
      </c>
      <c r="BP670" s="218">
        <v>4.67</v>
      </c>
    </row>
    <row r="671" spans="2:68">
      <c r="B671" s="218">
        <v>17.27</v>
      </c>
      <c r="C671" s="218">
        <f t="shared" si="50"/>
        <v>-17.27</v>
      </c>
      <c r="D671" s="218">
        <v>0.78</v>
      </c>
      <c r="E671" s="218">
        <v>0.17</v>
      </c>
      <c r="F671" s="218">
        <v>4.6900000000000004</v>
      </c>
      <c r="Q671" s="218">
        <v>17.32</v>
      </c>
      <c r="R671" s="251">
        <f t="shared" si="51"/>
        <v>-17.32</v>
      </c>
      <c r="S671" s="218">
        <v>0.78</v>
      </c>
      <c r="T671" s="218">
        <v>0.17</v>
      </c>
      <c r="U671" s="218">
        <v>4.67</v>
      </c>
      <c r="AF671" s="218">
        <v>17.239999999999998</v>
      </c>
      <c r="AG671" s="251">
        <f t="shared" si="52"/>
        <v>-17.239999999999998</v>
      </c>
      <c r="AH671" s="218">
        <v>0.78</v>
      </c>
      <c r="AI671" s="218">
        <v>0.17</v>
      </c>
      <c r="AJ671" s="218">
        <v>4.72</v>
      </c>
      <c r="AV671" s="218">
        <v>17.23</v>
      </c>
      <c r="AW671" s="251">
        <f t="shared" si="53"/>
        <v>-17.23</v>
      </c>
      <c r="AX671" s="218">
        <v>0.78</v>
      </c>
      <c r="AY671" s="218">
        <v>0.17</v>
      </c>
      <c r="AZ671" s="218">
        <v>4.68</v>
      </c>
      <c r="BL671" s="218">
        <v>17.149999999999999</v>
      </c>
      <c r="BM671" s="251">
        <f t="shared" si="54"/>
        <v>-17.149999999999999</v>
      </c>
      <c r="BN671" s="218">
        <v>0.78</v>
      </c>
      <c r="BO671" s="218">
        <v>0.17</v>
      </c>
      <c r="BP671" s="218">
        <v>4.67</v>
      </c>
    </row>
    <row r="672" spans="2:68">
      <c r="B672" s="218">
        <v>17.29</v>
      </c>
      <c r="C672" s="218">
        <f t="shared" si="50"/>
        <v>-17.29</v>
      </c>
      <c r="D672" s="218">
        <v>0.78</v>
      </c>
      <c r="E672" s="218">
        <v>0.17</v>
      </c>
      <c r="F672" s="218">
        <v>4.6900000000000004</v>
      </c>
      <c r="Q672" s="218">
        <v>17.34</v>
      </c>
      <c r="R672" s="251">
        <f t="shared" si="51"/>
        <v>-17.34</v>
      </c>
      <c r="S672" s="218">
        <v>0.78</v>
      </c>
      <c r="T672" s="218">
        <v>0.17</v>
      </c>
      <c r="U672" s="218">
        <v>4.68</v>
      </c>
      <c r="AF672" s="218">
        <v>17.260000000000002</v>
      </c>
      <c r="AG672" s="251">
        <f t="shared" si="52"/>
        <v>-17.260000000000002</v>
      </c>
      <c r="AH672" s="218">
        <v>0.78</v>
      </c>
      <c r="AI672" s="218">
        <v>0.17</v>
      </c>
      <c r="AJ672" s="218">
        <v>4.72</v>
      </c>
      <c r="AV672" s="218">
        <v>17.25</v>
      </c>
      <c r="AW672" s="251">
        <f t="shared" si="53"/>
        <v>-17.25</v>
      </c>
      <c r="AX672" s="218">
        <v>0.78</v>
      </c>
      <c r="AY672" s="218">
        <v>0.17</v>
      </c>
      <c r="AZ672" s="218">
        <v>4.6900000000000004</v>
      </c>
      <c r="BL672" s="218">
        <v>17.170000000000002</v>
      </c>
      <c r="BM672" s="251">
        <f t="shared" si="54"/>
        <v>-17.170000000000002</v>
      </c>
      <c r="BN672" s="218">
        <v>0.78</v>
      </c>
      <c r="BO672" s="218">
        <v>0.17</v>
      </c>
      <c r="BP672" s="218">
        <v>4.67</v>
      </c>
    </row>
    <row r="673" spans="2:68">
      <c r="B673" s="218">
        <v>17.32</v>
      </c>
      <c r="C673" s="218">
        <f t="shared" si="50"/>
        <v>-17.32</v>
      </c>
      <c r="D673" s="218">
        <v>0.78</v>
      </c>
      <c r="E673" s="218">
        <v>0.17</v>
      </c>
      <c r="F673" s="218">
        <v>4.6900000000000004</v>
      </c>
      <c r="Q673" s="218">
        <v>17.37</v>
      </c>
      <c r="R673" s="251">
        <f t="shared" si="51"/>
        <v>-17.37</v>
      </c>
      <c r="S673" s="218">
        <v>0.78</v>
      </c>
      <c r="T673" s="218">
        <v>0.17</v>
      </c>
      <c r="U673" s="218">
        <v>4.68</v>
      </c>
      <c r="AF673" s="218">
        <v>17.29</v>
      </c>
      <c r="AG673" s="251">
        <f t="shared" si="52"/>
        <v>-17.29</v>
      </c>
      <c r="AH673" s="218">
        <v>0.78</v>
      </c>
      <c r="AI673" s="218">
        <v>0.17</v>
      </c>
      <c r="AJ673" s="218">
        <v>4.72</v>
      </c>
      <c r="AV673" s="218">
        <v>17.28</v>
      </c>
      <c r="AW673" s="251">
        <f t="shared" si="53"/>
        <v>-17.28</v>
      </c>
      <c r="AX673" s="218">
        <v>0.78</v>
      </c>
      <c r="AY673" s="218">
        <v>0.17</v>
      </c>
      <c r="AZ673" s="218">
        <v>4.6900000000000004</v>
      </c>
      <c r="BL673" s="218">
        <v>17.2</v>
      </c>
      <c r="BM673" s="251">
        <f t="shared" si="54"/>
        <v>-17.2</v>
      </c>
      <c r="BN673" s="218">
        <v>0.78</v>
      </c>
      <c r="BO673" s="218">
        <v>0.17</v>
      </c>
      <c r="BP673" s="218">
        <v>4.67</v>
      </c>
    </row>
    <row r="674" spans="2:68">
      <c r="B674" s="218">
        <v>17.34</v>
      </c>
      <c r="C674" s="218">
        <f t="shared" si="50"/>
        <v>-17.34</v>
      </c>
      <c r="D674" s="218">
        <v>0.78</v>
      </c>
      <c r="E674" s="218">
        <v>0.17</v>
      </c>
      <c r="F674" s="218">
        <v>4.6900000000000004</v>
      </c>
      <c r="Q674" s="218">
        <v>17.39</v>
      </c>
      <c r="R674" s="251">
        <f t="shared" si="51"/>
        <v>-17.39</v>
      </c>
      <c r="S674" s="218">
        <v>0.78</v>
      </c>
      <c r="T674" s="218">
        <v>0.17</v>
      </c>
      <c r="U674" s="218">
        <v>4.68</v>
      </c>
      <c r="AF674" s="218">
        <v>17.309999999999999</v>
      </c>
      <c r="AG674" s="251">
        <f t="shared" si="52"/>
        <v>-17.309999999999999</v>
      </c>
      <c r="AH674" s="218">
        <v>0.78</v>
      </c>
      <c r="AI674" s="218">
        <v>0.17</v>
      </c>
      <c r="AJ674" s="218">
        <v>4.72</v>
      </c>
      <c r="AV674" s="218">
        <v>17.3</v>
      </c>
      <c r="AW674" s="251">
        <f t="shared" si="53"/>
        <v>-17.3</v>
      </c>
      <c r="AX674" s="218">
        <v>0.78</v>
      </c>
      <c r="AY674" s="218">
        <v>0.17</v>
      </c>
      <c r="AZ674" s="218">
        <v>4.6900000000000004</v>
      </c>
      <c r="BL674" s="218">
        <v>17.22</v>
      </c>
      <c r="BM674" s="251">
        <f t="shared" si="54"/>
        <v>-17.22</v>
      </c>
      <c r="BN674" s="218">
        <v>0.78</v>
      </c>
      <c r="BO674" s="218">
        <v>0.17</v>
      </c>
      <c r="BP674" s="218">
        <v>4.67</v>
      </c>
    </row>
    <row r="675" spans="2:68">
      <c r="B675" s="218">
        <v>17.37</v>
      </c>
      <c r="C675" s="218">
        <f t="shared" si="50"/>
        <v>-17.37</v>
      </c>
      <c r="D675" s="218">
        <v>0.78</v>
      </c>
      <c r="E675" s="218">
        <v>0.17</v>
      </c>
      <c r="F675" s="218">
        <v>4.7</v>
      </c>
      <c r="Q675" s="218">
        <v>17.420000000000002</v>
      </c>
      <c r="R675" s="251">
        <f t="shared" si="51"/>
        <v>-17.420000000000002</v>
      </c>
      <c r="S675" s="218">
        <v>0.78</v>
      </c>
      <c r="T675" s="218">
        <v>0.17</v>
      </c>
      <c r="U675" s="218">
        <v>4.68</v>
      </c>
      <c r="AF675" s="218">
        <v>17.34</v>
      </c>
      <c r="AG675" s="251">
        <f t="shared" si="52"/>
        <v>-17.34</v>
      </c>
      <c r="AH675" s="218">
        <v>0.78</v>
      </c>
      <c r="AI675" s="218">
        <v>0.17</v>
      </c>
      <c r="AJ675" s="218">
        <v>4.72</v>
      </c>
      <c r="AV675" s="218">
        <v>17.329999999999998</v>
      </c>
      <c r="AW675" s="251">
        <f t="shared" si="53"/>
        <v>-17.329999999999998</v>
      </c>
      <c r="AX675" s="218">
        <v>0.78</v>
      </c>
      <c r="AY675" s="218">
        <v>0.17</v>
      </c>
      <c r="AZ675" s="218">
        <v>4.6900000000000004</v>
      </c>
      <c r="BL675" s="218">
        <v>17.25</v>
      </c>
      <c r="BM675" s="251">
        <f t="shared" si="54"/>
        <v>-17.25</v>
      </c>
      <c r="BN675" s="218">
        <v>0.78</v>
      </c>
      <c r="BO675" s="218">
        <v>0.17</v>
      </c>
      <c r="BP675" s="218">
        <v>4.68</v>
      </c>
    </row>
    <row r="676" spans="2:68">
      <c r="B676" s="218">
        <v>17.39</v>
      </c>
      <c r="C676" s="218">
        <f t="shared" si="50"/>
        <v>-17.39</v>
      </c>
      <c r="D676" s="218">
        <v>0.78</v>
      </c>
      <c r="E676" s="218">
        <v>0.17</v>
      </c>
      <c r="F676" s="218">
        <v>4.7</v>
      </c>
      <c r="Q676" s="218">
        <v>17.440000000000001</v>
      </c>
      <c r="R676" s="251">
        <f t="shared" si="51"/>
        <v>-17.440000000000001</v>
      </c>
      <c r="S676" s="218">
        <v>0.78</v>
      </c>
      <c r="T676" s="218">
        <v>0.17</v>
      </c>
      <c r="U676" s="218">
        <v>4.68</v>
      </c>
      <c r="AF676" s="218">
        <v>17.36</v>
      </c>
      <c r="AG676" s="251">
        <f t="shared" si="52"/>
        <v>-17.36</v>
      </c>
      <c r="AH676" s="218">
        <v>0.78</v>
      </c>
      <c r="AI676" s="218">
        <v>0.17</v>
      </c>
      <c r="AJ676" s="218">
        <v>4.72</v>
      </c>
      <c r="AV676" s="218">
        <v>17.350000000000001</v>
      </c>
      <c r="AW676" s="251">
        <f t="shared" si="53"/>
        <v>-17.350000000000001</v>
      </c>
      <c r="AX676" s="218">
        <v>0.78</v>
      </c>
      <c r="AY676" s="218">
        <v>0.17</v>
      </c>
      <c r="AZ676" s="218">
        <v>4.6900000000000004</v>
      </c>
      <c r="BL676" s="218">
        <v>17.27</v>
      </c>
      <c r="BM676" s="251">
        <f t="shared" si="54"/>
        <v>-17.27</v>
      </c>
      <c r="BN676" s="218">
        <v>0.78</v>
      </c>
      <c r="BO676" s="218">
        <v>0.17</v>
      </c>
      <c r="BP676" s="218">
        <v>4.68</v>
      </c>
    </row>
    <row r="677" spans="2:68">
      <c r="B677" s="218">
        <v>17.420000000000002</v>
      </c>
      <c r="C677" s="218">
        <f t="shared" si="50"/>
        <v>-17.420000000000002</v>
      </c>
      <c r="D677" s="218">
        <v>0.78</v>
      </c>
      <c r="E677" s="218">
        <v>0.17</v>
      </c>
      <c r="F677" s="218">
        <v>4.7</v>
      </c>
      <c r="Q677" s="218">
        <v>17.47</v>
      </c>
      <c r="R677" s="251">
        <f t="shared" si="51"/>
        <v>-17.47</v>
      </c>
      <c r="S677" s="218">
        <v>0.78</v>
      </c>
      <c r="T677" s="218">
        <v>0.17</v>
      </c>
      <c r="U677" s="218">
        <v>4.6900000000000004</v>
      </c>
      <c r="AF677" s="218">
        <v>17.39</v>
      </c>
      <c r="AG677" s="251">
        <f t="shared" si="52"/>
        <v>-17.39</v>
      </c>
      <c r="AH677" s="218">
        <v>0.78</v>
      </c>
      <c r="AI677" s="218">
        <v>0.17</v>
      </c>
      <c r="AJ677" s="218">
        <v>4.7300000000000004</v>
      </c>
      <c r="AV677" s="218">
        <v>17.38</v>
      </c>
      <c r="AW677" s="251">
        <f t="shared" si="53"/>
        <v>-17.38</v>
      </c>
      <c r="AX677" s="218">
        <v>0.78</v>
      </c>
      <c r="AY677" s="218">
        <v>0.17</v>
      </c>
      <c r="AZ677" s="218">
        <v>4.6900000000000004</v>
      </c>
      <c r="BL677" s="218">
        <v>17.3</v>
      </c>
      <c r="BM677" s="251">
        <f t="shared" si="54"/>
        <v>-17.3</v>
      </c>
      <c r="BN677" s="218">
        <v>0.78</v>
      </c>
      <c r="BO677" s="218">
        <v>0.17</v>
      </c>
      <c r="BP677" s="218">
        <v>4.68</v>
      </c>
    </row>
    <row r="678" spans="2:68">
      <c r="B678" s="218">
        <v>17.440000000000001</v>
      </c>
      <c r="C678" s="218">
        <f t="shared" si="50"/>
        <v>-17.440000000000001</v>
      </c>
      <c r="D678" s="218">
        <v>0.78</v>
      </c>
      <c r="E678" s="218">
        <v>0.17</v>
      </c>
      <c r="F678" s="218">
        <v>4.7</v>
      </c>
      <c r="Q678" s="218">
        <v>17.489999999999998</v>
      </c>
      <c r="R678" s="251">
        <f t="shared" si="51"/>
        <v>-17.489999999999998</v>
      </c>
      <c r="S678" s="218">
        <v>0.78</v>
      </c>
      <c r="T678" s="218">
        <v>0.17</v>
      </c>
      <c r="U678" s="218">
        <v>4.6900000000000004</v>
      </c>
      <c r="AF678" s="218">
        <v>17.41</v>
      </c>
      <c r="AG678" s="251">
        <f t="shared" si="52"/>
        <v>-17.41</v>
      </c>
      <c r="AH678" s="218">
        <v>0.78</v>
      </c>
      <c r="AI678" s="218">
        <v>0.17</v>
      </c>
      <c r="AJ678" s="218">
        <v>4.7300000000000004</v>
      </c>
      <c r="AV678" s="218">
        <v>17.399999999999999</v>
      </c>
      <c r="AW678" s="251">
        <f t="shared" si="53"/>
        <v>-17.399999999999999</v>
      </c>
      <c r="AX678" s="218">
        <v>0.78</v>
      </c>
      <c r="AY678" s="218">
        <v>0.17</v>
      </c>
      <c r="AZ678" s="218">
        <v>4.7</v>
      </c>
      <c r="BL678" s="218">
        <v>17.32</v>
      </c>
      <c r="BM678" s="251">
        <f t="shared" si="54"/>
        <v>-17.32</v>
      </c>
      <c r="BN678" s="218">
        <v>0.78</v>
      </c>
      <c r="BO678" s="218">
        <v>0.17</v>
      </c>
      <c r="BP678" s="218">
        <v>4.68</v>
      </c>
    </row>
    <row r="679" spans="2:68">
      <c r="B679" s="218">
        <v>17.47</v>
      </c>
      <c r="C679" s="218">
        <f t="shared" si="50"/>
        <v>-17.47</v>
      </c>
      <c r="D679" s="218">
        <v>0.78</v>
      </c>
      <c r="E679" s="218">
        <v>0.17</v>
      </c>
      <c r="F679" s="218">
        <v>4.7</v>
      </c>
      <c r="Q679" s="218">
        <v>17.52</v>
      </c>
      <c r="R679" s="251">
        <f t="shared" si="51"/>
        <v>-17.52</v>
      </c>
      <c r="S679" s="218">
        <v>0.78</v>
      </c>
      <c r="T679" s="218">
        <v>0.17</v>
      </c>
      <c r="U679" s="218">
        <v>4.6900000000000004</v>
      </c>
      <c r="AF679" s="218">
        <v>17.440000000000001</v>
      </c>
      <c r="AG679" s="251">
        <f t="shared" si="52"/>
        <v>-17.440000000000001</v>
      </c>
      <c r="AH679" s="218">
        <v>0.78</v>
      </c>
      <c r="AI679" s="218">
        <v>0.17</v>
      </c>
      <c r="AJ679" s="218">
        <v>4.7300000000000004</v>
      </c>
      <c r="AV679" s="218">
        <v>17.43</v>
      </c>
      <c r="AW679" s="251">
        <f t="shared" si="53"/>
        <v>-17.43</v>
      </c>
      <c r="AX679" s="218">
        <v>0.78</v>
      </c>
      <c r="AY679" s="218">
        <v>0.17</v>
      </c>
      <c r="AZ679" s="218">
        <v>4.7</v>
      </c>
      <c r="BL679" s="218">
        <v>17.350000000000001</v>
      </c>
      <c r="BM679" s="251">
        <f t="shared" si="54"/>
        <v>-17.350000000000001</v>
      </c>
      <c r="BN679" s="218">
        <v>0.78</v>
      </c>
      <c r="BO679" s="218">
        <v>0.17</v>
      </c>
      <c r="BP679" s="218">
        <v>4.68</v>
      </c>
    </row>
    <row r="680" spans="2:68">
      <c r="B680" s="218">
        <v>17.489999999999998</v>
      </c>
      <c r="C680" s="218">
        <f t="shared" si="50"/>
        <v>-17.489999999999998</v>
      </c>
      <c r="D680" s="218">
        <v>0.78</v>
      </c>
      <c r="E680" s="218">
        <v>0.17</v>
      </c>
      <c r="F680" s="218">
        <v>4.7</v>
      </c>
      <c r="Q680" s="218">
        <v>17.54</v>
      </c>
      <c r="R680" s="251">
        <f t="shared" si="51"/>
        <v>-17.54</v>
      </c>
      <c r="S680" s="218">
        <v>0.78</v>
      </c>
      <c r="T680" s="218">
        <v>0.17</v>
      </c>
      <c r="U680" s="218">
        <v>4.6900000000000004</v>
      </c>
      <c r="AF680" s="218">
        <v>17.46</v>
      </c>
      <c r="AG680" s="251">
        <f t="shared" si="52"/>
        <v>-17.46</v>
      </c>
      <c r="AH680" s="218">
        <v>0.78</v>
      </c>
      <c r="AI680" s="218">
        <v>0.16</v>
      </c>
      <c r="AJ680" s="218">
        <v>4.7300000000000004</v>
      </c>
      <c r="AV680" s="218">
        <v>17.45</v>
      </c>
      <c r="AW680" s="251">
        <f t="shared" si="53"/>
        <v>-17.45</v>
      </c>
      <c r="AX680" s="218">
        <v>0.78</v>
      </c>
      <c r="AY680" s="218">
        <v>0.17</v>
      </c>
      <c r="AZ680" s="218">
        <v>4.7</v>
      </c>
      <c r="BL680" s="218">
        <v>17.37</v>
      </c>
      <c r="BM680" s="251">
        <f t="shared" si="54"/>
        <v>-17.37</v>
      </c>
      <c r="BN680" s="218">
        <v>0.78</v>
      </c>
      <c r="BO680" s="218">
        <v>0.17</v>
      </c>
      <c r="BP680" s="218">
        <v>4.6900000000000004</v>
      </c>
    </row>
    <row r="681" spans="2:68">
      <c r="B681" s="218">
        <v>17.52</v>
      </c>
      <c r="C681" s="218">
        <f t="shared" si="50"/>
        <v>-17.52</v>
      </c>
      <c r="D681" s="218">
        <v>0.78</v>
      </c>
      <c r="E681" s="218">
        <v>0.17</v>
      </c>
      <c r="F681" s="218">
        <v>4.71</v>
      </c>
      <c r="Q681" s="218">
        <v>17.57</v>
      </c>
      <c r="R681" s="251">
        <f t="shared" si="51"/>
        <v>-17.57</v>
      </c>
      <c r="S681" s="218">
        <v>0.78</v>
      </c>
      <c r="T681" s="218">
        <v>0.17</v>
      </c>
      <c r="U681" s="218">
        <v>4.6900000000000004</v>
      </c>
      <c r="AF681" s="218">
        <v>17.489999999999998</v>
      </c>
      <c r="AG681" s="251">
        <f t="shared" si="52"/>
        <v>-17.489999999999998</v>
      </c>
      <c r="AH681" s="218">
        <v>0.78</v>
      </c>
      <c r="AI681" s="218">
        <v>0.16</v>
      </c>
      <c r="AJ681" s="218">
        <v>4.7300000000000004</v>
      </c>
      <c r="AV681" s="218">
        <v>17.48</v>
      </c>
      <c r="AW681" s="251">
        <f t="shared" si="53"/>
        <v>-17.48</v>
      </c>
      <c r="AX681" s="218">
        <v>0.78</v>
      </c>
      <c r="AY681" s="218">
        <v>0.17</v>
      </c>
      <c r="AZ681" s="218">
        <v>4.7</v>
      </c>
      <c r="BL681" s="218">
        <v>17.399999999999999</v>
      </c>
      <c r="BM681" s="251">
        <f t="shared" si="54"/>
        <v>-17.399999999999999</v>
      </c>
      <c r="BN681" s="218">
        <v>0.78</v>
      </c>
      <c r="BO681" s="218">
        <v>0.17</v>
      </c>
      <c r="BP681" s="218">
        <v>4.6900000000000004</v>
      </c>
    </row>
    <row r="682" spans="2:68">
      <c r="B682" s="218">
        <v>17.54</v>
      </c>
      <c r="C682" s="218">
        <f t="shared" si="50"/>
        <v>-17.54</v>
      </c>
      <c r="D682" s="218">
        <v>0.78</v>
      </c>
      <c r="E682" s="218">
        <v>0.17</v>
      </c>
      <c r="F682" s="218">
        <v>4.71</v>
      </c>
      <c r="Q682" s="218">
        <v>17.59</v>
      </c>
      <c r="R682" s="251">
        <f t="shared" si="51"/>
        <v>-17.59</v>
      </c>
      <c r="S682" s="218">
        <v>0.78</v>
      </c>
      <c r="T682" s="218">
        <v>0.17</v>
      </c>
      <c r="U682" s="218">
        <v>4.6900000000000004</v>
      </c>
      <c r="AF682" s="218">
        <v>17.510000000000002</v>
      </c>
      <c r="AG682" s="251">
        <f t="shared" si="52"/>
        <v>-17.510000000000002</v>
      </c>
      <c r="AH682" s="218">
        <v>0.78</v>
      </c>
      <c r="AI682" s="218">
        <v>0.16</v>
      </c>
      <c r="AJ682" s="218">
        <v>4.74</v>
      </c>
      <c r="AV682" s="218">
        <v>17.5</v>
      </c>
      <c r="AW682" s="251">
        <f t="shared" si="53"/>
        <v>-17.5</v>
      </c>
      <c r="AX682" s="218">
        <v>0.78</v>
      </c>
      <c r="AY682" s="218">
        <v>0.17</v>
      </c>
      <c r="AZ682" s="218">
        <v>4.7</v>
      </c>
      <c r="BL682" s="218">
        <v>17.420000000000002</v>
      </c>
      <c r="BM682" s="251">
        <f t="shared" si="54"/>
        <v>-17.420000000000002</v>
      </c>
      <c r="BN682" s="218">
        <v>0.78</v>
      </c>
      <c r="BO682" s="218">
        <v>0.17</v>
      </c>
      <c r="BP682" s="218">
        <v>4.6900000000000004</v>
      </c>
    </row>
    <row r="683" spans="2:68">
      <c r="B683" s="218">
        <v>17.57</v>
      </c>
      <c r="C683" s="218">
        <f t="shared" si="50"/>
        <v>-17.57</v>
      </c>
      <c r="D683" s="218">
        <v>0.78</v>
      </c>
      <c r="E683" s="218">
        <v>0.17</v>
      </c>
      <c r="F683" s="218">
        <v>4.71</v>
      </c>
      <c r="Q683" s="218">
        <v>17.62</v>
      </c>
      <c r="R683" s="251">
        <f t="shared" si="51"/>
        <v>-17.62</v>
      </c>
      <c r="S683" s="218">
        <v>0.78</v>
      </c>
      <c r="T683" s="218">
        <v>0.17</v>
      </c>
      <c r="U683" s="218">
        <v>4.7</v>
      </c>
      <c r="AF683" s="218">
        <v>17.54</v>
      </c>
      <c r="AG683" s="251">
        <f t="shared" si="52"/>
        <v>-17.54</v>
      </c>
      <c r="AH683" s="218">
        <v>0.78</v>
      </c>
      <c r="AI683" s="218">
        <v>0.16</v>
      </c>
      <c r="AJ683" s="218">
        <v>4.74</v>
      </c>
      <c r="AV683" s="218">
        <v>17.53</v>
      </c>
      <c r="AW683" s="251">
        <f t="shared" si="53"/>
        <v>-17.53</v>
      </c>
      <c r="AX683" s="218">
        <v>0.78</v>
      </c>
      <c r="AY683" s="218">
        <v>0.17</v>
      </c>
      <c r="AZ683" s="218">
        <v>4.71</v>
      </c>
      <c r="BL683" s="218">
        <v>17.45</v>
      </c>
      <c r="BM683" s="251">
        <f t="shared" si="54"/>
        <v>-17.45</v>
      </c>
      <c r="BN683" s="218">
        <v>0.78</v>
      </c>
      <c r="BO683" s="218">
        <v>0.17</v>
      </c>
      <c r="BP683" s="218">
        <v>4.6900000000000004</v>
      </c>
    </row>
    <row r="684" spans="2:68">
      <c r="B684" s="218">
        <v>17.59</v>
      </c>
      <c r="C684" s="218">
        <f t="shared" si="50"/>
        <v>-17.59</v>
      </c>
      <c r="D684" s="218">
        <v>0.78</v>
      </c>
      <c r="E684" s="218">
        <v>0.17</v>
      </c>
      <c r="F684" s="218">
        <v>4.71</v>
      </c>
      <c r="Q684" s="218">
        <v>17.64</v>
      </c>
      <c r="R684" s="251">
        <f t="shared" si="51"/>
        <v>-17.64</v>
      </c>
      <c r="S684" s="218">
        <v>0.78</v>
      </c>
      <c r="T684" s="218">
        <v>0.17</v>
      </c>
      <c r="U684" s="218">
        <v>4.7</v>
      </c>
      <c r="AF684" s="218">
        <v>17.559999999999999</v>
      </c>
      <c r="AG684" s="251">
        <f t="shared" si="52"/>
        <v>-17.559999999999999</v>
      </c>
      <c r="AH684" s="218">
        <v>0.78</v>
      </c>
      <c r="AI684" s="218">
        <v>0.16</v>
      </c>
      <c r="AJ684" s="218">
        <v>4.74</v>
      </c>
      <c r="AV684" s="218">
        <v>17.55</v>
      </c>
      <c r="AW684" s="251">
        <f t="shared" si="53"/>
        <v>-17.55</v>
      </c>
      <c r="AX684" s="218">
        <v>0.78</v>
      </c>
      <c r="AY684" s="218">
        <v>0.17</v>
      </c>
      <c r="AZ684" s="218">
        <v>4.71</v>
      </c>
      <c r="BL684" s="218">
        <v>17.47</v>
      </c>
      <c r="BM684" s="251">
        <f t="shared" si="54"/>
        <v>-17.47</v>
      </c>
      <c r="BN684" s="218">
        <v>0.78</v>
      </c>
      <c r="BO684" s="218">
        <v>0.17</v>
      </c>
      <c r="BP684" s="218">
        <v>4.6900000000000004</v>
      </c>
    </row>
    <row r="685" spans="2:68">
      <c r="B685" s="218">
        <v>17.62</v>
      </c>
      <c r="C685" s="218">
        <f t="shared" si="50"/>
        <v>-17.62</v>
      </c>
      <c r="D685" s="218">
        <v>0.78</v>
      </c>
      <c r="E685" s="218">
        <v>0.17</v>
      </c>
      <c r="F685" s="218">
        <v>4.71</v>
      </c>
      <c r="Q685" s="218">
        <v>17.670000000000002</v>
      </c>
      <c r="R685" s="251">
        <f t="shared" si="51"/>
        <v>-17.670000000000002</v>
      </c>
      <c r="S685" s="218">
        <v>0.78</v>
      </c>
      <c r="T685" s="218">
        <v>0.17</v>
      </c>
      <c r="U685" s="218">
        <v>4.7</v>
      </c>
      <c r="AF685" s="218">
        <v>17.59</v>
      </c>
      <c r="AG685" s="251">
        <f t="shared" si="52"/>
        <v>-17.59</v>
      </c>
      <c r="AH685" s="218">
        <v>0.78</v>
      </c>
      <c r="AI685" s="218">
        <v>0.16</v>
      </c>
      <c r="AJ685" s="218">
        <v>4.74</v>
      </c>
      <c r="AV685" s="218">
        <v>17.579999999999998</v>
      </c>
      <c r="AW685" s="251">
        <f t="shared" si="53"/>
        <v>-17.579999999999998</v>
      </c>
      <c r="AX685" s="218">
        <v>0.78</v>
      </c>
      <c r="AY685" s="218">
        <v>0.17</v>
      </c>
      <c r="AZ685" s="218">
        <v>4.71</v>
      </c>
      <c r="BL685" s="218">
        <v>17.5</v>
      </c>
      <c r="BM685" s="251">
        <f t="shared" si="54"/>
        <v>-17.5</v>
      </c>
      <c r="BN685" s="218">
        <v>0.78</v>
      </c>
      <c r="BO685" s="218">
        <v>0.17</v>
      </c>
      <c r="BP685" s="218">
        <v>4.6900000000000004</v>
      </c>
    </row>
    <row r="686" spans="2:68">
      <c r="B686" s="218">
        <v>17.64</v>
      </c>
      <c r="C686" s="218">
        <f t="shared" si="50"/>
        <v>-17.64</v>
      </c>
      <c r="D686" s="218">
        <v>0.78</v>
      </c>
      <c r="E686" s="218">
        <v>0.17</v>
      </c>
      <c r="F686" s="218">
        <v>4.72</v>
      </c>
      <c r="Q686" s="218">
        <v>17.690000000000001</v>
      </c>
      <c r="R686" s="251">
        <f t="shared" si="51"/>
        <v>-17.690000000000001</v>
      </c>
      <c r="S686" s="218">
        <v>0.78</v>
      </c>
      <c r="T686" s="218">
        <v>0.17</v>
      </c>
      <c r="U686" s="218">
        <v>4.7</v>
      </c>
      <c r="AF686" s="218">
        <v>17.61</v>
      </c>
      <c r="AG686" s="251">
        <f t="shared" si="52"/>
        <v>-17.61</v>
      </c>
      <c r="AH686" s="218">
        <v>0.78</v>
      </c>
      <c r="AI686" s="218">
        <v>0.16</v>
      </c>
      <c r="AJ686" s="218">
        <v>4.74</v>
      </c>
      <c r="AV686" s="218">
        <v>17.600000000000001</v>
      </c>
      <c r="AW686" s="251">
        <f t="shared" si="53"/>
        <v>-17.600000000000001</v>
      </c>
      <c r="AX686" s="218">
        <v>0.78</v>
      </c>
      <c r="AY686" s="218">
        <v>0.17</v>
      </c>
      <c r="AZ686" s="218">
        <v>4.71</v>
      </c>
      <c r="BL686" s="218">
        <v>17.52</v>
      </c>
      <c r="BM686" s="251">
        <f t="shared" si="54"/>
        <v>-17.52</v>
      </c>
      <c r="BN686" s="218">
        <v>0.78</v>
      </c>
      <c r="BO686" s="218">
        <v>0.17</v>
      </c>
      <c r="BP686" s="218">
        <v>4.7</v>
      </c>
    </row>
    <row r="687" spans="2:68">
      <c r="B687" s="218">
        <v>17.670000000000002</v>
      </c>
      <c r="C687" s="218">
        <f t="shared" si="50"/>
        <v>-17.670000000000002</v>
      </c>
      <c r="D687" s="218">
        <v>0.78</v>
      </c>
      <c r="E687" s="218">
        <v>0.16</v>
      </c>
      <c r="F687" s="218">
        <v>4.72</v>
      </c>
      <c r="Q687" s="218">
        <v>17.72</v>
      </c>
      <c r="R687" s="251">
        <f t="shared" si="51"/>
        <v>-17.72</v>
      </c>
      <c r="S687" s="218">
        <v>0.78</v>
      </c>
      <c r="T687" s="218">
        <v>0.17</v>
      </c>
      <c r="U687" s="218">
        <v>4.7</v>
      </c>
      <c r="AF687" s="218">
        <v>17.64</v>
      </c>
      <c r="AG687" s="251">
        <f t="shared" si="52"/>
        <v>-17.64</v>
      </c>
      <c r="AH687" s="218">
        <v>0.78</v>
      </c>
      <c r="AI687" s="218">
        <v>0.16</v>
      </c>
      <c r="AJ687" s="218">
        <v>4.74</v>
      </c>
      <c r="AV687" s="218">
        <v>17.63</v>
      </c>
      <c r="AW687" s="251">
        <f t="shared" si="53"/>
        <v>-17.63</v>
      </c>
      <c r="AX687" s="218">
        <v>0.78</v>
      </c>
      <c r="AY687" s="218">
        <v>0.17</v>
      </c>
      <c r="AZ687" s="218">
        <v>4.71</v>
      </c>
      <c r="BL687" s="218">
        <v>17.55</v>
      </c>
      <c r="BM687" s="251">
        <f t="shared" si="54"/>
        <v>-17.55</v>
      </c>
      <c r="BN687" s="218">
        <v>0.78</v>
      </c>
      <c r="BO687" s="218">
        <v>0.17</v>
      </c>
      <c r="BP687" s="218">
        <v>4.7</v>
      </c>
    </row>
    <row r="688" spans="2:68">
      <c r="B688" s="218">
        <v>17.690000000000001</v>
      </c>
      <c r="C688" s="218">
        <f t="shared" si="50"/>
        <v>-17.690000000000001</v>
      </c>
      <c r="D688" s="218">
        <v>0.78</v>
      </c>
      <c r="E688" s="218">
        <v>0.16</v>
      </c>
      <c r="F688" s="218">
        <v>4.72</v>
      </c>
      <c r="Q688" s="218">
        <v>17.739999999999998</v>
      </c>
      <c r="R688" s="251">
        <f t="shared" si="51"/>
        <v>-17.739999999999998</v>
      </c>
      <c r="S688" s="218">
        <v>0.78</v>
      </c>
      <c r="T688" s="218">
        <v>0.17</v>
      </c>
      <c r="U688" s="218">
        <v>4.71</v>
      </c>
      <c r="AF688" s="218">
        <v>17.66</v>
      </c>
      <c r="AG688" s="251">
        <f t="shared" si="52"/>
        <v>-17.66</v>
      </c>
      <c r="AH688" s="218">
        <v>0.78</v>
      </c>
      <c r="AI688" s="218">
        <v>0.16</v>
      </c>
      <c r="AJ688" s="218">
        <v>4.75</v>
      </c>
      <c r="AV688" s="218">
        <v>17.649999999999999</v>
      </c>
      <c r="AW688" s="251">
        <f t="shared" si="53"/>
        <v>-17.649999999999999</v>
      </c>
      <c r="AX688" s="218">
        <v>0.78</v>
      </c>
      <c r="AY688" s="218">
        <v>0.17</v>
      </c>
      <c r="AZ688" s="218">
        <v>4.71</v>
      </c>
      <c r="BL688" s="218">
        <v>17.57</v>
      </c>
      <c r="BM688" s="251">
        <f t="shared" si="54"/>
        <v>-17.57</v>
      </c>
      <c r="BN688" s="218">
        <v>0.78</v>
      </c>
      <c r="BO688" s="218">
        <v>0.17</v>
      </c>
      <c r="BP688" s="218">
        <v>4.7</v>
      </c>
    </row>
    <row r="689" spans="2:68">
      <c r="B689" s="218">
        <v>17.72</v>
      </c>
      <c r="C689" s="218">
        <f t="shared" si="50"/>
        <v>-17.72</v>
      </c>
      <c r="D689" s="218">
        <v>0.78</v>
      </c>
      <c r="E689" s="218">
        <v>0.16</v>
      </c>
      <c r="F689" s="218">
        <v>4.72</v>
      </c>
      <c r="Q689" s="218">
        <v>17.77</v>
      </c>
      <c r="R689" s="251">
        <f t="shared" si="51"/>
        <v>-17.77</v>
      </c>
      <c r="S689" s="218">
        <v>0.78</v>
      </c>
      <c r="T689" s="218">
        <v>0.17</v>
      </c>
      <c r="U689" s="218">
        <v>4.71</v>
      </c>
      <c r="AF689" s="218">
        <v>17.690000000000001</v>
      </c>
      <c r="AG689" s="251">
        <f t="shared" si="52"/>
        <v>-17.690000000000001</v>
      </c>
      <c r="AH689" s="218">
        <v>0.78</v>
      </c>
      <c r="AI689" s="218">
        <v>0.16</v>
      </c>
      <c r="AJ689" s="218">
        <v>4.75</v>
      </c>
      <c r="AV689" s="218">
        <v>17.68</v>
      </c>
      <c r="AW689" s="251">
        <f t="shared" si="53"/>
        <v>-17.68</v>
      </c>
      <c r="AX689" s="218">
        <v>0.78</v>
      </c>
      <c r="AY689" s="218">
        <v>0.17</v>
      </c>
      <c r="AZ689" s="218">
        <v>4.72</v>
      </c>
      <c r="BL689" s="218">
        <v>17.600000000000001</v>
      </c>
      <c r="BM689" s="251">
        <f t="shared" si="54"/>
        <v>-17.600000000000001</v>
      </c>
      <c r="BN689" s="218">
        <v>0.78</v>
      </c>
      <c r="BO689" s="218">
        <v>0.17</v>
      </c>
      <c r="BP689" s="218">
        <v>4.7</v>
      </c>
    </row>
    <row r="690" spans="2:68">
      <c r="B690" s="218">
        <v>17.739999999999998</v>
      </c>
      <c r="C690" s="218">
        <f t="shared" si="50"/>
        <v>-17.739999999999998</v>
      </c>
      <c r="D690" s="218">
        <v>0.78</v>
      </c>
      <c r="E690" s="218">
        <v>0.16</v>
      </c>
      <c r="F690" s="218">
        <v>4.72</v>
      </c>
      <c r="Q690" s="218">
        <v>17.79</v>
      </c>
      <c r="R690" s="251">
        <f t="shared" si="51"/>
        <v>-17.79</v>
      </c>
      <c r="S690" s="218">
        <v>0.78</v>
      </c>
      <c r="T690" s="218">
        <v>0.17</v>
      </c>
      <c r="U690" s="218">
        <v>4.71</v>
      </c>
      <c r="AF690" s="218">
        <v>17.71</v>
      </c>
      <c r="AG690" s="251">
        <f t="shared" si="52"/>
        <v>-17.71</v>
      </c>
      <c r="AH690" s="218">
        <v>0.78</v>
      </c>
      <c r="AI690" s="218">
        <v>0.16</v>
      </c>
      <c r="AJ690" s="218">
        <v>4.75</v>
      </c>
      <c r="AV690" s="218">
        <v>17.7</v>
      </c>
      <c r="AW690" s="251">
        <f t="shared" si="53"/>
        <v>-17.7</v>
      </c>
      <c r="AX690" s="218">
        <v>0.78</v>
      </c>
      <c r="AY690" s="218">
        <v>0.17</v>
      </c>
      <c r="AZ690" s="218">
        <v>4.72</v>
      </c>
      <c r="BL690" s="218">
        <v>17.62</v>
      </c>
      <c r="BM690" s="251">
        <f t="shared" si="54"/>
        <v>-17.62</v>
      </c>
      <c r="BN690" s="218">
        <v>0.78</v>
      </c>
      <c r="BO690" s="218">
        <v>0.17</v>
      </c>
      <c r="BP690" s="218">
        <v>4.7</v>
      </c>
    </row>
    <row r="691" spans="2:68">
      <c r="B691" s="218">
        <v>17.77</v>
      </c>
      <c r="C691" s="218">
        <f t="shared" si="50"/>
        <v>-17.77</v>
      </c>
      <c r="D691" s="218">
        <v>0.78</v>
      </c>
      <c r="E691" s="218">
        <v>0.16</v>
      </c>
      <c r="F691" s="218">
        <v>4.7300000000000004</v>
      </c>
      <c r="Q691" s="218">
        <v>17.82</v>
      </c>
      <c r="R691" s="251">
        <f t="shared" si="51"/>
        <v>-17.82</v>
      </c>
      <c r="S691" s="218">
        <v>0.78</v>
      </c>
      <c r="T691" s="218">
        <v>0.17</v>
      </c>
      <c r="U691" s="218">
        <v>4.71</v>
      </c>
      <c r="AF691" s="218">
        <v>17.739999999999998</v>
      </c>
      <c r="AG691" s="251">
        <f t="shared" si="52"/>
        <v>-17.739999999999998</v>
      </c>
      <c r="AH691" s="218">
        <v>0.78</v>
      </c>
      <c r="AI691" s="218">
        <v>0.16</v>
      </c>
      <c r="AJ691" s="218">
        <v>4.75</v>
      </c>
      <c r="AV691" s="218">
        <v>17.73</v>
      </c>
      <c r="AW691" s="251">
        <f t="shared" si="53"/>
        <v>-17.73</v>
      </c>
      <c r="AX691" s="218">
        <v>0.78</v>
      </c>
      <c r="AY691" s="218">
        <v>0.16</v>
      </c>
      <c r="AZ691" s="218">
        <v>4.72</v>
      </c>
      <c r="BL691" s="218">
        <v>17.649999999999999</v>
      </c>
      <c r="BM691" s="251">
        <f t="shared" si="54"/>
        <v>-17.649999999999999</v>
      </c>
      <c r="BN691" s="218">
        <v>0.78</v>
      </c>
      <c r="BO691" s="218">
        <v>0.17</v>
      </c>
      <c r="BP691" s="218">
        <v>4.71</v>
      </c>
    </row>
    <row r="692" spans="2:68">
      <c r="B692" s="218">
        <v>17.79</v>
      </c>
      <c r="C692" s="218">
        <f t="shared" si="50"/>
        <v>-17.79</v>
      </c>
      <c r="D692" s="218">
        <v>0.78</v>
      </c>
      <c r="E692" s="218">
        <v>0.16</v>
      </c>
      <c r="F692" s="218">
        <v>4.7300000000000004</v>
      </c>
      <c r="Q692" s="218">
        <v>17.84</v>
      </c>
      <c r="R692" s="251">
        <f t="shared" si="51"/>
        <v>-17.84</v>
      </c>
      <c r="S692" s="218">
        <v>0.78</v>
      </c>
      <c r="T692" s="218">
        <v>0.17</v>
      </c>
      <c r="U692" s="218">
        <v>4.71</v>
      </c>
      <c r="AF692" s="218">
        <v>17.760000000000002</v>
      </c>
      <c r="AG692" s="251">
        <f t="shared" si="52"/>
        <v>-17.760000000000002</v>
      </c>
      <c r="AH692" s="218">
        <v>0.78</v>
      </c>
      <c r="AI692" s="218">
        <v>0.16</v>
      </c>
      <c r="AJ692" s="218">
        <v>4.75</v>
      </c>
      <c r="AV692" s="218">
        <v>17.75</v>
      </c>
      <c r="AW692" s="251">
        <f t="shared" si="53"/>
        <v>-17.75</v>
      </c>
      <c r="AX692" s="218">
        <v>0.78</v>
      </c>
      <c r="AY692" s="218">
        <v>0.16</v>
      </c>
      <c r="AZ692" s="218">
        <v>4.72</v>
      </c>
      <c r="BL692" s="218">
        <v>17.670000000000002</v>
      </c>
      <c r="BM692" s="251">
        <f t="shared" si="54"/>
        <v>-17.670000000000002</v>
      </c>
      <c r="BN692" s="218">
        <v>0.78</v>
      </c>
      <c r="BO692" s="218">
        <v>0.17</v>
      </c>
      <c r="BP692" s="218">
        <v>4.71</v>
      </c>
    </row>
    <row r="693" spans="2:68">
      <c r="B693" s="218">
        <v>17.82</v>
      </c>
      <c r="C693" s="218">
        <f t="shared" si="50"/>
        <v>-17.82</v>
      </c>
      <c r="D693" s="218">
        <v>0.78</v>
      </c>
      <c r="E693" s="218">
        <v>0.16</v>
      </c>
      <c r="F693" s="218">
        <v>4.7300000000000004</v>
      </c>
      <c r="Q693" s="218">
        <v>17.87</v>
      </c>
      <c r="R693" s="251">
        <f t="shared" si="51"/>
        <v>-17.87</v>
      </c>
      <c r="S693" s="218">
        <v>0.78</v>
      </c>
      <c r="T693" s="218">
        <v>0.17</v>
      </c>
      <c r="U693" s="218">
        <v>4.72</v>
      </c>
      <c r="AF693" s="218">
        <v>17.79</v>
      </c>
      <c r="AG693" s="251">
        <f t="shared" si="52"/>
        <v>-17.79</v>
      </c>
      <c r="AH693" s="218">
        <v>0.78</v>
      </c>
      <c r="AI693" s="218">
        <v>0.16</v>
      </c>
      <c r="AJ693" s="218">
        <v>4.76</v>
      </c>
      <c r="AV693" s="218">
        <v>17.78</v>
      </c>
      <c r="AW693" s="251">
        <f t="shared" si="53"/>
        <v>-17.78</v>
      </c>
      <c r="AX693" s="218">
        <v>0.78</v>
      </c>
      <c r="AY693" s="218">
        <v>0.16</v>
      </c>
      <c r="AZ693" s="218">
        <v>4.72</v>
      </c>
      <c r="BL693" s="218">
        <v>17.7</v>
      </c>
      <c r="BM693" s="251">
        <f t="shared" si="54"/>
        <v>-17.7</v>
      </c>
      <c r="BN693" s="218">
        <v>0.78</v>
      </c>
      <c r="BO693" s="218">
        <v>0.17</v>
      </c>
      <c r="BP693" s="218">
        <v>4.71</v>
      </c>
    </row>
    <row r="694" spans="2:68">
      <c r="B694" s="218">
        <v>17.84</v>
      </c>
      <c r="C694" s="218">
        <f t="shared" si="50"/>
        <v>-17.84</v>
      </c>
      <c r="D694" s="218">
        <v>0.78</v>
      </c>
      <c r="E694" s="218">
        <v>0.16</v>
      </c>
      <c r="F694" s="218">
        <v>4.7300000000000004</v>
      </c>
      <c r="Q694" s="218">
        <v>17.89</v>
      </c>
      <c r="R694" s="251">
        <f t="shared" si="51"/>
        <v>-17.89</v>
      </c>
      <c r="S694" s="218">
        <v>0.78</v>
      </c>
      <c r="T694" s="218">
        <v>0.16</v>
      </c>
      <c r="U694" s="218">
        <v>4.72</v>
      </c>
      <c r="AF694" s="218">
        <v>17.809999999999999</v>
      </c>
      <c r="AG694" s="251">
        <f t="shared" si="52"/>
        <v>-17.809999999999999</v>
      </c>
      <c r="AH694" s="218">
        <v>0.78</v>
      </c>
      <c r="AI694" s="218">
        <v>0.16</v>
      </c>
      <c r="AJ694" s="218">
        <v>4.76</v>
      </c>
      <c r="AV694" s="218">
        <v>17.8</v>
      </c>
      <c r="AW694" s="251">
        <f t="shared" si="53"/>
        <v>-17.8</v>
      </c>
      <c r="AX694" s="218">
        <v>0.78</v>
      </c>
      <c r="AY694" s="218">
        <v>0.16</v>
      </c>
      <c r="AZ694" s="218">
        <v>4.7300000000000004</v>
      </c>
      <c r="BL694" s="218">
        <v>17.72</v>
      </c>
      <c r="BM694" s="251">
        <f t="shared" si="54"/>
        <v>-17.72</v>
      </c>
      <c r="BN694" s="218">
        <v>0.78</v>
      </c>
      <c r="BO694" s="218">
        <v>0.17</v>
      </c>
      <c r="BP694" s="218">
        <v>4.71</v>
      </c>
    </row>
    <row r="695" spans="2:68">
      <c r="B695" s="218">
        <v>17.87</v>
      </c>
      <c r="C695" s="218">
        <f t="shared" si="50"/>
        <v>-17.87</v>
      </c>
      <c r="D695" s="218">
        <v>0.78</v>
      </c>
      <c r="E695" s="218">
        <v>0.16</v>
      </c>
      <c r="F695" s="218">
        <v>4.7300000000000004</v>
      </c>
      <c r="Q695" s="218">
        <v>17.920000000000002</v>
      </c>
      <c r="R695" s="251">
        <f t="shared" si="51"/>
        <v>-17.920000000000002</v>
      </c>
      <c r="S695" s="218">
        <v>0.78</v>
      </c>
      <c r="T695" s="218">
        <v>0.16</v>
      </c>
      <c r="U695" s="218">
        <v>4.72</v>
      </c>
      <c r="AF695" s="218">
        <v>17.84</v>
      </c>
      <c r="AG695" s="251">
        <f t="shared" si="52"/>
        <v>-17.84</v>
      </c>
      <c r="AH695" s="218">
        <v>0.78</v>
      </c>
      <c r="AI695" s="218">
        <v>0.16</v>
      </c>
      <c r="AJ695" s="218">
        <v>4.76</v>
      </c>
      <c r="AV695" s="218">
        <v>17.829999999999998</v>
      </c>
      <c r="AW695" s="251">
        <f t="shared" si="53"/>
        <v>-17.829999999999998</v>
      </c>
      <c r="AX695" s="218">
        <v>0.78</v>
      </c>
      <c r="AY695" s="218">
        <v>0.16</v>
      </c>
      <c r="AZ695" s="218">
        <v>4.7300000000000004</v>
      </c>
      <c r="BL695" s="218">
        <v>17.75</v>
      </c>
      <c r="BM695" s="251">
        <f t="shared" si="54"/>
        <v>-17.75</v>
      </c>
      <c r="BN695" s="218">
        <v>0.78</v>
      </c>
      <c r="BO695" s="218">
        <v>0.17</v>
      </c>
      <c r="BP695" s="218">
        <v>4.71</v>
      </c>
    </row>
    <row r="696" spans="2:68">
      <c r="B696" s="218">
        <v>17.89</v>
      </c>
      <c r="C696" s="218">
        <f t="shared" si="50"/>
        <v>-17.89</v>
      </c>
      <c r="D696" s="218">
        <v>0.78</v>
      </c>
      <c r="E696" s="218">
        <v>0.16</v>
      </c>
      <c r="F696" s="218">
        <v>4.7300000000000004</v>
      </c>
      <c r="Q696" s="218">
        <v>17.940000000000001</v>
      </c>
      <c r="R696" s="251">
        <f t="shared" si="51"/>
        <v>-17.940000000000001</v>
      </c>
      <c r="S696" s="218">
        <v>0.78</v>
      </c>
      <c r="T696" s="218">
        <v>0.16</v>
      </c>
      <c r="U696" s="218">
        <v>4.72</v>
      </c>
      <c r="AF696" s="218">
        <v>17.86</v>
      </c>
      <c r="AG696" s="251">
        <f t="shared" si="52"/>
        <v>-17.86</v>
      </c>
      <c r="AH696" s="218">
        <v>0.78</v>
      </c>
      <c r="AI696" s="218">
        <v>0.16</v>
      </c>
      <c r="AJ696" s="218">
        <v>4.76</v>
      </c>
      <c r="AV696" s="218">
        <v>17.850000000000001</v>
      </c>
      <c r="AW696" s="251">
        <f t="shared" si="53"/>
        <v>-17.850000000000001</v>
      </c>
      <c r="AX696" s="218">
        <v>0.78</v>
      </c>
      <c r="AY696" s="218">
        <v>0.16</v>
      </c>
      <c r="AZ696" s="218">
        <v>4.7300000000000004</v>
      </c>
      <c r="BL696" s="218">
        <v>17.77</v>
      </c>
      <c r="BM696" s="251">
        <f t="shared" si="54"/>
        <v>-17.77</v>
      </c>
      <c r="BN696" s="218">
        <v>0.78</v>
      </c>
      <c r="BO696" s="218">
        <v>0.17</v>
      </c>
      <c r="BP696" s="218">
        <v>4.71</v>
      </c>
    </row>
    <row r="697" spans="2:68">
      <c r="B697" s="218">
        <v>17.920000000000002</v>
      </c>
      <c r="C697" s="218">
        <f t="shared" si="50"/>
        <v>-17.920000000000002</v>
      </c>
      <c r="D697" s="218">
        <v>0.78</v>
      </c>
      <c r="E697" s="218">
        <v>0.16</v>
      </c>
      <c r="F697" s="218">
        <v>4.74</v>
      </c>
      <c r="Q697" s="218">
        <v>17.97</v>
      </c>
      <c r="R697" s="251">
        <f t="shared" si="51"/>
        <v>-17.97</v>
      </c>
      <c r="S697" s="218">
        <v>0.78</v>
      </c>
      <c r="T697" s="218">
        <v>0.16</v>
      </c>
      <c r="U697" s="218">
        <v>4.72</v>
      </c>
      <c r="AF697" s="218">
        <v>17.89</v>
      </c>
      <c r="AG697" s="251">
        <f t="shared" si="52"/>
        <v>-17.89</v>
      </c>
      <c r="AH697" s="218">
        <v>0.78</v>
      </c>
      <c r="AI697" s="218">
        <v>0.16</v>
      </c>
      <c r="AJ697" s="218">
        <v>4.76</v>
      </c>
      <c r="AV697" s="218">
        <v>17.88</v>
      </c>
      <c r="AW697" s="251">
        <f t="shared" si="53"/>
        <v>-17.88</v>
      </c>
      <c r="AX697" s="218">
        <v>0.78</v>
      </c>
      <c r="AY697" s="218">
        <v>0.16</v>
      </c>
      <c r="AZ697" s="218">
        <v>4.7300000000000004</v>
      </c>
      <c r="BL697" s="218">
        <v>17.8</v>
      </c>
      <c r="BM697" s="251">
        <f t="shared" si="54"/>
        <v>-17.8</v>
      </c>
      <c r="BN697" s="218">
        <v>0.78</v>
      </c>
      <c r="BO697" s="218">
        <v>0.17</v>
      </c>
      <c r="BP697" s="218">
        <v>4.72</v>
      </c>
    </row>
    <row r="698" spans="2:68">
      <c r="B698" s="218">
        <v>17.940000000000001</v>
      </c>
      <c r="C698" s="218">
        <f t="shared" si="50"/>
        <v>-17.940000000000001</v>
      </c>
      <c r="D698" s="218">
        <v>0.78</v>
      </c>
      <c r="E698" s="218">
        <v>0.16</v>
      </c>
      <c r="F698" s="218">
        <v>4.74</v>
      </c>
      <c r="Q698" s="218">
        <v>17.989999999999998</v>
      </c>
      <c r="R698" s="251">
        <f t="shared" si="51"/>
        <v>-17.989999999999998</v>
      </c>
      <c r="S698" s="218">
        <v>0.78</v>
      </c>
      <c r="T698" s="218">
        <v>0.16</v>
      </c>
      <c r="U698" s="218">
        <v>4.7300000000000004</v>
      </c>
      <c r="AF698" s="218">
        <v>17.91</v>
      </c>
      <c r="AG698" s="251">
        <f t="shared" si="52"/>
        <v>-17.91</v>
      </c>
      <c r="AH698" s="218">
        <v>0.78</v>
      </c>
      <c r="AI698" s="218">
        <v>0.16</v>
      </c>
      <c r="AJ698" s="218">
        <v>4.76</v>
      </c>
      <c r="AV698" s="218">
        <v>17.899999999999999</v>
      </c>
      <c r="AW698" s="251">
        <f t="shared" si="53"/>
        <v>-17.899999999999999</v>
      </c>
      <c r="AX698" s="218">
        <v>0.78</v>
      </c>
      <c r="AY698" s="218">
        <v>0.16</v>
      </c>
      <c r="AZ698" s="218">
        <v>4.7300000000000004</v>
      </c>
      <c r="BL698" s="218">
        <v>17.82</v>
      </c>
      <c r="BM698" s="251">
        <f t="shared" si="54"/>
        <v>-17.82</v>
      </c>
      <c r="BN698" s="218">
        <v>0.78</v>
      </c>
      <c r="BO698" s="218">
        <v>0.17</v>
      </c>
      <c r="BP698" s="218">
        <v>4.72</v>
      </c>
    </row>
    <row r="699" spans="2:68">
      <c r="B699" s="218">
        <v>17.97</v>
      </c>
      <c r="C699" s="218">
        <f t="shared" si="50"/>
        <v>-17.97</v>
      </c>
      <c r="D699" s="218">
        <v>0.78</v>
      </c>
      <c r="E699" s="218">
        <v>0.16</v>
      </c>
      <c r="F699" s="218">
        <v>4.74</v>
      </c>
      <c r="Q699" s="218">
        <v>18.02</v>
      </c>
      <c r="R699" s="251">
        <f t="shared" si="51"/>
        <v>-18.02</v>
      </c>
      <c r="S699" s="218">
        <v>0.78</v>
      </c>
      <c r="T699" s="218">
        <v>0.16</v>
      </c>
      <c r="U699" s="218">
        <v>4.7300000000000004</v>
      </c>
      <c r="AF699" s="218">
        <v>17.940000000000001</v>
      </c>
      <c r="AG699" s="251">
        <f t="shared" si="52"/>
        <v>-17.940000000000001</v>
      </c>
      <c r="AH699" s="218">
        <v>0.78</v>
      </c>
      <c r="AI699" s="218">
        <v>0.16</v>
      </c>
      <c r="AJ699" s="218">
        <v>4.7699999999999996</v>
      </c>
      <c r="AV699" s="218">
        <v>17.93</v>
      </c>
      <c r="AW699" s="251">
        <f t="shared" si="53"/>
        <v>-17.93</v>
      </c>
      <c r="AX699" s="218">
        <v>0.78</v>
      </c>
      <c r="AY699" s="218">
        <v>0.16</v>
      </c>
      <c r="AZ699" s="218">
        <v>4.74</v>
      </c>
      <c r="BL699" s="218">
        <v>17.850000000000001</v>
      </c>
      <c r="BM699" s="251">
        <f t="shared" si="54"/>
        <v>-17.850000000000001</v>
      </c>
      <c r="BN699" s="218">
        <v>0.78</v>
      </c>
      <c r="BO699" s="218">
        <v>0.16</v>
      </c>
      <c r="BP699" s="218">
        <v>4.72</v>
      </c>
    </row>
    <row r="700" spans="2:68">
      <c r="B700" s="218">
        <v>17.989999999999998</v>
      </c>
      <c r="C700" s="218">
        <f t="shared" si="50"/>
        <v>-17.989999999999998</v>
      </c>
      <c r="D700" s="218">
        <v>0.78</v>
      </c>
      <c r="E700" s="218">
        <v>0.16</v>
      </c>
      <c r="F700" s="218">
        <v>4.74</v>
      </c>
      <c r="Q700" s="218">
        <v>18.04</v>
      </c>
      <c r="R700" s="251">
        <f t="shared" si="51"/>
        <v>-18.04</v>
      </c>
      <c r="S700" s="218">
        <v>0.78</v>
      </c>
      <c r="T700" s="218">
        <v>0.16</v>
      </c>
      <c r="U700" s="218">
        <v>4.7300000000000004</v>
      </c>
      <c r="AF700" s="218">
        <v>17.96</v>
      </c>
      <c r="AG700" s="251">
        <f t="shared" si="52"/>
        <v>-17.96</v>
      </c>
      <c r="AH700" s="218">
        <v>0.78</v>
      </c>
      <c r="AI700" s="218">
        <v>0.16</v>
      </c>
      <c r="AJ700" s="218">
        <v>4.7699999999999996</v>
      </c>
      <c r="AV700" s="218">
        <v>17.95</v>
      </c>
      <c r="AW700" s="251">
        <f t="shared" si="53"/>
        <v>-17.95</v>
      </c>
      <c r="AX700" s="218">
        <v>0.78</v>
      </c>
      <c r="AY700" s="218">
        <v>0.16</v>
      </c>
      <c r="AZ700" s="218">
        <v>4.74</v>
      </c>
      <c r="BL700" s="218">
        <v>17.87</v>
      </c>
      <c r="BM700" s="251">
        <f t="shared" si="54"/>
        <v>-17.87</v>
      </c>
      <c r="BN700" s="218">
        <v>0.78</v>
      </c>
      <c r="BO700" s="218">
        <v>0.16</v>
      </c>
      <c r="BP700" s="218">
        <v>4.72</v>
      </c>
    </row>
    <row r="701" spans="2:68">
      <c r="B701" s="218">
        <v>18.02</v>
      </c>
      <c r="C701" s="218">
        <f t="shared" si="50"/>
        <v>-18.02</v>
      </c>
      <c r="D701" s="218">
        <v>0.78</v>
      </c>
      <c r="E701" s="218">
        <v>0.16</v>
      </c>
      <c r="F701" s="218">
        <v>4.74</v>
      </c>
      <c r="Q701" s="218">
        <v>18.07</v>
      </c>
      <c r="R701" s="251">
        <f t="shared" si="51"/>
        <v>-18.07</v>
      </c>
      <c r="S701" s="218">
        <v>0.78</v>
      </c>
      <c r="T701" s="218">
        <v>0.16</v>
      </c>
      <c r="U701" s="218">
        <v>4.7300000000000004</v>
      </c>
      <c r="AF701" s="218">
        <v>17.989999999999998</v>
      </c>
      <c r="AG701" s="251">
        <f t="shared" si="52"/>
        <v>-17.989999999999998</v>
      </c>
      <c r="AH701" s="218">
        <v>0.78</v>
      </c>
      <c r="AI701" s="218">
        <v>0.16</v>
      </c>
      <c r="AJ701" s="218">
        <v>4.7699999999999996</v>
      </c>
      <c r="AV701" s="218">
        <v>17.98</v>
      </c>
      <c r="AW701" s="251">
        <f t="shared" si="53"/>
        <v>-17.98</v>
      </c>
      <c r="AX701" s="218">
        <v>0.78</v>
      </c>
      <c r="AY701" s="218">
        <v>0.16</v>
      </c>
      <c r="AZ701" s="218">
        <v>4.74</v>
      </c>
      <c r="BL701" s="218">
        <v>17.899999999999999</v>
      </c>
      <c r="BM701" s="251">
        <f t="shared" si="54"/>
        <v>-17.899999999999999</v>
      </c>
      <c r="BN701" s="218">
        <v>0.78</v>
      </c>
      <c r="BO701" s="218">
        <v>0.16</v>
      </c>
      <c r="BP701" s="218">
        <v>4.72</v>
      </c>
    </row>
    <row r="702" spans="2:68">
      <c r="B702" s="218">
        <v>18.04</v>
      </c>
      <c r="C702" s="218">
        <f t="shared" si="50"/>
        <v>-18.04</v>
      </c>
      <c r="D702" s="218">
        <v>0.78</v>
      </c>
      <c r="E702" s="218">
        <v>0.16</v>
      </c>
      <c r="F702" s="218">
        <v>4.75</v>
      </c>
      <c r="Q702" s="218">
        <v>18.09</v>
      </c>
      <c r="R702" s="251">
        <f t="shared" si="51"/>
        <v>-18.09</v>
      </c>
      <c r="S702" s="218">
        <v>0.78</v>
      </c>
      <c r="T702" s="218">
        <v>0.16</v>
      </c>
      <c r="U702" s="218">
        <v>4.7300000000000004</v>
      </c>
      <c r="AF702" s="218">
        <v>18.010000000000002</v>
      </c>
      <c r="AG702" s="251">
        <f t="shared" si="52"/>
        <v>-18.010000000000002</v>
      </c>
      <c r="AH702" s="218">
        <v>0.78</v>
      </c>
      <c r="AI702" s="218">
        <v>0.16</v>
      </c>
      <c r="AJ702" s="218">
        <v>4.7699999999999996</v>
      </c>
      <c r="AV702" s="218">
        <v>18</v>
      </c>
      <c r="AW702" s="251">
        <f t="shared" si="53"/>
        <v>-18</v>
      </c>
      <c r="AX702" s="218">
        <v>0.78</v>
      </c>
      <c r="AY702" s="218">
        <v>0.16</v>
      </c>
      <c r="AZ702" s="218">
        <v>4.74</v>
      </c>
      <c r="BL702" s="218">
        <v>17.920000000000002</v>
      </c>
      <c r="BM702" s="251">
        <f t="shared" si="54"/>
        <v>-17.920000000000002</v>
      </c>
      <c r="BN702" s="218">
        <v>0.78</v>
      </c>
      <c r="BO702" s="218">
        <v>0.16</v>
      </c>
      <c r="BP702" s="218">
        <v>4.7300000000000004</v>
      </c>
    </row>
    <row r="703" spans="2:68">
      <c r="B703" s="218">
        <v>18.07</v>
      </c>
      <c r="C703" s="218">
        <f t="shared" si="50"/>
        <v>-18.07</v>
      </c>
      <c r="D703" s="218">
        <v>0.78</v>
      </c>
      <c r="E703" s="218">
        <v>0.16</v>
      </c>
      <c r="F703" s="218">
        <v>4.75</v>
      </c>
      <c r="Q703" s="218">
        <v>18.12</v>
      </c>
      <c r="R703" s="251">
        <f t="shared" si="51"/>
        <v>-18.12</v>
      </c>
      <c r="S703" s="218">
        <v>0.78</v>
      </c>
      <c r="T703" s="218">
        <v>0.16</v>
      </c>
      <c r="U703" s="218">
        <v>4.74</v>
      </c>
      <c r="AF703" s="218">
        <v>18.04</v>
      </c>
      <c r="AG703" s="251">
        <f t="shared" si="52"/>
        <v>-18.04</v>
      </c>
      <c r="AH703" s="218">
        <v>0.78</v>
      </c>
      <c r="AI703" s="218">
        <v>0.16</v>
      </c>
      <c r="AJ703" s="218">
        <v>4.7699999999999996</v>
      </c>
      <c r="AV703" s="218">
        <v>18.03</v>
      </c>
      <c r="AW703" s="251">
        <f t="shared" si="53"/>
        <v>-18.03</v>
      </c>
      <c r="AX703" s="218">
        <v>0.78</v>
      </c>
      <c r="AY703" s="218">
        <v>0.16</v>
      </c>
      <c r="AZ703" s="218">
        <v>4.74</v>
      </c>
      <c r="BL703" s="218">
        <v>17.95</v>
      </c>
      <c r="BM703" s="251">
        <f t="shared" si="54"/>
        <v>-17.95</v>
      </c>
      <c r="BN703" s="218">
        <v>0.78</v>
      </c>
      <c r="BO703" s="218">
        <v>0.16</v>
      </c>
      <c r="BP703" s="218">
        <v>4.7300000000000004</v>
      </c>
    </row>
    <row r="704" spans="2:68">
      <c r="B704" s="218">
        <v>18.09</v>
      </c>
      <c r="C704" s="218">
        <f t="shared" si="50"/>
        <v>-18.09</v>
      </c>
      <c r="D704" s="218">
        <v>0.78</v>
      </c>
      <c r="E704" s="218">
        <v>0.16</v>
      </c>
      <c r="F704" s="218">
        <v>4.75</v>
      </c>
      <c r="Q704" s="218">
        <v>18.14</v>
      </c>
      <c r="R704" s="251">
        <f t="shared" si="51"/>
        <v>-18.14</v>
      </c>
      <c r="S704" s="218">
        <v>0.78</v>
      </c>
      <c r="T704" s="218">
        <v>0.16</v>
      </c>
      <c r="U704" s="218">
        <v>4.74</v>
      </c>
      <c r="AF704" s="218">
        <v>18.059999999999999</v>
      </c>
      <c r="AG704" s="251">
        <f t="shared" si="52"/>
        <v>-18.059999999999999</v>
      </c>
      <c r="AH704" s="218">
        <v>0.78</v>
      </c>
      <c r="AI704" s="218">
        <v>0.16</v>
      </c>
      <c r="AJ704" s="218">
        <v>4.78</v>
      </c>
      <c r="AV704" s="218">
        <v>18.05</v>
      </c>
      <c r="AW704" s="251">
        <f t="shared" si="53"/>
        <v>-18.05</v>
      </c>
      <c r="AX704" s="218">
        <v>0.78</v>
      </c>
      <c r="AY704" s="218">
        <v>0.16</v>
      </c>
      <c r="AZ704" s="218">
        <v>4.75</v>
      </c>
      <c r="BL704" s="218">
        <v>17.97</v>
      </c>
      <c r="BM704" s="251">
        <f t="shared" si="54"/>
        <v>-17.97</v>
      </c>
      <c r="BN704" s="218">
        <v>0.78</v>
      </c>
      <c r="BO704" s="218">
        <v>0.16</v>
      </c>
      <c r="BP704" s="218">
        <v>4.7300000000000004</v>
      </c>
    </row>
    <row r="705" spans="2:68">
      <c r="B705" s="218">
        <v>18.12</v>
      </c>
      <c r="C705" s="218">
        <f t="shared" si="50"/>
        <v>-18.12</v>
      </c>
      <c r="D705" s="218">
        <v>0.78</v>
      </c>
      <c r="E705" s="218">
        <v>0.16</v>
      </c>
      <c r="F705" s="218">
        <v>4.75</v>
      </c>
      <c r="Q705" s="218">
        <v>18.170000000000002</v>
      </c>
      <c r="R705" s="251">
        <f t="shared" si="51"/>
        <v>-18.170000000000002</v>
      </c>
      <c r="S705" s="218">
        <v>0.78</v>
      </c>
      <c r="T705" s="218">
        <v>0.16</v>
      </c>
      <c r="U705" s="218">
        <v>4.74</v>
      </c>
      <c r="AF705" s="218">
        <v>18.09</v>
      </c>
      <c r="AG705" s="251">
        <f t="shared" si="52"/>
        <v>-18.09</v>
      </c>
      <c r="AH705" s="218">
        <v>0.78</v>
      </c>
      <c r="AI705" s="218">
        <v>0.16</v>
      </c>
      <c r="AJ705" s="218">
        <v>4.78</v>
      </c>
      <c r="AV705" s="218">
        <v>18.079999999999998</v>
      </c>
      <c r="AW705" s="251">
        <f t="shared" si="53"/>
        <v>-18.079999999999998</v>
      </c>
      <c r="AX705" s="218">
        <v>0.78</v>
      </c>
      <c r="AY705" s="218">
        <v>0.16</v>
      </c>
      <c r="AZ705" s="218">
        <v>4.75</v>
      </c>
      <c r="BL705" s="218">
        <v>18</v>
      </c>
      <c r="BM705" s="251">
        <f t="shared" si="54"/>
        <v>-18</v>
      </c>
      <c r="BN705" s="218">
        <v>0.78</v>
      </c>
      <c r="BO705" s="218">
        <v>0.16</v>
      </c>
      <c r="BP705" s="218">
        <v>4.7300000000000004</v>
      </c>
    </row>
    <row r="706" spans="2:68">
      <c r="B706" s="218">
        <v>18.14</v>
      </c>
      <c r="C706" s="218">
        <f t="shared" si="50"/>
        <v>-18.14</v>
      </c>
      <c r="D706" s="218">
        <v>0.78</v>
      </c>
      <c r="E706" s="218">
        <v>0.16</v>
      </c>
      <c r="F706" s="218">
        <v>4.75</v>
      </c>
      <c r="Q706" s="218">
        <v>18.190000000000001</v>
      </c>
      <c r="R706" s="251">
        <f t="shared" si="51"/>
        <v>-18.190000000000001</v>
      </c>
      <c r="S706" s="218">
        <v>0.78</v>
      </c>
      <c r="T706" s="218">
        <v>0.16</v>
      </c>
      <c r="U706" s="218">
        <v>4.74</v>
      </c>
      <c r="AF706" s="218">
        <v>18.11</v>
      </c>
      <c r="AG706" s="251">
        <f t="shared" si="52"/>
        <v>-18.11</v>
      </c>
      <c r="AH706" s="218">
        <v>0.78</v>
      </c>
      <c r="AI706" s="218">
        <v>0.16</v>
      </c>
      <c r="AJ706" s="218">
        <v>4.78</v>
      </c>
      <c r="AV706" s="218">
        <v>18.100000000000001</v>
      </c>
      <c r="AW706" s="251">
        <f t="shared" si="53"/>
        <v>-18.100000000000001</v>
      </c>
      <c r="AX706" s="218">
        <v>0.78</v>
      </c>
      <c r="AY706" s="218">
        <v>0.16</v>
      </c>
      <c r="AZ706" s="218">
        <v>4.75</v>
      </c>
      <c r="BL706" s="218">
        <v>18.02</v>
      </c>
      <c r="BM706" s="251">
        <f t="shared" si="54"/>
        <v>-18.02</v>
      </c>
      <c r="BN706" s="218">
        <v>0.78</v>
      </c>
      <c r="BO706" s="218">
        <v>0.16</v>
      </c>
      <c r="BP706" s="218">
        <v>4.7300000000000004</v>
      </c>
    </row>
    <row r="707" spans="2:68">
      <c r="B707" s="218">
        <v>18.170000000000002</v>
      </c>
      <c r="C707" s="218">
        <f t="shared" si="50"/>
        <v>-18.170000000000002</v>
      </c>
      <c r="D707" s="218">
        <v>0.77</v>
      </c>
      <c r="E707" s="218">
        <v>0.16</v>
      </c>
      <c r="F707" s="218">
        <v>4.76</v>
      </c>
      <c r="Q707" s="218">
        <v>18.22</v>
      </c>
      <c r="R707" s="251">
        <f t="shared" si="51"/>
        <v>-18.22</v>
      </c>
      <c r="S707" s="218">
        <v>0.78</v>
      </c>
      <c r="T707" s="218">
        <v>0.16</v>
      </c>
      <c r="U707" s="218">
        <v>4.74</v>
      </c>
      <c r="AF707" s="218">
        <v>18.14</v>
      </c>
      <c r="AG707" s="251">
        <f t="shared" si="52"/>
        <v>-18.14</v>
      </c>
      <c r="AH707" s="218">
        <v>0.78</v>
      </c>
      <c r="AI707" s="218">
        <v>0.16</v>
      </c>
      <c r="AJ707" s="218">
        <v>4.78</v>
      </c>
      <c r="AV707" s="218">
        <v>18.13</v>
      </c>
      <c r="AW707" s="251">
        <f t="shared" si="53"/>
        <v>-18.13</v>
      </c>
      <c r="AX707" s="218">
        <v>0.78</v>
      </c>
      <c r="AY707" s="218">
        <v>0.16</v>
      </c>
      <c r="AZ707" s="218">
        <v>4.75</v>
      </c>
      <c r="BL707" s="218">
        <v>18.05</v>
      </c>
      <c r="BM707" s="251">
        <f t="shared" si="54"/>
        <v>-18.05</v>
      </c>
      <c r="BN707" s="218">
        <v>0.78</v>
      </c>
      <c r="BO707" s="218">
        <v>0.16</v>
      </c>
      <c r="BP707" s="218">
        <v>4.74</v>
      </c>
    </row>
    <row r="708" spans="2:68">
      <c r="B708" s="218">
        <v>18.190000000000001</v>
      </c>
      <c r="C708" s="218">
        <f t="shared" si="50"/>
        <v>-18.190000000000001</v>
      </c>
      <c r="D708" s="218">
        <v>0.77</v>
      </c>
      <c r="E708" s="218">
        <v>0.16</v>
      </c>
      <c r="F708" s="218">
        <v>4.76</v>
      </c>
      <c r="Q708" s="218">
        <v>18.239999999999998</v>
      </c>
      <c r="R708" s="251">
        <f t="shared" si="51"/>
        <v>-18.239999999999998</v>
      </c>
      <c r="S708" s="218">
        <v>0.78</v>
      </c>
      <c r="T708" s="218">
        <v>0.16</v>
      </c>
      <c r="U708" s="218">
        <v>4.75</v>
      </c>
      <c r="AF708" s="218">
        <v>18.16</v>
      </c>
      <c r="AG708" s="251">
        <f t="shared" si="52"/>
        <v>-18.16</v>
      </c>
      <c r="AH708" s="218">
        <v>0.78</v>
      </c>
      <c r="AI708" s="218">
        <v>0.16</v>
      </c>
      <c r="AJ708" s="218">
        <v>4.78</v>
      </c>
      <c r="AV708" s="218">
        <v>18.149999999999999</v>
      </c>
      <c r="AW708" s="251">
        <f t="shared" si="53"/>
        <v>-18.149999999999999</v>
      </c>
      <c r="AX708" s="218">
        <v>0.78</v>
      </c>
      <c r="AY708" s="218">
        <v>0.16</v>
      </c>
      <c r="AZ708" s="218">
        <v>4.75</v>
      </c>
      <c r="BL708" s="218">
        <v>18.07</v>
      </c>
      <c r="BM708" s="251">
        <f t="shared" si="54"/>
        <v>-18.07</v>
      </c>
      <c r="BN708" s="218">
        <v>0.78</v>
      </c>
      <c r="BO708" s="218">
        <v>0.16</v>
      </c>
      <c r="BP708" s="218">
        <v>4.74</v>
      </c>
    </row>
    <row r="709" spans="2:68">
      <c r="B709" s="218">
        <v>18.22</v>
      </c>
      <c r="C709" s="218">
        <f t="shared" si="50"/>
        <v>-18.22</v>
      </c>
      <c r="D709" s="218">
        <v>0.77</v>
      </c>
      <c r="E709" s="218">
        <v>0.16</v>
      </c>
      <c r="F709" s="218">
        <v>4.76</v>
      </c>
      <c r="Q709" s="218">
        <v>18.27</v>
      </c>
      <c r="R709" s="251">
        <f t="shared" si="51"/>
        <v>-18.27</v>
      </c>
      <c r="S709" s="218">
        <v>0.78</v>
      </c>
      <c r="T709" s="218">
        <v>0.16</v>
      </c>
      <c r="U709" s="218">
        <v>4.75</v>
      </c>
      <c r="AF709" s="218">
        <v>18.190000000000001</v>
      </c>
      <c r="AG709" s="251">
        <f t="shared" si="52"/>
        <v>-18.190000000000001</v>
      </c>
      <c r="AH709" s="218">
        <v>0.78</v>
      </c>
      <c r="AI709" s="218">
        <v>0.16</v>
      </c>
      <c r="AJ709" s="218">
        <v>4.79</v>
      </c>
      <c r="AV709" s="218">
        <v>18.18</v>
      </c>
      <c r="AW709" s="251">
        <f t="shared" si="53"/>
        <v>-18.18</v>
      </c>
      <c r="AX709" s="218">
        <v>0.78</v>
      </c>
      <c r="AY709" s="218">
        <v>0.16</v>
      </c>
      <c r="AZ709" s="218">
        <v>4.76</v>
      </c>
      <c r="BL709" s="218">
        <v>18.100000000000001</v>
      </c>
      <c r="BM709" s="251">
        <f t="shared" si="54"/>
        <v>-18.100000000000001</v>
      </c>
      <c r="BN709" s="218">
        <v>0.78</v>
      </c>
      <c r="BO709" s="218">
        <v>0.16</v>
      </c>
      <c r="BP709" s="218">
        <v>4.74</v>
      </c>
    </row>
    <row r="710" spans="2:68">
      <c r="B710" s="218">
        <v>18.239999999999998</v>
      </c>
      <c r="C710" s="218">
        <f t="shared" ref="C710:C773" si="55">$F$2-B710</f>
        <v>-18.239999999999998</v>
      </c>
      <c r="D710" s="218">
        <v>0.77</v>
      </c>
      <c r="E710" s="218">
        <v>0.16</v>
      </c>
      <c r="F710" s="218">
        <v>4.76</v>
      </c>
      <c r="Q710" s="218">
        <v>18.29</v>
      </c>
      <c r="R710" s="251">
        <f t="shared" ref="R710:R773" si="56">$U$2-Q710</f>
        <v>-18.29</v>
      </c>
      <c r="S710" s="218">
        <v>0.78</v>
      </c>
      <c r="T710" s="218">
        <v>0.16</v>
      </c>
      <c r="U710" s="218">
        <v>4.75</v>
      </c>
      <c r="AF710" s="218">
        <v>18.21</v>
      </c>
      <c r="AG710" s="251">
        <f t="shared" ref="AG710:AG773" si="57">$AJ$2-AF710</f>
        <v>-18.21</v>
      </c>
      <c r="AH710" s="218">
        <v>0.78</v>
      </c>
      <c r="AI710" s="218">
        <v>0.16</v>
      </c>
      <c r="AJ710" s="218">
        <v>4.79</v>
      </c>
      <c r="AV710" s="218">
        <v>18.2</v>
      </c>
      <c r="AW710" s="251">
        <f t="shared" ref="AW710:AW773" si="58">$AZ$2-AV710</f>
        <v>-18.2</v>
      </c>
      <c r="AX710" s="218">
        <v>0.78</v>
      </c>
      <c r="AY710" s="218">
        <v>0.16</v>
      </c>
      <c r="AZ710" s="218">
        <v>4.76</v>
      </c>
      <c r="BL710" s="218">
        <v>18.12</v>
      </c>
      <c r="BM710" s="251">
        <f t="shared" ref="BM710:BM773" si="59">$AZ$2-BL710</f>
        <v>-18.12</v>
      </c>
      <c r="BN710" s="218">
        <v>0.78</v>
      </c>
      <c r="BO710" s="218">
        <v>0.16</v>
      </c>
      <c r="BP710" s="218">
        <v>4.74</v>
      </c>
    </row>
    <row r="711" spans="2:68">
      <c r="B711" s="218">
        <v>18.27</v>
      </c>
      <c r="C711" s="218">
        <f t="shared" si="55"/>
        <v>-18.27</v>
      </c>
      <c r="D711" s="218">
        <v>0.77</v>
      </c>
      <c r="E711" s="218">
        <v>0.16</v>
      </c>
      <c r="F711" s="218">
        <v>4.76</v>
      </c>
      <c r="Q711" s="218">
        <v>18.32</v>
      </c>
      <c r="R711" s="251">
        <f t="shared" si="56"/>
        <v>-18.32</v>
      </c>
      <c r="S711" s="218">
        <v>0.78</v>
      </c>
      <c r="T711" s="218">
        <v>0.16</v>
      </c>
      <c r="U711" s="218">
        <v>4.75</v>
      </c>
      <c r="AF711" s="218">
        <v>18.239999999999998</v>
      </c>
      <c r="AG711" s="251">
        <f t="shared" si="57"/>
        <v>-18.239999999999998</v>
      </c>
      <c r="AH711" s="218">
        <v>0.78</v>
      </c>
      <c r="AI711" s="218">
        <v>0.16</v>
      </c>
      <c r="AJ711" s="218">
        <v>4.79</v>
      </c>
      <c r="AV711" s="218">
        <v>18.23</v>
      </c>
      <c r="AW711" s="251">
        <f t="shared" si="58"/>
        <v>-18.23</v>
      </c>
      <c r="AX711" s="218">
        <v>0.78</v>
      </c>
      <c r="AY711" s="218">
        <v>0.16</v>
      </c>
      <c r="AZ711" s="218">
        <v>4.76</v>
      </c>
      <c r="BL711" s="218">
        <v>18.149999999999999</v>
      </c>
      <c r="BM711" s="251">
        <f t="shared" si="59"/>
        <v>-18.149999999999999</v>
      </c>
      <c r="BN711" s="218">
        <v>0.78</v>
      </c>
      <c r="BO711" s="218">
        <v>0.16</v>
      </c>
      <c r="BP711" s="218">
        <v>4.74</v>
      </c>
    </row>
    <row r="712" spans="2:68">
      <c r="B712" s="218">
        <v>18.29</v>
      </c>
      <c r="C712" s="218">
        <f t="shared" si="55"/>
        <v>-18.29</v>
      </c>
      <c r="D712" s="218">
        <v>0.77</v>
      </c>
      <c r="E712" s="218">
        <v>0.16</v>
      </c>
      <c r="F712" s="218">
        <v>4.7699999999999996</v>
      </c>
      <c r="Q712" s="218">
        <v>18.34</v>
      </c>
      <c r="R712" s="251">
        <f t="shared" si="56"/>
        <v>-18.34</v>
      </c>
      <c r="S712" s="218">
        <v>0.78</v>
      </c>
      <c r="T712" s="218">
        <v>0.16</v>
      </c>
      <c r="U712" s="218">
        <v>4.75</v>
      </c>
      <c r="AF712" s="218">
        <v>18.260000000000002</v>
      </c>
      <c r="AG712" s="251">
        <f t="shared" si="57"/>
        <v>-18.260000000000002</v>
      </c>
      <c r="AH712" s="218">
        <v>0.77</v>
      </c>
      <c r="AI712" s="218">
        <v>0.16</v>
      </c>
      <c r="AJ712" s="218">
        <v>4.79</v>
      </c>
      <c r="AV712" s="218">
        <v>18.25</v>
      </c>
      <c r="AW712" s="251">
        <f t="shared" si="58"/>
        <v>-18.25</v>
      </c>
      <c r="AX712" s="218">
        <v>0.78</v>
      </c>
      <c r="AY712" s="218">
        <v>0.16</v>
      </c>
      <c r="AZ712" s="218">
        <v>4.76</v>
      </c>
      <c r="BL712" s="218">
        <v>18.170000000000002</v>
      </c>
      <c r="BM712" s="251">
        <f t="shared" si="59"/>
        <v>-18.170000000000002</v>
      </c>
      <c r="BN712" s="218">
        <v>0.78</v>
      </c>
      <c r="BO712" s="218">
        <v>0.16</v>
      </c>
      <c r="BP712" s="218">
        <v>4.75</v>
      </c>
    </row>
    <row r="713" spans="2:68">
      <c r="B713" s="218">
        <v>18.32</v>
      </c>
      <c r="C713" s="218">
        <f t="shared" si="55"/>
        <v>-18.32</v>
      </c>
      <c r="D713" s="218">
        <v>0.77</v>
      </c>
      <c r="E713" s="218">
        <v>0.16</v>
      </c>
      <c r="F713" s="218">
        <v>4.7699999999999996</v>
      </c>
      <c r="Q713" s="218">
        <v>18.37</v>
      </c>
      <c r="R713" s="251">
        <f t="shared" si="56"/>
        <v>-18.37</v>
      </c>
      <c r="S713" s="218">
        <v>0.77</v>
      </c>
      <c r="T713" s="218">
        <v>0.16</v>
      </c>
      <c r="U713" s="218">
        <v>4.76</v>
      </c>
      <c r="AF713" s="218">
        <v>18.29</v>
      </c>
      <c r="AG713" s="251">
        <f t="shared" si="57"/>
        <v>-18.29</v>
      </c>
      <c r="AH713" s="218">
        <v>0.77</v>
      </c>
      <c r="AI713" s="218">
        <v>0.16</v>
      </c>
      <c r="AJ713" s="218">
        <v>4.79</v>
      </c>
      <c r="AV713" s="218">
        <v>18.28</v>
      </c>
      <c r="AW713" s="251">
        <f t="shared" si="58"/>
        <v>-18.28</v>
      </c>
      <c r="AX713" s="218">
        <v>0.77</v>
      </c>
      <c r="AY713" s="218">
        <v>0.16</v>
      </c>
      <c r="AZ713" s="218">
        <v>4.76</v>
      </c>
      <c r="BL713" s="218">
        <v>18.2</v>
      </c>
      <c r="BM713" s="251">
        <f t="shared" si="59"/>
        <v>-18.2</v>
      </c>
      <c r="BN713" s="218">
        <v>0.78</v>
      </c>
      <c r="BO713" s="218">
        <v>0.16</v>
      </c>
      <c r="BP713" s="218">
        <v>4.75</v>
      </c>
    </row>
    <row r="714" spans="2:68">
      <c r="B714" s="218">
        <v>18.34</v>
      </c>
      <c r="C714" s="218">
        <f t="shared" si="55"/>
        <v>-18.34</v>
      </c>
      <c r="D714" s="218">
        <v>0.77</v>
      </c>
      <c r="E714" s="218">
        <v>0.16</v>
      </c>
      <c r="F714" s="218">
        <v>4.7699999999999996</v>
      </c>
      <c r="Q714" s="218">
        <v>18.39</v>
      </c>
      <c r="R714" s="251">
        <f t="shared" si="56"/>
        <v>-18.39</v>
      </c>
      <c r="S714" s="218">
        <v>0.77</v>
      </c>
      <c r="T714" s="218">
        <v>0.16</v>
      </c>
      <c r="U714" s="218">
        <v>4.76</v>
      </c>
      <c r="AF714" s="218">
        <v>18.309999999999999</v>
      </c>
      <c r="AG714" s="251">
        <f t="shared" si="57"/>
        <v>-18.309999999999999</v>
      </c>
      <c r="AH714" s="218">
        <v>0.77</v>
      </c>
      <c r="AI714" s="218">
        <v>0.16</v>
      </c>
      <c r="AJ714" s="218">
        <v>4.8</v>
      </c>
      <c r="AV714" s="218">
        <v>18.3</v>
      </c>
      <c r="AW714" s="251">
        <f t="shared" si="58"/>
        <v>-18.3</v>
      </c>
      <c r="AX714" s="218">
        <v>0.77</v>
      </c>
      <c r="AY714" s="218">
        <v>0.16</v>
      </c>
      <c r="AZ714" s="218">
        <v>4.7699999999999996</v>
      </c>
      <c r="BL714" s="218">
        <v>18.22</v>
      </c>
      <c r="BM714" s="251">
        <f t="shared" si="59"/>
        <v>-18.22</v>
      </c>
      <c r="BN714" s="218">
        <v>0.78</v>
      </c>
      <c r="BO714" s="218">
        <v>0.16</v>
      </c>
      <c r="BP714" s="218">
        <v>4.75</v>
      </c>
    </row>
    <row r="715" spans="2:68">
      <c r="B715" s="218">
        <v>18.37</v>
      </c>
      <c r="C715" s="218">
        <f t="shared" si="55"/>
        <v>-18.37</v>
      </c>
      <c r="D715" s="218">
        <v>0.77</v>
      </c>
      <c r="E715" s="218">
        <v>0.16</v>
      </c>
      <c r="F715" s="218">
        <v>4.7699999999999996</v>
      </c>
      <c r="Q715" s="218">
        <v>18.420000000000002</v>
      </c>
      <c r="R715" s="251">
        <f t="shared" si="56"/>
        <v>-18.420000000000002</v>
      </c>
      <c r="S715" s="218">
        <v>0.77</v>
      </c>
      <c r="T715" s="218">
        <v>0.16</v>
      </c>
      <c r="U715" s="218">
        <v>4.76</v>
      </c>
      <c r="AF715" s="218">
        <v>18.34</v>
      </c>
      <c r="AG715" s="251">
        <f t="shared" si="57"/>
        <v>-18.34</v>
      </c>
      <c r="AH715" s="218">
        <v>0.77</v>
      </c>
      <c r="AI715" s="218">
        <v>0.16</v>
      </c>
      <c r="AJ715" s="218">
        <v>4.8</v>
      </c>
      <c r="AV715" s="218">
        <v>18.329999999999998</v>
      </c>
      <c r="AW715" s="251">
        <f t="shared" si="58"/>
        <v>-18.329999999999998</v>
      </c>
      <c r="AX715" s="218">
        <v>0.77</v>
      </c>
      <c r="AY715" s="218">
        <v>0.16</v>
      </c>
      <c r="AZ715" s="218">
        <v>4.7699999999999996</v>
      </c>
      <c r="BL715" s="218">
        <v>18.25</v>
      </c>
      <c r="BM715" s="251">
        <f t="shared" si="59"/>
        <v>-18.25</v>
      </c>
      <c r="BN715" s="218">
        <v>0.78</v>
      </c>
      <c r="BO715" s="218">
        <v>0.16</v>
      </c>
      <c r="BP715" s="218">
        <v>4.75</v>
      </c>
    </row>
    <row r="716" spans="2:68">
      <c r="B716" s="218">
        <v>18.39</v>
      </c>
      <c r="C716" s="218">
        <f t="shared" si="55"/>
        <v>-18.39</v>
      </c>
      <c r="D716" s="218">
        <v>0.77</v>
      </c>
      <c r="E716" s="218">
        <v>0.16</v>
      </c>
      <c r="F716" s="218">
        <v>4.78</v>
      </c>
      <c r="Q716" s="218">
        <v>18.440000000000001</v>
      </c>
      <c r="R716" s="251">
        <f t="shared" si="56"/>
        <v>-18.440000000000001</v>
      </c>
      <c r="S716" s="218">
        <v>0.77</v>
      </c>
      <c r="T716" s="218">
        <v>0.16</v>
      </c>
      <c r="U716" s="218">
        <v>4.76</v>
      </c>
      <c r="AF716" s="218">
        <v>18.36</v>
      </c>
      <c r="AG716" s="251">
        <f t="shared" si="57"/>
        <v>-18.36</v>
      </c>
      <c r="AH716" s="218">
        <v>0.77</v>
      </c>
      <c r="AI716" s="218">
        <v>0.16</v>
      </c>
      <c r="AJ716" s="218">
        <v>4.8</v>
      </c>
      <c r="AV716" s="218">
        <v>18.350000000000001</v>
      </c>
      <c r="AW716" s="251">
        <f t="shared" si="58"/>
        <v>-18.350000000000001</v>
      </c>
      <c r="AX716" s="218">
        <v>0.77</v>
      </c>
      <c r="AY716" s="218">
        <v>0.16</v>
      </c>
      <c r="AZ716" s="218">
        <v>4.7699999999999996</v>
      </c>
      <c r="BL716" s="218">
        <v>18.27</v>
      </c>
      <c r="BM716" s="251">
        <f t="shared" si="59"/>
        <v>-18.27</v>
      </c>
      <c r="BN716" s="218">
        <v>0.78</v>
      </c>
      <c r="BO716" s="218">
        <v>0.16</v>
      </c>
      <c r="BP716" s="218">
        <v>4.75</v>
      </c>
    </row>
    <row r="717" spans="2:68">
      <c r="B717" s="218">
        <v>18.420000000000002</v>
      </c>
      <c r="C717" s="218">
        <f t="shared" si="55"/>
        <v>-18.420000000000002</v>
      </c>
      <c r="D717" s="218">
        <v>0.77</v>
      </c>
      <c r="E717" s="218">
        <v>0.16</v>
      </c>
      <c r="F717" s="218">
        <v>4.78</v>
      </c>
      <c r="Q717" s="218">
        <v>18.47</v>
      </c>
      <c r="R717" s="251">
        <f t="shared" si="56"/>
        <v>-18.47</v>
      </c>
      <c r="S717" s="218">
        <v>0.77</v>
      </c>
      <c r="T717" s="218">
        <v>0.16</v>
      </c>
      <c r="U717" s="218">
        <v>4.76</v>
      </c>
      <c r="AF717" s="218">
        <v>18.39</v>
      </c>
      <c r="AG717" s="251">
        <f t="shared" si="57"/>
        <v>-18.39</v>
      </c>
      <c r="AH717" s="218">
        <v>0.77</v>
      </c>
      <c r="AI717" s="218">
        <v>0.16</v>
      </c>
      <c r="AJ717" s="218">
        <v>4.8</v>
      </c>
      <c r="AV717" s="218">
        <v>18.38</v>
      </c>
      <c r="AW717" s="251">
        <f t="shared" si="58"/>
        <v>-18.38</v>
      </c>
      <c r="AX717" s="218">
        <v>0.77</v>
      </c>
      <c r="AY717" s="218">
        <v>0.16</v>
      </c>
      <c r="AZ717" s="218">
        <v>4.7699999999999996</v>
      </c>
      <c r="BL717" s="218">
        <v>18.3</v>
      </c>
      <c r="BM717" s="251">
        <f t="shared" si="59"/>
        <v>-18.3</v>
      </c>
      <c r="BN717" s="218">
        <v>0.78</v>
      </c>
      <c r="BO717" s="218">
        <v>0.16</v>
      </c>
      <c r="BP717" s="218">
        <v>4.76</v>
      </c>
    </row>
    <row r="718" spans="2:68">
      <c r="B718" s="218">
        <v>18.440000000000001</v>
      </c>
      <c r="C718" s="218">
        <f t="shared" si="55"/>
        <v>-18.440000000000001</v>
      </c>
      <c r="D718" s="218">
        <v>0.77</v>
      </c>
      <c r="E718" s="218">
        <v>0.16</v>
      </c>
      <c r="F718" s="218">
        <v>4.78</v>
      </c>
      <c r="Q718" s="218">
        <v>18.489999999999998</v>
      </c>
      <c r="R718" s="251">
        <f t="shared" si="56"/>
        <v>-18.489999999999998</v>
      </c>
      <c r="S718" s="218">
        <v>0.77</v>
      </c>
      <c r="T718" s="218">
        <v>0.16</v>
      </c>
      <c r="U718" s="218">
        <v>4.7699999999999996</v>
      </c>
      <c r="AF718" s="218">
        <v>18.41</v>
      </c>
      <c r="AG718" s="251">
        <f t="shared" si="57"/>
        <v>-18.41</v>
      </c>
      <c r="AH718" s="218">
        <v>0.77</v>
      </c>
      <c r="AI718" s="218">
        <v>0.16</v>
      </c>
      <c r="AJ718" s="218">
        <v>4.8</v>
      </c>
      <c r="AV718" s="218">
        <v>18.399999999999999</v>
      </c>
      <c r="AW718" s="251">
        <f t="shared" si="58"/>
        <v>-18.399999999999999</v>
      </c>
      <c r="AX718" s="218">
        <v>0.77</v>
      </c>
      <c r="AY718" s="218">
        <v>0.16</v>
      </c>
      <c r="AZ718" s="218">
        <v>4.7699999999999996</v>
      </c>
      <c r="BL718" s="218">
        <v>18.32</v>
      </c>
      <c r="BM718" s="251">
        <f t="shared" si="59"/>
        <v>-18.32</v>
      </c>
      <c r="BN718" s="218">
        <v>0.78</v>
      </c>
      <c r="BO718" s="218">
        <v>0.16</v>
      </c>
      <c r="BP718" s="218">
        <v>4.76</v>
      </c>
    </row>
    <row r="719" spans="2:68">
      <c r="B719" s="218">
        <v>18.47</v>
      </c>
      <c r="C719" s="218">
        <f t="shared" si="55"/>
        <v>-18.47</v>
      </c>
      <c r="D719" s="218">
        <v>0.77</v>
      </c>
      <c r="E719" s="218">
        <v>0.16</v>
      </c>
      <c r="F719" s="218">
        <v>4.78</v>
      </c>
      <c r="Q719" s="218">
        <v>18.52</v>
      </c>
      <c r="R719" s="251">
        <f t="shared" si="56"/>
        <v>-18.52</v>
      </c>
      <c r="S719" s="218">
        <v>0.77</v>
      </c>
      <c r="T719" s="218">
        <v>0.16</v>
      </c>
      <c r="U719" s="218">
        <v>4.7699999999999996</v>
      </c>
      <c r="AF719" s="218">
        <v>18.440000000000001</v>
      </c>
      <c r="AG719" s="251">
        <f t="shared" si="57"/>
        <v>-18.440000000000001</v>
      </c>
      <c r="AH719" s="218">
        <v>0.77</v>
      </c>
      <c r="AI719" s="218">
        <v>0.16</v>
      </c>
      <c r="AJ719" s="218">
        <v>4.8099999999999996</v>
      </c>
      <c r="AV719" s="218">
        <v>18.43</v>
      </c>
      <c r="AW719" s="251">
        <f t="shared" si="58"/>
        <v>-18.43</v>
      </c>
      <c r="AX719" s="218">
        <v>0.77</v>
      </c>
      <c r="AY719" s="218">
        <v>0.16</v>
      </c>
      <c r="AZ719" s="218">
        <v>4.78</v>
      </c>
      <c r="BL719" s="218">
        <v>18.350000000000001</v>
      </c>
      <c r="BM719" s="251">
        <f t="shared" si="59"/>
        <v>-18.350000000000001</v>
      </c>
      <c r="BN719" s="218">
        <v>0.78</v>
      </c>
      <c r="BO719" s="218">
        <v>0.16</v>
      </c>
      <c r="BP719" s="218">
        <v>4.76</v>
      </c>
    </row>
    <row r="720" spans="2:68">
      <c r="B720" s="218">
        <v>18.489999999999998</v>
      </c>
      <c r="C720" s="218">
        <f t="shared" si="55"/>
        <v>-18.489999999999998</v>
      </c>
      <c r="D720" s="218">
        <v>0.77</v>
      </c>
      <c r="E720" s="218">
        <v>0.16</v>
      </c>
      <c r="F720" s="218">
        <v>4.78</v>
      </c>
      <c r="Q720" s="218">
        <v>18.54</v>
      </c>
      <c r="R720" s="251">
        <f t="shared" si="56"/>
        <v>-18.54</v>
      </c>
      <c r="S720" s="218">
        <v>0.77</v>
      </c>
      <c r="T720" s="218">
        <v>0.16</v>
      </c>
      <c r="U720" s="218">
        <v>4.7699999999999996</v>
      </c>
      <c r="AF720" s="218">
        <v>18.46</v>
      </c>
      <c r="AG720" s="251">
        <f t="shared" si="57"/>
        <v>-18.46</v>
      </c>
      <c r="AH720" s="218">
        <v>0.77</v>
      </c>
      <c r="AI720" s="218">
        <v>0.16</v>
      </c>
      <c r="AJ720" s="218">
        <v>4.8099999999999996</v>
      </c>
      <c r="AV720" s="218">
        <v>18.45</v>
      </c>
      <c r="AW720" s="251">
        <f t="shared" si="58"/>
        <v>-18.45</v>
      </c>
      <c r="AX720" s="218">
        <v>0.77</v>
      </c>
      <c r="AY720" s="218">
        <v>0.16</v>
      </c>
      <c r="AZ720" s="218">
        <v>4.78</v>
      </c>
      <c r="BL720" s="218">
        <v>18.37</v>
      </c>
      <c r="BM720" s="251">
        <f t="shared" si="59"/>
        <v>-18.37</v>
      </c>
      <c r="BN720" s="218">
        <v>0.78</v>
      </c>
      <c r="BO720" s="218">
        <v>0.16</v>
      </c>
      <c r="BP720" s="218">
        <v>4.76</v>
      </c>
    </row>
    <row r="721" spans="2:68">
      <c r="B721" s="218">
        <v>18.52</v>
      </c>
      <c r="C721" s="218">
        <f t="shared" si="55"/>
        <v>-18.52</v>
      </c>
      <c r="D721" s="218">
        <v>0.77</v>
      </c>
      <c r="E721" s="218">
        <v>0.16</v>
      </c>
      <c r="F721" s="218">
        <v>4.79</v>
      </c>
      <c r="Q721" s="218">
        <v>18.57</v>
      </c>
      <c r="R721" s="251">
        <f t="shared" si="56"/>
        <v>-18.57</v>
      </c>
      <c r="S721" s="218">
        <v>0.77</v>
      </c>
      <c r="T721" s="218">
        <v>0.16</v>
      </c>
      <c r="U721" s="218">
        <v>4.7699999999999996</v>
      </c>
      <c r="AF721" s="218">
        <v>18.489999999999998</v>
      </c>
      <c r="AG721" s="251">
        <f t="shared" si="57"/>
        <v>-18.489999999999998</v>
      </c>
      <c r="AH721" s="218">
        <v>0.77</v>
      </c>
      <c r="AI721" s="218">
        <v>0.16</v>
      </c>
      <c r="AJ721" s="218">
        <v>4.8099999999999996</v>
      </c>
      <c r="AV721" s="218">
        <v>18.48</v>
      </c>
      <c r="AW721" s="251">
        <f t="shared" si="58"/>
        <v>-18.48</v>
      </c>
      <c r="AX721" s="218">
        <v>0.77</v>
      </c>
      <c r="AY721" s="218">
        <v>0.16</v>
      </c>
      <c r="AZ721" s="218">
        <v>4.78</v>
      </c>
      <c r="BL721" s="218">
        <v>18.399999999999999</v>
      </c>
      <c r="BM721" s="251">
        <f t="shared" si="59"/>
        <v>-18.399999999999999</v>
      </c>
      <c r="BN721" s="218">
        <v>0.77</v>
      </c>
      <c r="BO721" s="218">
        <v>0.16</v>
      </c>
      <c r="BP721" s="218">
        <v>4.76</v>
      </c>
    </row>
    <row r="722" spans="2:68">
      <c r="B722" s="218">
        <v>18.54</v>
      </c>
      <c r="C722" s="218">
        <f t="shared" si="55"/>
        <v>-18.54</v>
      </c>
      <c r="D722" s="218">
        <v>0.77</v>
      </c>
      <c r="E722" s="218">
        <v>0.16</v>
      </c>
      <c r="F722" s="218">
        <v>4.79</v>
      </c>
      <c r="Q722" s="218">
        <v>18.59</v>
      </c>
      <c r="R722" s="251">
        <f t="shared" si="56"/>
        <v>-18.59</v>
      </c>
      <c r="S722" s="218">
        <v>0.77</v>
      </c>
      <c r="T722" s="218">
        <v>0.16</v>
      </c>
      <c r="U722" s="218">
        <v>4.78</v>
      </c>
      <c r="AF722" s="218">
        <v>18.510000000000002</v>
      </c>
      <c r="AG722" s="251">
        <f t="shared" si="57"/>
        <v>-18.510000000000002</v>
      </c>
      <c r="AH722" s="218">
        <v>0.77</v>
      </c>
      <c r="AI722" s="218">
        <v>0.16</v>
      </c>
      <c r="AJ722" s="218">
        <v>4.8099999999999996</v>
      </c>
      <c r="AV722" s="218">
        <v>18.5</v>
      </c>
      <c r="AW722" s="251">
        <f t="shared" si="58"/>
        <v>-18.5</v>
      </c>
      <c r="AX722" s="218">
        <v>0.77</v>
      </c>
      <c r="AY722" s="218">
        <v>0.16</v>
      </c>
      <c r="AZ722" s="218">
        <v>4.78</v>
      </c>
      <c r="BL722" s="218">
        <v>18.420000000000002</v>
      </c>
      <c r="BM722" s="251">
        <f t="shared" si="59"/>
        <v>-18.420000000000002</v>
      </c>
      <c r="BN722" s="218">
        <v>0.77</v>
      </c>
      <c r="BO722" s="218">
        <v>0.16</v>
      </c>
      <c r="BP722" s="218">
        <v>4.7699999999999996</v>
      </c>
    </row>
    <row r="723" spans="2:68">
      <c r="B723" s="218">
        <v>18.57</v>
      </c>
      <c r="C723" s="218">
        <f t="shared" si="55"/>
        <v>-18.57</v>
      </c>
      <c r="D723" s="218">
        <v>0.77</v>
      </c>
      <c r="E723" s="218">
        <v>0.16</v>
      </c>
      <c r="F723" s="218">
        <v>4.79</v>
      </c>
      <c r="Q723" s="218">
        <v>18.62</v>
      </c>
      <c r="R723" s="251">
        <f t="shared" si="56"/>
        <v>-18.62</v>
      </c>
      <c r="S723" s="218">
        <v>0.77</v>
      </c>
      <c r="T723" s="218">
        <v>0.16</v>
      </c>
      <c r="U723" s="218">
        <v>4.78</v>
      </c>
      <c r="AF723" s="218">
        <v>18.54</v>
      </c>
      <c r="AG723" s="251">
        <f t="shared" si="57"/>
        <v>-18.54</v>
      </c>
      <c r="AH723" s="218">
        <v>0.77</v>
      </c>
      <c r="AI723" s="218">
        <v>0.16</v>
      </c>
      <c r="AJ723" s="218">
        <v>4.82</v>
      </c>
      <c r="AV723" s="218">
        <v>18.53</v>
      </c>
      <c r="AW723" s="251">
        <f t="shared" si="58"/>
        <v>-18.53</v>
      </c>
      <c r="AX723" s="218">
        <v>0.77</v>
      </c>
      <c r="AY723" s="218">
        <v>0.16</v>
      </c>
      <c r="AZ723" s="218">
        <v>4.79</v>
      </c>
      <c r="BL723" s="218">
        <v>18.45</v>
      </c>
      <c r="BM723" s="251">
        <f t="shared" si="59"/>
        <v>-18.45</v>
      </c>
      <c r="BN723" s="218">
        <v>0.77</v>
      </c>
      <c r="BO723" s="218">
        <v>0.16</v>
      </c>
      <c r="BP723" s="218">
        <v>4.7699999999999996</v>
      </c>
    </row>
    <row r="724" spans="2:68">
      <c r="B724" s="218">
        <v>18.59</v>
      </c>
      <c r="C724" s="218">
        <f t="shared" si="55"/>
        <v>-18.59</v>
      </c>
      <c r="D724" s="218">
        <v>0.77</v>
      </c>
      <c r="E724" s="218">
        <v>0.16</v>
      </c>
      <c r="F724" s="218">
        <v>4.79</v>
      </c>
      <c r="Q724" s="218">
        <v>18.64</v>
      </c>
      <c r="R724" s="251">
        <f t="shared" si="56"/>
        <v>-18.64</v>
      </c>
      <c r="S724" s="218">
        <v>0.77</v>
      </c>
      <c r="T724" s="218">
        <v>0.16</v>
      </c>
      <c r="U724" s="218">
        <v>4.78</v>
      </c>
      <c r="AF724" s="218">
        <v>18.559999999999999</v>
      </c>
      <c r="AG724" s="251">
        <f t="shared" si="57"/>
        <v>-18.559999999999999</v>
      </c>
      <c r="AH724" s="218">
        <v>0.77</v>
      </c>
      <c r="AI724" s="218">
        <v>0.16</v>
      </c>
      <c r="AJ724" s="218">
        <v>4.82</v>
      </c>
      <c r="AV724" s="218">
        <v>18.55</v>
      </c>
      <c r="AW724" s="251">
        <f t="shared" si="58"/>
        <v>-18.55</v>
      </c>
      <c r="AX724" s="218">
        <v>0.77</v>
      </c>
      <c r="AY724" s="218">
        <v>0.16</v>
      </c>
      <c r="AZ724" s="218">
        <v>4.79</v>
      </c>
      <c r="BL724" s="218">
        <v>18.47</v>
      </c>
      <c r="BM724" s="251">
        <f t="shared" si="59"/>
        <v>-18.47</v>
      </c>
      <c r="BN724" s="218">
        <v>0.77</v>
      </c>
      <c r="BO724" s="218">
        <v>0.16</v>
      </c>
      <c r="BP724" s="218">
        <v>4.7699999999999996</v>
      </c>
    </row>
    <row r="725" spans="2:68">
      <c r="B725" s="218">
        <v>18.62</v>
      </c>
      <c r="C725" s="218">
        <f t="shared" si="55"/>
        <v>-18.62</v>
      </c>
      <c r="D725" s="218">
        <v>0.77</v>
      </c>
      <c r="E725" s="218">
        <v>0.16</v>
      </c>
      <c r="F725" s="218">
        <v>4.79</v>
      </c>
      <c r="Q725" s="218">
        <v>18.670000000000002</v>
      </c>
      <c r="R725" s="251">
        <f t="shared" si="56"/>
        <v>-18.670000000000002</v>
      </c>
      <c r="S725" s="218">
        <v>0.77</v>
      </c>
      <c r="T725" s="218">
        <v>0.16</v>
      </c>
      <c r="U725" s="218">
        <v>4.78</v>
      </c>
      <c r="AF725" s="218">
        <v>18.59</v>
      </c>
      <c r="AG725" s="251">
        <f t="shared" si="57"/>
        <v>-18.59</v>
      </c>
      <c r="AH725" s="218">
        <v>0.77</v>
      </c>
      <c r="AI725" s="218">
        <v>0.16</v>
      </c>
      <c r="AJ725" s="218">
        <v>4.82</v>
      </c>
      <c r="AV725" s="218">
        <v>18.579999999999998</v>
      </c>
      <c r="AW725" s="251">
        <f t="shared" si="58"/>
        <v>-18.579999999999998</v>
      </c>
      <c r="AX725" s="218">
        <v>0.77</v>
      </c>
      <c r="AY725" s="218">
        <v>0.16</v>
      </c>
      <c r="AZ725" s="218">
        <v>4.79</v>
      </c>
      <c r="BL725" s="218">
        <v>18.5</v>
      </c>
      <c r="BM725" s="251">
        <f t="shared" si="59"/>
        <v>-18.5</v>
      </c>
      <c r="BN725" s="218">
        <v>0.77</v>
      </c>
      <c r="BO725" s="218">
        <v>0.16</v>
      </c>
      <c r="BP725" s="218">
        <v>4.7699999999999996</v>
      </c>
    </row>
    <row r="726" spans="2:68">
      <c r="B726" s="218">
        <v>18.64</v>
      </c>
      <c r="C726" s="218">
        <f t="shared" si="55"/>
        <v>-18.64</v>
      </c>
      <c r="D726" s="218">
        <v>0.77</v>
      </c>
      <c r="E726" s="218">
        <v>0.16</v>
      </c>
      <c r="F726" s="218">
        <v>4.8</v>
      </c>
      <c r="Q726" s="218">
        <v>18.690000000000001</v>
      </c>
      <c r="R726" s="251">
        <f t="shared" si="56"/>
        <v>-18.690000000000001</v>
      </c>
      <c r="S726" s="218">
        <v>0.77</v>
      </c>
      <c r="T726" s="218">
        <v>0.16</v>
      </c>
      <c r="U726" s="218">
        <v>4.78</v>
      </c>
      <c r="AF726" s="218">
        <v>18.61</v>
      </c>
      <c r="AG726" s="251">
        <f t="shared" si="57"/>
        <v>-18.61</v>
      </c>
      <c r="AH726" s="218">
        <v>0.77</v>
      </c>
      <c r="AI726" s="218">
        <v>0.16</v>
      </c>
      <c r="AJ726" s="218">
        <v>4.82</v>
      </c>
      <c r="AV726" s="218">
        <v>18.600000000000001</v>
      </c>
      <c r="AW726" s="251">
        <f t="shared" si="58"/>
        <v>-18.600000000000001</v>
      </c>
      <c r="AX726" s="218">
        <v>0.77</v>
      </c>
      <c r="AY726" s="218">
        <v>0.16</v>
      </c>
      <c r="AZ726" s="218">
        <v>4.79</v>
      </c>
      <c r="BL726" s="218">
        <v>18.52</v>
      </c>
      <c r="BM726" s="251">
        <f t="shared" si="59"/>
        <v>-18.52</v>
      </c>
      <c r="BN726" s="218">
        <v>0.77</v>
      </c>
      <c r="BO726" s="218">
        <v>0.16</v>
      </c>
      <c r="BP726" s="218">
        <v>4.78</v>
      </c>
    </row>
    <row r="727" spans="2:68">
      <c r="B727" s="218">
        <v>18.670000000000002</v>
      </c>
      <c r="C727" s="218">
        <f t="shared" si="55"/>
        <v>-18.670000000000002</v>
      </c>
      <c r="D727" s="218">
        <v>0.77</v>
      </c>
      <c r="E727" s="218">
        <v>0.16</v>
      </c>
      <c r="F727" s="218">
        <v>4.8</v>
      </c>
      <c r="Q727" s="218">
        <v>18.72</v>
      </c>
      <c r="R727" s="251">
        <f t="shared" si="56"/>
        <v>-18.72</v>
      </c>
      <c r="S727" s="218">
        <v>0.77</v>
      </c>
      <c r="T727" s="218">
        <v>0.16</v>
      </c>
      <c r="U727" s="218">
        <v>4.79</v>
      </c>
      <c r="AF727" s="218">
        <v>18.64</v>
      </c>
      <c r="AG727" s="251">
        <f t="shared" si="57"/>
        <v>-18.64</v>
      </c>
      <c r="AH727" s="218">
        <v>0.77</v>
      </c>
      <c r="AI727" s="218">
        <v>0.16</v>
      </c>
      <c r="AJ727" s="218">
        <v>4.82</v>
      </c>
      <c r="AV727" s="218">
        <v>18.63</v>
      </c>
      <c r="AW727" s="251">
        <f t="shared" si="58"/>
        <v>-18.63</v>
      </c>
      <c r="AX727" s="218">
        <v>0.77</v>
      </c>
      <c r="AY727" s="218">
        <v>0.16</v>
      </c>
      <c r="AZ727" s="218">
        <v>4.79</v>
      </c>
      <c r="BL727" s="218">
        <v>18.55</v>
      </c>
      <c r="BM727" s="251">
        <f t="shared" si="59"/>
        <v>-18.55</v>
      </c>
      <c r="BN727" s="218">
        <v>0.77</v>
      </c>
      <c r="BO727" s="218">
        <v>0.16</v>
      </c>
      <c r="BP727" s="218">
        <v>4.78</v>
      </c>
    </row>
    <row r="728" spans="2:68">
      <c r="B728" s="218">
        <v>18.690000000000001</v>
      </c>
      <c r="C728" s="218">
        <f t="shared" si="55"/>
        <v>-18.690000000000001</v>
      </c>
      <c r="D728" s="218">
        <v>0.77</v>
      </c>
      <c r="E728" s="218">
        <v>0.16</v>
      </c>
      <c r="F728" s="218">
        <v>4.8</v>
      </c>
      <c r="Q728" s="218">
        <v>18.739999999999998</v>
      </c>
      <c r="R728" s="251">
        <f t="shared" si="56"/>
        <v>-18.739999999999998</v>
      </c>
      <c r="S728" s="218">
        <v>0.77</v>
      </c>
      <c r="T728" s="218">
        <v>0.16</v>
      </c>
      <c r="U728" s="218">
        <v>4.79</v>
      </c>
      <c r="AF728" s="218">
        <v>18.66</v>
      </c>
      <c r="AG728" s="251">
        <f t="shared" si="57"/>
        <v>-18.66</v>
      </c>
      <c r="AH728" s="218">
        <v>0.77</v>
      </c>
      <c r="AI728" s="218">
        <v>0.16</v>
      </c>
      <c r="AJ728" s="218">
        <v>4.83</v>
      </c>
      <c r="AV728" s="218">
        <v>18.649999999999999</v>
      </c>
      <c r="AW728" s="251">
        <f t="shared" si="58"/>
        <v>-18.649999999999999</v>
      </c>
      <c r="AX728" s="218">
        <v>0.77</v>
      </c>
      <c r="AY728" s="218">
        <v>0.16</v>
      </c>
      <c r="AZ728" s="218">
        <v>4.8</v>
      </c>
      <c r="BL728" s="218">
        <v>18.57</v>
      </c>
      <c r="BM728" s="251">
        <f t="shared" si="59"/>
        <v>-18.57</v>
      </c>
      <c r="BN728" s="218">
        <v>0.77</v>
      </c>
      <c r="BO728" s="218">
        <v>0.16</v>
      </c>
      <c r="BP728" s="218">
        <v>4.78</v>
      </c>
    </row>
    <row r="729" spans="2:68">
      <c r="B729" s="218">
        <v>18.72</v>
      </c>
      <c r="C729" s="218">
        <f t="shared" si="55"/>
        <v>-18.72</v>
      </c>
      <c r="D729" s="218">
        <v>0.77</v>
      </c>
      <c r="E729" s="218">
        <v>0.16</v>
      </c>
      <c r="F729" s="218">
        <v>4.8</v>
      </c>
      <c r="Q729" s="218">
        <v>18.77</v>
      </c>
      <c r="R729" s="251">
        <f t="shared" si="56"/>
        <v>-18.77</v>
      </c>
      <c r="S729" s="218">
        <v>0.77</v>
      </c>
      <c r="T729" s="218">
        <v>0.16</v>
      </c>
      <c r="U729" s="218">
        <v>4.79</v>
      </c>
      <c r="AF729" s="218">
        <v>18.690000000000001</v>
      </c>
      <c r="AG729" s="251">
        <f t="shared" si="57"/>
        <v>-18.690000000000001</v>
      </c>
      <c r="AH729" s="218">
        <v>0.77</v>
      </c>
      <c r="AI729" s="218">
        <v>0.16</v>
      </c>
      <c r="AJ729" s="218">
        <v>4.83</v>
      </c>
      <c r="AV729" s="218">
        <v>18.68</v>
      </c>
      <c r="AW729" s="251">
        <f t="shared" si="58"/>
        <v>-18.68</v>
      </c>
      <c r="AX729" s="218">
        <v>0.77</v>
      </c>
      <c r="AY729" s="218">
        <v>0.16</v>
      </c>
      <c r="AZ729" s="218">
        <v>4.8</v>
      </c>
      <c r="BL729" s="218">
        <v>18.600000000000001</v>
      </c>
      <c r="BM729" s="251">
        <f t="shared" si="59"/>
        <v>-18.600000000000001</v>
      </c>
      <c r="BN729" s="218">
        <v>0.77</v>
      </c>
      <c r="BO729" s="218">
        <v>0.16</v>
      </c>
      <c r="BP729" s="218">
        <v>4.78</v>
      </c>
    </row>
    <row r="730" spans="2:68">
      <c r="B730" s="218">
        <v>18.739999999999998</v>
      </c>
      <c r="C730" s="218">
        <f t="shared" si="55"/>
        <v>-18.739999999999998</v>
      </c>
      <c r="D730" s="218">
        <v>0.77</v>
      </c>
      <c r="E730" s="218">
        <v>0.16</v>
      </c>
      <c r="F730" s="218">
        <v>4.8099999999999996</v>
      </c>
      <c r="Q730" s="218">
        <v>18.79</v>
      </c>
      <c r="R730" s="251">
        <f t="shared" si="56"/>
        <v>-18.79</v>
      </c>
      <c r="S730" s="218">
        <v>0.77</v>
      </c>
      <c r="T730" s="218">
        <v>0.16</v>
      </c>
      <c r="U730" s="218">
        <v>4.79</v>
      </c>
      <c r="AF730" s="218">
        <v>18.71</v>
      </c>
      <c r="AG730" s="251">
        <f t="shared" si="57"/>
        <v>-18.71</v>
      </c>
      <c r="AH730" s="218">
        <v>0.77</v>
      </c>
      <c r="AI730" s="218">
        <v>0.16</v>
      </c>
      <c r="AJ730" s="218">
        <v>4.83</v>
      </c>
      <c r="AV730" s="218">
        <v>18.7</v>
      </c>
      <c r="AW730" s="251">
        <f t="shared" si="58"/>
        <v>-18.7</v>
      </c>
      <c r="AX730" s="218">
        <v>0.77</v>
      </c>
      <c r="AY730" s="218">
        <v>0.16</v>
      </c>
      <c r="AZ730" s="218">
        <v>4.8</v>
      </c>
      <c r="BL730" s="218">
        <v>18.62</v>
      </c>
      <c r="BM730" s="251">
        <f t="shared" si="59"/>
        <v>-18.62</v>
      </c>
      <c r="BN730" s="218">
        <v>0.77</v>
      </c>
      <c r="BO730" s="218">
        <v>0.16</v>
      </c>
      <c r="BP730" s="218">
        <v>4.78</v>
      </c>
    </row>
    <row r="731" spans="2:68">
      <c r="B731" s="218">
        <v>18.77</v>
      </c>
      <c r="C731" s="218">
        <f t="shared" si="55"/>
        <v>-18.77</v>
      </c>
      <c r="D731" s="218">
        <v>0.77</v>
      </c>
      <c r="E731" s="218">
        <v>0.16</v>
      </c>
      <c r="F731" s="218">
        <v>4.8099999999999996</v>
      </c>
      <c r="Q731" s="218">
        <v>18.82</v>
      </c>
      <c r="R731" s="251">
        <f t="shared" si="56"/>
        <v>-18.82</v>
      </c>
      <c r="S731" s="218">
        <v>0.77</v>
      </c>
      <c r="T731" s="218">
        <v>0.16</v>
      </c>
      <c r="U731" s="218">
        <v>4.8</v>
      </c>
      <c r="AF731" s="218">
        <v>18.739999999999998</v>
      </c>
      <c r="AG731" s="251">
        <f t="shared" si="57"/>
        <v>-18.739999999999998</v>
      </c>
      <c r="AH731" s="218">
        <v>0.77</v>
      </c>
      <c r="AI731" s="218">
        <v>0.16</v>
      </c>
      <c r="AJ731" s="218">
        <v>4.83</v>
      </c>
      <c r="AV731" s="218">
        <v>18.73</v>
      </c>
      <c r="AW731" s="251">
        <f t="shared" si="58"/>
        <v>-18.73</v>
      </c>
      <c r="AX731" s="218">
        <v>0.77</v>
      </c>
      <c r="AY731" s="218">
        <v>0.16</v>
      </c>
      <c r="AZ731" s="218">
        <v>4.8</v>
      </c>
      <c r="BL731" s="218">
        <v>18.649999999999999</v>
      </c>
      <c r="BM731" s="251">
        <f t="shared" si="59"/>
        <v>-18.649999999999999</v>
      </c>
      <c r="BN731" s="218">
        <v>0.77</v>
      </c>
      <c r="BO731" s="218">
        <v>0.16</v>
      </c>
      <c r="BP731" s="218">
        <v>4.79</v>
      </c>
    </row>
    <row r="732" spans="2:68">
      <c r="B732" s="218">
        <v>18.79</v>
      </c>
      <c r="C732" s="218">
        <f t="shared" si="55"/>
        <v>-18.79</v>
      </c>
      <c r="D732" s="218">
        <v>0.77</v>
      </c>
      <c r="E732" s="218">
        <v>0.16</v>
      </c>
      <c r="F732" s="218">
        <v>4.8099999999999996</v>
      </c>
      <c r="Q732" s="218">
        <v>18.84</v>
      </c>
      <c r="R732" s="251">
        <f t="shared" si="56"/>
        <v>-18.84</v>
      </c>
      <c r="S732" s="218">
        <v>0.77</v>
      </c>
      <c r="T732" s="218">
        <v>0.16</v>
      </c>
      <c r="U732" s="218">
        <v>4.8</v>
      </c>
      <c r="AF732" s="218">
        <v>18.760000000000002</v>
      </c>
      <c r="AG732" s="251">
        <f t="shared" si="57"/>
        <v>-18.760000000000002</v>
      </c>
      <c r="AH732" s="218">
        <v>0.77</v>
      </c>
      <c r="AI732" s="218">
        <v>0.16</v>
      </c>
      <c r="AJ732" s="218">
        <v>4.84</v>
      </c>
      <c r="AV732" s="218">
        <v>18.75</v>
      </c>
      <c r="AW732" s="251">
        <f t="shared" si="58"/>
        <v>-18.75</v>
      </c>
      <c r="AX732" s="218">
        <v>0.77</v>
      </c>
      <c r="AY732" s="218">
        <v>0.16</v>
      </c>
      <c r="AZ732" s="218">
        <v>4.8099999999999996</v>
      </c>
      <c r="BL732" s="218">
        <v>18.670000000000002</v>
      </c>
      <c r="BM732" s="251">
        <f t="shared" si="59"/>
        <v>-18.670000000000002</v>
      </c>
      <c r="BN732" s="218">
        <v>0.77</v>
      </c>
      <c r="BO732" s="218">
        <v>0.16</v>
      </c>
      <c r="BP732" s="218">
        <v>4.79</v>
      </c>
    </row>
    <row r="733" spans="2:68">
      <c r="B733" s="218">
        <v>18.82</v>
      </c>
      <c r="C733" s="218">
        <f t="shared" si="55"/>
        <v>-18.82</v>
      </c>
      <c r="D733" s="218">
        <v>0.77</v>
      </c>
      <c r="E733" s="218">
        <v>0.16</v>
      </c>
      <c r="F733" s="218">
        <v>4.8099999999999996</v>
      </c>
      <c r="Q733" s="218">
        <v>18.87</v>
      </c>
      <c r="R733" s="251">
        <f t="shared" si="56"/>
        <v>-18.87</v>
      </c>
      <c r="S733" s="218">
        <v>0.77</v>
      </c>
      <c r="T733" s="218">
        <v>0.16</v>
      </c>
      <c r="U733" s="218">
        <v>4.8</v>
      </c>
      <c r="AF733" s="218">
        <v>18.79</v>
      </c>
      <c r="AG733" s="251">
        <f t="shared" si="57"/>
        <v>-18.79</v>
      </c>
      <c r="AH733" s="218">
        <v>0.77</v>
      </c>
      <c r="AI733" s="218">
        <v>0.16</v>
      </c>
      <c r="AJ733" s="218">
        <v>4.84</v>
      </c>
      <c r="AV733" s="218">
        <v>18.78</v>
      </c>
      <c r="AW733" s="251">
        <f t="shared" si="58"/>
        <v>-18.78</v>
      </c>
      <c r="AX733" s="218">
        <v>0.77</v>
      </c>
      <c r="AY733" s="218">
        <v>0.16</v>
      </c>
      <c r="AZ733" s="218">
        <v>4.8099999999999996</v>
      </c>
      <c r="BL733" s="218">
        <v>18.7</v>
      </c>
      <c r="BM733" s="251">
        <f t="shared" si="59"/>
        <v>-18.7</v>
      </c>
      <c r="BN733" s="218">
        <v>0.77</v>
      </c>
      <c r="BO733" s="218">
        <v>0.16</v>
      </c>
      <c r="BP733" s="218">
        <v>4.79</v>
      </c>
    </row>
    <row r="734" spans="2:68">
      <c r="B734" s="218">
        <v>18.84</v>
      </c>
      <c r="C734" s="218">
        <f t="shared" si="55"/>
        <v>-18.84</v>
      </c>
      <c r="D734" s="218">
        <v>0.77</v>
      </c>
      <c r="E734" s="218">
        <v>0.16</v>
      </c>
      <c r="F734" s="218">
        <v>4.82</v>
      </c>
      <c r="Q734" s="218">
        <v>18.89</v>
      </c>
      <c r="R734" s="251">
        <f t="shared" si="56"/>
        <v>-18.89</v>
      </c>
      <c r="S734" s="218">
        <v>0.77</v>
      </c>
      <c r="T734" s="218">
        <v>0.16</v>
      </c>
      <c r="U734" s="218">
        <v>4.8</v>
      </c>
      <c r="AF734" s="218">
        <v>18.809999999999999</v>
      </c>
      <c r="AG734" s="251">
        <f t="shared" si="57"/>
        <v>-18.809999999999999</v>
      </c>
      <c r="AH734" s="218">
        <v>0.77</v>
      </c>
      <c r="AI734" s="218">
        <v>0.16</v>
      </c>
      <c r="AJ734" s="218">
        <v>4.84</v>
      </c>
      <c r="AV734" s="218">
        <v>18.8</v>
      </c>
      <c r="AW734" s="251">
        <f t="shared" si="58"/>
        <v>-18.8</v>
      </c>
      <c r="AX734" s="218">
        <v>0.77</v>
      </c>
      <c r="AY734" s="218">
        <v>0.16</v>
      </c>
      <c r="AZ734" s="218">
        <v>4.8099999999999996</v>
      </c>
      <c r="BL734" s="218">
        <v>18.72</v>
      </c>
      <c r="BM734" s="251">
        <f t="shared" si="59"/>
        <v>-18.72</v>
      </c>
      <c r="BN734" s="218">
        <v>0.77</v>
      </c>
      <c r="BO734" s="218">
        <v>0.16</v>
      </c>
      <c r="BP734" s="218">
        <v>4.79</v>
      </c>
    </row>
    <row r="735" spans="2:68">
      <c r="B735" s="218">
        <v>18.87</v>
      </c>
      <c r="C735" s="218">
        <f t="shared" si="55"/>
        <v>-18.87</v>
      </c>
      <c r="D735" s="218">
        <v>0.77</v>
      </c>
      <c r="E735" s="218">
        <v>0.16</v>
      </c>
      <c r="F735" s="218">
        <v>4.82</v>
      </c>
      <c r="Q735" s="218">
        <v>18.920000000000002</v>
      </c>
      <c r="R735" s="251">
        <f t="shared" si="56"/>
        <v>-18.920000000000002</v>
      </c>
      <c r="S735" s="218">
        <v>0.77</v>
      </c>
      <c r="T735" s="218">
        <v>0.16</v>
      </c>
      <c r="U735" s="218">
        <v>4.8099999999999996</v>
      </c>
      <c r="AF735" s="218">
        <v>18.84</v>
      </c>
      <c r="AG735" s="251">
        <f t="shared" si="57"/>
        <v>-18.84</v>
      </c>
      <c r="AH735" s="218">
        <v>0.77</v>
      </c>
      <c r="AI735" s="218">
        <v>0.16</v>
      </c>
      <c r="AJ735" s="218">
        <v>4.84</v>
      </c>
      <c r="AV735" s="218">
        <v>18.829999999999998</v>
      </c>
      <c r="AW735" s="251">
        <f t="shared" si="58"/>
        <v>-18.829999999999998</v>
      </c>
      <c r="AX735" s="218">
        <v>0.77</v>
      </c>
      <c r="AY735" s="218">
        <v>0.16</v>
      </c>
      <c r="AZ735" s="218">
        <v>4.8099999999999996</v>
      </c>
      <c r="BL735" s="218">
        <v>18.75</v>
      </c>
      <c r="BM735" s="251">
        <f t="shared" si="59"/>
        <v>-18.75</v>
      </c>
      <c r="BN735" s="218">
        <v>0.77</v>
      </c>
      <c r="BO735" s="218">
        <v>0.16</v>
      </c>
      <c r="BP735" s="218">
        <v>4.8</v>
      </c>
    </row>
    <row r="736" spans="2:68">
      <c r="B736" s="218">
        <v>18.89</v>
      </c>
      <c r="C736" s="218">
        <f t="shared" si="55"/>
        <v>-18.89</v>
      </c>
      <c r="D736" s="218">
        <v>0.77</v>
      </c>
      <c r="E736" s="218">
        <v>0.16</v>
      </c>
      <c r="F736" s="218">
        <v>4.82</v>
      </c>
      <c r="Q736" s="218">
        <v>18.940000000000001</v>
      </c>
      <c r="R736" s="251">
        <f t="shared" si="56"/>
        <v>-18.940000000000001</v>
      </c>
      <c r="S736" s="218">
        <v>0.77</v>
      </c>
      <c r="T736" s="218">
        <v>0.16</v>
      </c>
      <c r="U736" s="218">
        <v>4.8099999999999996</v>
      </c>
      <c r="AF736" s="218">
        <v>18.86</v>
      </c>
      <c r="AG736" s="251">
        <f t="shared" si="57"/>
        <v>-18.86</v>
      </c>
      <c r="AH736" s="218">
        <v>0.77</v>
      </c>
      <c r="AI736" s="218">
        <v>0.16</v>
      </c>
      <c r="AJ736" s="218">
        <v>4.84</v>
      </c>
      <c r="AV736" s="218">
        <v>18.850000000000001</v>
      </c>
      <c r="AW736" s="251">
        <f t="shared" si="58"/>
        <v>-18.850000000000001</v>
      </c>
      <c r="AX736" s="218">
        <v>0.77</v>
      </c>
      <c r="AY736" s="218">
        <v>0.16</v>
      </c>
      <c r="AZ736" s="218">
        <v>4.8099999999999996</v>
      </c>
      <c r="BL736" s="218">
        <v>18.77</v>
      </c>
      <c r="BM736" s="251">
        <f t="shared" si="59"/>
        <v>-18.77</v>
      </c>
      <c r="BN736" s="218">
        <v>0.77</v>
      </c>
      <c r="BO736" s="218">
        <v>0.16</v>
      </c>
      <c r="BP736" s="218">
        <v>4.8</v>
      </c>
    </row>
    <row r="737" spans="2:68">
      <c r="B737" s="218">
        <v>18.920000000000002</v>
      </c>
      <c r="C737" s="218">
        <f t="shared" si="55"/>
        <v>-18.920000000000002</v>
      </c>
      <c r="D737" s="218">
        <v>0.77</v>
      </c>
      <c r="E737" s="218">
        <v>0.16</v>
      </c>
      <c r="F737" s="218">
        <v>4.82</v>
      </c>
      <c r="Q737" s="218">
        <v>18.97</v>
      </c>
      <c r="R737" s="251">
        <f t="shared" si="56"/>
        <v>-18.97</v>
      </c>
      <c r="S737" s="218">
        <v>0.77</v>
      </c>
      <c r="T737" s="218">
        <v>0.16</v>
      </c>
      <c r="U737" s="218">
        <v>4.8099999999999996</v>
      </c>
      <c r="AF737" s="218">
        <v>18.89</v>
      </c>
      <c r="AG737" s="251">
        <f t="shared" si="57"/>
        <v>-18.89</v>
      </c>
      <c r="AH737" s="218">
        <v>0.77</v>
      </c>
      <c r="AI737" s="218">
        <v>0.16</v>
      </c>
      <c r="AJ737" s="218">
        <v>4.8499999999999996</v>
      </c>
      <c r="AV737" s="218">
        <v>18.88</v>
      </c>
      <c r="AW737" s="251">
        <f t="shared" si="58"/>
        <v>-18.88</v>
      </c>
      <c r="AX737" s="218">
        <v>0.77</v>
      </c>
      <c r="AY737" s="218">
        <v>0.16</v>
      </c>
      <c r="AZ737" s="218">
        <v>4.82</v>
      </c>
      <c r="BL737" s="218">
        <v>18.8</v>
      </c>
      <c r="BM737" s="251">
        <f t="shared" si="59"/>
        <v>-18.8</v>
      </c>
      <c r="BN737" s="218">
        <v>0.77</v>
      </c>
      <c r="BO737" s="218">
        <v>0.16</v>
      </c>
      <c r="BP737" s="218">
        <v>4.8</v>
      </c>
    </row>
    <row r="738" spans="2:68">
      <c r="B738" s="218">
        <v>18.940000000000001</v>
      </c>
      <c r="C738" s="218">
        <f t="shared" si="55"/>
        <v>-18.940000000000001</v>
      </c>
      <c r="D738" s="218">
        <v>0.77</v>
      </c>
      <c r="E738" s="218">
        <v>0.16</v>
      </c>
      <c r="F738" s="218">
        <v>4.82</v>
      </c>
      <c r="Q738" s="218">
        <v>18.989999999999998</v>
      </c>
      <c r="R738" s="251">
        <f t="shared" si="56"/>
        <v>-18.989999999999998</v>
      </c>
      <c r="S738" s="218">
        <v>0.77</v>
      </c>
      <c r="T738" s="218">
        <v>0.16</v>
      </c>
      <c r="U738" s="218">
        <v>4.8099999999999996</v>
      </c>
      <c r="AF738" s="218">
        <v>18.91</v>
      </c>
      <c r="AG738" s="251">
        <f t="shared" si="57"/>
        <v>-18.91</v>
      </c>
      <c r="AH738" s="218">
        <v>0.77</v>
      </c>
      <c r="AI738" s="218">
        <v>0.16</v>
      </c>
      <c r="AJ738" s="218">
        <v>4.8499999999999996</v>
      </c>
      <c r="AV738" s="218">
        <v>18.899999999999999</v>
      </c>
      <c r="AW738" s="251">
        <f t="shared" si="58"/>
        <v>-18.899999999999999</v>
      </c>
      <c r="AX738" s="218">
        <v>0.77</v>
      </c>
      <c r="AY738" s="218">
        <v>0.16</v>
      </c>
      <c r="AZ738" s="218">
        <v>4.82</v>
      </c>
      <c r="BL738" s="218">
        <v>18.82</v>
      </c>
      <c r="BM738" s="251">
        <f t="shared" si="59"/>
        <v>-18.82</v>
      </c>
      <c r="BN738" s="218">
        <v>0.77</v>
      </c>
      <c r="BO738" s="218">
        <v>0.16</v>
      </c>
      <c r="BP738" s="218">
        <v>4.8</v>
      </c>
    </row>
    <row r="739" spans="2:68">
      <c r="B739" s="218">
        <v>18.97</v>
      </c>
      <c r="C739" s="218">
        <f t="shared" si="55"/>
        <v>-18.97</v>
      </c>
      <c r="D739" s="218">
        <v>0.77</v>
      </c>
      <c r="E739" s="218">
        <v>0.16</v>
      </c>
      <c r="F739" s="218">
        <v>4.83</v>
      </c>
      <c r="Q739" s="218">
        <v>19.02</v>
      </c>
      <c r="R739" s="251">
        <f t="shared" si="56"/>
        <v>-19.02</v>
      </c>
      <c r="S739" s="218">
        <v>0.77</v>
      </c>
      <c r="T739" s="218">
        <v>0.16</v>
      </c>
      <c r="U739" s="218">
        <v>4.8099999999999996</v>
      </c>
      <c r="AF739" s="218">
        <v>18.940000000000001</v>
      </c>
      <c r="AG739" s="251">
        <f t="shared" si="57"/>
        <v>-18.940000000000001</v>
      </c>
      <c r="AH739" s="218">
        <v>0.77</v>
      </c>
      <c r="AI739" s="218">
        <v>0.16</v>
      </c>
      <c r="AJ739" s="218">
        <v>4.8499999999999996</v>
      </c>
      <c r="AV739" s="218">
        <v>18.93</v>
      </c>
      <c r="AW739" s="251">
        <f t="shared" si="58"/>
        <v>-18.93</v>
      </c>
      <c r="AX739" s="218">
        <v>0.77</v>
      </c>
      <c r="AY739" s="218">
        <v>0.16</v>
      </c>
      <c r="AZ739" s="218">
        <v>4.82</v>
      </c>
      <c r="BL739" s="218">
        <v>18.850000000000001</v>
      </c>
      <c r="BM739" s="251">
        <f t="shared" si="59"/>
        <v>-18.850000000000001</v>
      </c>
      <c r="BN739" s="218">
        <v>0.77</v>
      </c>
      <c r="BO739" s="218">
        <v>0.16</v>
      </c>
      <c r="BP739" s="218">
        <v>4.8099999999999996</v>
      </c>
    </row>
    <row r="740" spans="2:68">
      <c r="B740" s="218">
        <v>18.989999999999998</v>
      </c>
      <c r="C740" s="218">
        <f t="shared" si="55"/>
        <v>-18.989999999999998</v>
      </c>
      <c r="D740" s="218">
        <v>0.77</v>
      </c>
      <c r="E740" s="218">
        <v>0.16</v>
      </c>
      <c r="F740" s="218">
        <v>4.83</v>
      </c>
      <c r="Q740" s="218">
        <v>19.04</v>
      </c>
      <c r="R740" s="251">
        <f t="shared" si="56"/>
        <v>-19.04</v>
      </c>
      <c r="S740" s="218">
        <v>0.77</v>
      </c>
      <c r="T740" s="218">
        <v>0.16</v>
      </c>
      <c r="U740" s="218">
        <v>4.82</v>
      </c>
      <c r="AF740" s="218">
        <v>18.96</v>
      </c>
      <c r="AG740" s="251">
        <f t="shared" si="57"/>
        <v>-18.96</v>
      </c>
      <c r="AH740" s="218">
        <v>0.77</v>
      </c>
      <c r="AI740" s="218">
        <v>0.16</v>
      </c>
      <c r="AJ740" s="218">
        <v>4.8499999999999996</v>
      </c>
      <c r="AV740" s="218">
        <v>18.95</v>
      </c>
      <c r="AW740" s="251">
        <f t="shared" si="58"/>
        <v>-18.95</v>
      </c>
      <c r="AX740" s="218">
        <v>0.77</v>
      </c>
      <c r="AY740" s="218">
        <v>0.16</v>
      </c>
      <c r="AZ740" s="218">
        <v>4.82</v>
      </c>
      <c r="BL740" s="218">
        <v>18.87</v>
      </c>
      <c r="BM740" s="251">
        <f t="shared" si="59"/>
        <v>-18.87</v>
      </c>
      <c r="BN740" s="218">
        <v>0.77</v>
      </c>
      <c r="BO740" s="218">
        <v>0.16</v>
      </c>
      <c r="BP740" s="218">
        <v>4.8099999999999996</v>
      </c>
    </row>
    <row r="741" spans="2:68">
      <c r="B741" s="218">
        <v>19.02</v>
      </c>
      <c r="C741" s="218">
        <f t="shared" si="55"/>
        <v>-19.02</v>
      </c>
      <c r="D741" s="218">
        <v>0.77</v>
      </c>
      <c r="E741" s="218">
        <v>0.16</v>
      </c>
      <c r="F741" s="218">
        <v>4.83</v>
      </c>
      <c r="Q741" s="218">
        <v>19.07</v>
      </c>
      <c r="R741" s="251">
        <f t="shared" si="56"/>
        <v>-19.07</v>
      </c>
      <c r="S741" s="218">
        <v>0.77</v>
      </c>
      <c r="T741" s="218">
        <v>0.16</v>
      </c>
      <c r="U741" s="218">
        <v>4.82</v>
      </c>
      <c r="AF741" s="218">
        <v>18.989999999999998</v>
      </c>
      <c r="AG741" s="251">
        <f t="shared" si="57"/>
        <v>-18.989999999999998</v>
      </c>
      <c r="AH741" s="218">
        <v>0.77</v>
      </c>
      <c r="AI741" s="218">
        <v>0.16</v>
      </c>
      <c r="AJ741" s="218">
        <v>4.8600000000000003</v>
      </c>
      <c r="AV741" s="218">
        <v>18.98</v>
      </c>
      <c r="AW741" s="251">
        <f t="shared" si="58"/>
        <v>-18.98</v>
      </c>
      <c r="AX741" s="218">
        <v>0.77</v>
      </c>
      <c r="AY741" s="218">
        <v>0.16</v>
      </c>
      <c r="AZ741" s="218">
        <v>4.83</v>
      </c>
      <c r="BL741" s="218">
        <v>18.899999999999999</v>
      </c>
      <c r="BM741" s="251">
        <f t="shared" si="59"/>
        <v>-18.899999999999999</v>
      </c>
      <c r="BN741" s="218">
        <v>0.77</v>
      </c>
      <c r="BO741" s="218">
        <v>0.16</v>
      </c>
      <c r="BP741" s="218">
        <v>4.8099999999999996</v>
      </c>
    </row>
    <row r="742" spans="2:68">
      <c r="B742" s="218">
        <v>19.04</v>
      </c>
      <c r="C742" s="218">
        <f t="shared" si="55"/>
        <v>-19.04</v>
      </c>
      <c r="D742" s="218">
        <v>0.77</v>
      </c>
      <c r="E742" s="218">
        <v>0.16</v>
      </c>
      <c r="F742" s="218">
        <v>4.83</v>
      </c>
      <c r="Q742" s="218">
        <v>19.09</v>
      </c>
      <c r="R742" s="251">
        <f t="shared" si="56"/>
        <v>-19.09</v>
      </c>
      <c r="S742" s="218">
        <v>0.77</v>
      </c>
      <c r="T742" s="218">
        <v>0.16</v>
      </c>
      <c r="U742" s="218">
        <v>4.82</v>
      </c>
      <c r="AF742" s="218">
        <v>19.010000000000002</v>
      </c>
      <c r="AG742" s="251">
        <f t="shared" si="57"/>
        <v>-19.010000000000002</v>
      </c>
      <c r="AH742" s="218">
        <v>0.77</v>
      </c>
      <c r="AI742" s="218">
        <v>0.16</v>
      </c>
      <c r="AJ742" s="218">
        <v>4.8600000000000003</v>
      </c>
      <c r="AV742" s="218">
        <v>19</v>
      </c>
      <c r="AW742" s="251">
        <f t="shared" si="58"/>
        <v>-19</v>
      </c>
      <c r="AX742" s="218">
        <v>0.77</v>
      </c>
      <c r="AY742" s="218">
        <v>0.16</v>
      </c>
      <c r="AZ742" s="218">
        <v>4.83</v>
      </c>
      <c r="BL742" s="218">
        <v>18.920000000000002</v>
      </c>
      <c r="BM742" s="251">
        <f t="shared" si="59"/>
        <v>-18.920000000000002</v>
      </c>
      <c r="BN742" s="218">
        <v>0.77</v>
      </c>
      <c r="BO742" s="218">
        <v>0.16</v>
      </c>
      <c r="BP742" s="218">
        <v>4.8099999999999996</v>
      </c>
    </row>
    <row r="743" spans="2:68">
      <c r="B743" s="218">
        <v>19.07</v>
      </c>
      <c r="C743" s="218">
        <f t="shared" si="55"/>
        <v>-19.07</v>
      </c>
      <c r="D743" s="218">
        <v>0.77</v>
      </c>
      <c r="E743" s="218">
        <v>0.16</v>
      </c>
      <c r="F743" s="218">
        <v>4.84</v>
      </c>
      <c r="Q743" s="218">
        <v>19.12</v>
      </c>
      <c r="R743" s="251">
        <f t="shared" si="56"/>
        <v>-19.12</v>
      </c>
      <c r="S743" s="218">
        <v>0.77</v>
      </c>
      <c r="T743" s="218">
        <v>0.16</v>
      </c>
      <c r="U743" s="218">
        <v>4.82</v>
      </c>
      <c r="AF743" s="218">
        <v>19.04</v>
      </c>
      <c r="AG743" s="251">
        <f t="shared" si="57"/>
        <v>-19.04</v>
      </c>
      <c r="AH743" s="218">
        <v>0.77</v>
      </c>
      <c r="AI743" s="218">
        <v>0.16</v>
      </c>
      <c r="AJ743" s="218">
        <v>4.8600000000000003</v>
      </c>
      <c r="AV743" s="218">
        <v>19.03</v>
      </c>
      <c r="AW743" s="251">
        <f t="shared" si="58"/>
        <v>-19.03</v>
      </c>
      <c r="AX743" s="218">
        <v>0.77</v>
      </c>
      <c r="AY743" s="218">
        <v>0.16</v>
      </c>
      <c r="AZ743" s="218">
        <v>4.83</v>
      </c>
      <c r="BL743" s="218">
        <v>18.95</v>
      </c>
      <c r="BM743" s="251">
        <f t="shared" si="59"/>
        <v>-18.95</v>
      </c>
      <c r="BN743" s="218">
        <v>0.77</v>
      </c>
      <c r="BO743" s="218">
        <v>0.16</v>
      </c>
      <c r="BP743" s="218">
        <v>4.8099999999999996</v>
      </c>
    </row>
    <row r="744" spans="2:68">
      <c r="B744" s="218">
        <v>19.09</v>
      </c>
      <c r="C744" s="218">
        <f t="shared" si="55"/>
        <v>-19.09</v>
      </c>
      <c r="D744" s="218">
        <v>0.77</v>
      </c>
      <c r="E744" s="218">
        <v>0.16</v>
      </c>
      <c r="F744" s="218">
        <v>4.84</v>
      </c>
      <c r="Q744" s="218">
        <v>19.14</v>
      </c>
      <c r="R744" s="251">
        <f t="shared" si="56"/>
        <v>-19.14</v>
      </c>
      <c r="S744" s="218">
        <v>0.77</v>
      </c>
      <c r="T744" s="218">
        <v>0.16</v>
      </c>
      <c r="U744" s="218">
        <v>4.83</v>
      </c>
      <c r="AF744" s="218">
        <v>19.059999999999999</v>
      </c>
      <c r="AG744" s="251">
        <f t="shared" si="57"/>
        <v>-19.059999999999999</v>
      </c>
      <c r="AH744" s="218">
        <v>0.77</v>
      </c>
      <c r="AI744" s="218">
        <v>0.16</v>
      </c>
      <c r="AJ744" s="218">
        <v>4.8600000000000003</v>
      </c>
      <c r="AV744" s="218">
        <v>19.05</v>
      </c>
      <c r="AW744" s="251">
        <f t="shared" si="58"/>
        <v>-19.05</v>
      </c>
      <c r="AX744" s="218">
        <v>0.77</v>
      </c>
      <c r="AY744" s="218">
        <v>0.16</v>
      </c>
      <c r="AZ744" s="218">
        <v>4.83</v>
      </c>
      <c r="BL744" s="218">
        <v>18.97</v>
      </c>
      <c r="BM744" s="251">
        <f t="shared" si="59"/>
        <v>-18.97</v>
      </c>
      <c r="BN744" s="218">
        <v>0.77</v>
      </c>
      <c r="BO744" s="218">
        <v>0.16</v>
      </c>
      <c r="BP744" s="218">
        <v>4.82</v>
      </c>
    </row>
    <row r="745" spans="2:68">
      <c r="B745" s="218">
        <v>19.12</v>
      </c>
      <c r="C745" s="218">
        <f t="shared" si="55"/>
        <v>-19.12</v>
      </c>
      <c r="D745" s="218">
        <v>0.77</v>
      </c>
      <c r="E745" s="218">
        <v>0.16</v>
      </c>
      <c r="F745" s="218">
        <v>4.84</v>
      </c>
      <c r="Q745" s="218">
        <v>19.170000000000002</v>
      </c>
      <c r="R745" s="251">
        <f t="shared" si="56"/>
        <v>-19.170000000000002</v>
      </c>
      <c r="S745" s="218">
        <v>0.77</v>
      </c>
      <c r="T745" s="218">
        <v>0.16</v>
      </c>
      <c r="U745" s="218">
        <v>4.83</v>
      </c>
      <c r="AF745" s="218">
        <v>19.09</v>
      </c>
      <c r="AG745" s="251">
        <f t="shared" si="57"/>
        <v>-19.09</v>
      </c>
      <c r="AH745" s="218">
        <v>0.77</v>
      </c>
      <c r="AI745" s="218">
        <v>0.16</v>
      </c>
      <c r="AJ745" s="218">
        <v>4.87</v>
      </c>
      <c r="AV745" s="218">
        <v>19.079999999999998</v>
      </c>
      <c r="AW745" s="251">
        <f t="shared" si="58"/>
        <v>-19.079999999999998</v>
      </c>
      <c r="AX745" s="218">
        <v>0.77</v>
      </c>
      <c r="AY745" s="218">
        <v>0.16</v>
      </c>
      <c r="AZ745" s="218">
        <v>4.84</v>
      </c>
      <c r="BL745" s="218">
        <v>19</v>
      </c>
      <c r="BM745" s="251">
        <f t="shared" si="59"/>
        <v>-19</v>
      </c>
      <c r="BN745" s="218">
        <v>0.77</v>
      </c>
      <c r="BO745" s="218">
        <v>0.16</v>
      </c>
      <c r="BP745" s="218">
        <v>4.82</v>
      </c>
    </row>
    <row r="746" spans="2:68">
      <c r="B746" s="218">
        <v>19.14</v>
      </c>
      <c r="C746" s="218">
        <f t="shared" si="55"/>
        <v>-19.14</v>
      </c>
      <c r="D746" s="218">
        <v>0.77</v>
      </c>
      <c r="E746" s="218">
        <v>0.16</v>
      </c>
      <c r="F746" s="218">
        <v>4.84</v>
      </c>
      <c r="Q746" s="218">
        <v>19.190000000000001</v>
      </c>
      <c r="R746" s="251">
        <f t="shared" si="56"/>
        <v>-19.190000000000001</v>
      </c>
      <c r="S746" s="218">
        <v>0.77</v>
      </c>
      <c r="T746" s="218">
        <v>0.16</v>
      </c>
      <c r="U746" s="218">
        <v>4.83</v>
      </c>
      <c r="AF746" s="218">
        <v>19.11</v>
      </c>
      <c r="AG746" s="251">
        <f t="shared" si="57"/>
        <v>-19.11</v>
      </c>
      <c r="AH746" s="218">
        <v>0.77</v>
      </c>
      <c r="AI746" s="218">
        <v>0.16</v>
      </c>
      <c r="AJ746" s="218">
        <v>4.87</v>
      </c>
      <c r="AV746" s="218">
        <v>19.100000000000001</v>
      </c>
      <c r="AW746" s="251">
        <f t="shared" si="58"/>
        <v>-19.100000000000001</v>
      </c>
      <c r="AX746" s="218">
        <v>0.77</v>
      </c>
      <c r="AY746" s="218">
        <v>0.16</v>
      </c>
      <c r="AZ746" s="218">
        <v>4.84</v>
      </c>
      <c r="BL746" s="218">
        <v>19.02</v>
      </c>
      <c r="BM746" s="251">
        <f t="shared" si="59"/>
        <v>-19.02</v>
      </c>
      <c r="BN746" s="218">
        <v>0.77</v>
      </c>
      <c r="BO746" s="218">
        <v>0.16</v>
      </c>
      <c r="BP746" s="218">
        <v>4.82</v>
      </c>
    </row>
    <row r="747" spans="2:68">
      <c r="B747" s="218">
        <v>19.170000000000002</v>
      </c>
      <c r="C747" s="218">
        <f t="shared" si="55"/>
        <v>-19.170000000000002</v>
      </c>
      <c r="D747" s="218">
        <v>0.77</v>
      </c>
      <c r="E747" s="218">
        <v>0.16</v>
      </c>
      <c r="F747" s="218">
        <v>4.8499999999999996</v>
      </c>
      <c r="Q747" s="218">
        <v>19.22</v>
      </c>
      <c r="R747" s="251">
        <f t="shared" si="56"/>
        <v>-19.22</v>
      </c>
      <c r="S747" s="218">
        <v>0.77</v>
      </c>
      <c r="T747" s="218">
        <v>0.16</v>
      </c>
      <c r="U747" s="218">
        <v>4.83</v>
      </c>
      <c r="AF747" s="218">
        <v>19.14</v>
      </c>
      <c r="AG747" s="251">
        <f t="shared" si="57"/>
        <v>-19.14</v>
      </c>
      <c r="AH747" s="218">
        <v>0.77</v>
      </c>
      <c r="AI747" s="218">
        <v>0.16</v>
      </c>
      <c r="AJ747" s="218">
        <v>4.87</v>
      </c>
      <c r="AV747" s="218">
        <v>19.13</v>
      </c>
      <c r="AW747" s="251">
        <f t="shared" si="58"/>
        <v>-19.13</v>
      </c>
      <c r="AX747" s="218">
        <v>0.77</v>
      </c>
      <c r="AY747" s="218">
        <v>0.16</v>
      </c>
      <c r="AZ747" s="218">
        <v>4.84</v>
      </c>
      <c r="BL747" s="218">
        <v>19.05</v>
      </c>
      <c r="BM747" s="251">
        <f t="shared" si="59"/>
        <v>-19.05</v>
      </c>
      <c r="BN747" s="218">
        <v>0.77</v>
      </c>
      <c r="BO747" s="218">
        <v>0.16</v>
      </c>
      <c r="BP747" s="218">
        <v>4.82</v>
      </c>
    </row>
    <row r="748" spans="2:68">
      <c r="B748" s="218">
        <v>19.190000000000001</v>
      </c>
      <c r="C748" s="218">
        <f t="shared" si="55"/>
        <v>-19.190000000000001</v>
      </c>
      <c r="D748" s="218">
        <v>0.77</v>
      </c>
      <c r="E748" s="218">
        <v>0.16</v>
      </c>
      <c r="F748" s="218">
        <v>4.8499999999999996</v>
      </c>
      <c r="Q748" s="218">
        <v>19.239999999999998</v>
      </c>
      <c r="R748" s="251">
        <f t="shared" si="56"/>
        <v>-19.239999999999998</v>
      </c>
      <c r="S748" s="218">
        <v>0.77</v>
      </c>
      <c r="T748" s="218">
        <v>0.16</v>
      </c>
      <c r="U748" s="218">
        <v>4.84</v>
      </c>
      <c r="AF748" s="218">
        <v>19.16</v>
      </c>
      <c r="AG748" s="251">
        <f t="shared" si="57"/>
        <v>-19.16</v>
      </c>
      <c r="AH748" s="218">
        <v>0.77</v>
      </c>
      <c r="AI748" s="218">
        <v>0.16</v>
      </c>
      <c r="AJ748" s="218">
        <v>4.87</v>
      </c>
      <c r="AV748" s="218">
        <v>19.149999999999999</v>
      </c>
      <c r="AW748" s="251">
        <f t="shared" si="58"/>
        <v>-19.149999999999999</v>
      </c>
      <c r="AX748" s="218">
        <v>0.77</v>
      </c>
      <c r="AY748" s="218">
        <v>0.16</v>
      </c>
      <c r="AZ748" s="218">
        <v>4.84</v>
      </c>
      <c r="BL748" s="218">
        <v>19.07</v>
      </c>
      <c r="BM748" s="251">
        <f t="shared" si="59"/>
        <v>-19.07</v>
      </c>
      <c r="BN748" s="218">
        <v>0.77</v>
      </c>
      <c r="BO748" s="218">
        <v>0.16</v>
      </c>
      <c r="BP748" s="218">
        <v>4.83</v>
      </c>
    </row>
    <row r="749" spans="2:68">
      <c r="B749" s="218">
        <v>19.22</v>
      </c>
      <c r="C749" s="218">
        <f t="shared" si="55"/>
        <v>-19.22</v>
      </c>
      <c r="D749" s="218">
        <v>0.77</v>
      </c>
      <c r="E749" s="218">
        <v>0.16</v>
      </c>
      <c r="F749" s="218">
        <v>4.8499999999999996</v>
      </c>
      <c r="Q749" s="218">
        <v>19.27</v>
      </c>
      <c r="R749" s="251">
        <f t="shared" si="56"/>
        <v>-19.27</v>
      </c>
      <c r="S749" s="218">
        <v>0.77</v>
      </c>
      <c r="T749" s="218">
        <v>0.16</v>
      </c>
      <c r="U749" s="218">
        <v>4.84</v>
      </c>
      <c r="AF749" s="218">
        <v>19.190000000000001</v>
      </c>
      <c r="AG749" s="251">
        <f t="shared" si="57"/>
        <v>-19.190000000000001</v>
      </c>
      <c r="AH749" s="218">
        <v>0.77</v>
      </c>
      <c r="AI749" s="218">
        <v>0.16</v>
      </c>
      <c r="AJ749" s="218">
        <v>4.87</v>
      </c>
      <c r="AV749" s="218">
        <v>19.18</v>
      </c>
      <c r="AW749" s="251">
        <f t="shared" si="58"/>
        <v>-19.18</v>
      </c>
      <c r="AX749" s="218">
        <v>0.77</v>
      </c>
      <c r="AY749" s="218">
        <v>0.16</v>
      </c>
      <c r="AZ749" s="218">
        <v>4.8499999999999996</v>
      </c>
      <c r="BL749" s="218">
        <v>19.100000000000001</v>
      </c>
      <c r="BM749" s="251">
        <f t="shared" si="59"/>
        <v>-19.100000000000001</v>
      </c>
      <c r="BN749" s="218">
        <v>0.77</v>
      </c>
      <c r="BO749" s="218">
        <v>0.16</v>
      </c>
      <c r="BP749" s="218">
        <v>4.83</v>
      </c>
    </row>
    <row r="750" spans="2:68">
      <c r="B750" s="218">
        <v>19.239999999999998</v>
      </c>
      <c r="C750" s="218">
        <f t="shared" si="55"/>
        <v>-19.239999999999998</v>
      </c>
      <c r="D750" s="218">
        <v>0.77</v>
      </c>
      <c r="E750" s="218">
        <v>0.16</v>
      </c>
      <c r="F750" s="218">
        <v>4.8499999999999996</v>
      </c>
      <c r="Q750" s="218">
        <v>19.29</v>
      </c>
      <c r="R750" s="251">
        <f t="shared" si="56"/>
        <v>-19.29</v>
      </c>
      <c r="S750" s="218">
        <v>0.77</v>
      </c>
      <c r="T750" s="218">
        <v>0.16</v>
      </c>
      <c r="U750" s="218">
        <v>4.84</v>
      </c>
      <c r="AF750" s="218">
        <v>19.21</v>
      </c>
      <c r="AG750" s="251">
        <f t="shared" si="57"/>
        <v>-19.21</v>
      </c>
      <c r="AH750" s="218">
        <v>0.77</v>
      </c>
      <c r="AI750" s="218">
        <v>0.16</v>
      </c>
      <c r="AJ750" s="218">
        <v>4.88</v>
      </c>
      <c r="AV750" s="218">
        <v>19.2</v>
      </c>
      <c r="AW750" s="251">
        <f t="shared" si="58"/>
        <v>-19.2</v>
      </c>
      <c r="AX750" s="218">
        <v>0.77</v>
      </c>
      <c r="AY750" s="218">
        <v>0.16</v>
      </c>
      <c r="AZ750" s="218">
        <v>4.8499999999999996</v>
      </c>
      <c r="BL750" s="218">
        <v>19.12</v>
      </c>
      <c r="BM750" s="251">
        <f t="shared" si="59"/>
        <v>-19.12</v>
      </c>
      <c r="BN750" s="218">
        <v>0.77</v>
      </c>
      <c r="BO750" s="218">
        <v>0.16</v>
      </c>
      <c r="BP750" s="218">
        <v>4.83</v>
      </c>
    </row>
    <row r="751" spans="2:68">
      <c r="B751" s="218">
        <v>19.27</v>
      </c>
      <c r="C751" s="218">
        <f t="shared" si="55"/>
        <v>-19.27</v>
      </c>
      <c r="D751" s="218">
        <v>0.77</v>
      </c>
      <c r="E751" s="218">
        <v>0.16</v>
      </c>
      <c r="F751" s="218">
        <v>4.8600000000000003</v>
      </c>
      <c r="Q751" s="218">
        <v>19.32</v>
      </c>
      <c r="R751" s="251">
        <f t="shared" si="56"/>
        <v>-19.32</v>
      </c>
      <c r="S751" s="218">
        <v>0.77</v>
      </c>
      <c r="T751" s="218">
        <v>0.16</v>
      </c>
      <c r="U751" s="218">
        <v>4.84</v>
      </c>
      <c r="AF751" s="218">
        <v>19.239999999999998</v>
      </c>
      <c r="AG751" s="251">
        <f t="shared" si="57"/>
        <v>-19.239999999999998</v>
      </c>
      <c r="AH751" s="218">
        <v>0.77</v>
      </c>
      <c r="AI751" s="218">
        <v>0.16</v>
      </c>
      <c r="AJ751" s="218">
        <v>4.88</v>
      </c>
      <c r="AV751" s="218">
        <v>19.23</v>
      </c>
      <c r="AW751" s="251">
        <f t="shared" si="58"/>
        <v>-19.23</v>
      </c>
      <c r="AX751" s="218">
        <v>0.77</v>
      </c>
      <c r="AY751" s="218">
        <v>0.16</v>
      </c>
      <c r="AZ751" s="218">
        <v>4.8499999999999996</v>
      </c>
      <c r="BL751" s="218">
        <v>19.149999999999999</v>
      </c>
      <c r="BM751" s="251">
        <f t="shared" si="59"/>
        <v>-19.149999999999999</v>
      </c>
      <c r="BN751" s="218">
        <v>0.77</v>
      </c>
      <c r="BO751" s="218">
        <v>0.16</v>
      </c>
      <c r="BP751" s="218">
        <v>4.83</v>
      </c>
    </row>
    <row r="752" spans="2:68">
      <c r="B752" s="218">
        <v>19.29</v>
      </c>
      <c r="C752" s="218">
        <f t="shared" si="55"/>
        <v>-19.29</v>
      </c>
      <c r="D752" s="218">
        <v>0.77</v>
      </c>
      <c r="E752" s="218">
        <v>0.16</v>
      </c>
      <c r="F752" s="218">
        <v>4.8600000000000003</v>
      </c>
      <c r="Q752" s="218">
        <v>19.34</v>
      </c>
      <c r="R752" s="251">
        <f t="shared" si="56"/>
        <v>-19.34</v>
      </c>
      <c r="S752" s="218">
        <v>0.77</v>
      </c>
      <c r="T752" s="218">
        <v>0.16</v>
      </c>
      <c r="U752" s="218">
        <v>4.8499999999999996</v>
      </c>
      <c r="AF752" s="218">
        <v>19.260000000000002</v>
      </c>
      <c r="AG752" s="251">
        <f t="shared" si="57"/>
        <v>-19.260000000000002</v>
      </c>
      <c r="AH752" s="218">
        <v>0.77</v>
      </c>
      <c r="AI752" s="218">
        <v>0.16</v>
      </c>
      <c r="AJ752" s="218">
        <v>4.88</v>
      </c>
      <c r="AV752" s="218">
        <v>19.25</v>
      </c>
      <c r="AW752" s="251">
        <f t="shared" si="58"/>
        <v>-19.25</v>
      </c>
      <c r="AX752" s="218">
        <v>0.77</v>
      </c>
      <c r="AY752" s="218">
        <v>0.16</v>
      </c>
      <c r="AZ752" s="218">
        <v>4.8499999999999996</v>
      </c>
      <c r="BL752" s="218">
        <v>19.170000000000002</v>
      </c>
      <c r="BM752" s="251">
        <f t="shared" si="59"/>
        <v>-19.170000000000002</v>
      </c>
      <c r="BN752" s="218">
        <v>0.77</v>
      </c>
      <c r="BO752" s="218">
        <v>0.16</v>
      </c>
      <c r="BP752" s="218">
        <v>4.84</v>
      </c>
    </row>
    <row r="753" spans="2:68">
      <c r="B753" s="218">
        <v>19.32</v>
      </c>
      <c r="C753" s="218">
        <f t="shared" si="55"/>
        <v>-19.32</v>
      </c>
      <c r="D753" s="218">
        <v>0.77</v>
      </c>
      <c r="E753" s="218">
        <v>0.16</v>
      </c>
      <c r="F753" s="218">
        <v>4.8600000000000003</v>
      </c>
      <c r="Q753" s="218">
        <v>19.37</v>
      </c>
      <c r="R753" s="251">
        <f t="shared" si="56"/>
        <v>-19.37</v>
      </c>
      <c r="S753" s="218">
        <v>0.77</v>
      </c>
      <c r="T753" s="218">
        <v>0.16</v>
      </c>
      <c r="U753" s="218">
        <v>4.8499999999999996</v>
      </c>
      <c r="AF753" s="218">
        <v>19.29</v>
      </c>
      <c r="AG753" s="251">
        <f t="shared" si="57"/>
        <v>-19.29</v>
      </c>
      <c r="AH753" s="218">
        <v>0.77</v>
      </c>
      <c r="AI753" s="218">
        <v>0.16</v>
      </c>
      <c r="AJ753" s="218">
        <v>4.88</v>
      </c>
      <c r="AV753" s="218">
        <v>19.28</v>
      </c>
      <c r="AW753" s="251">
        <f t="shared" si="58"/>
        <v>-19.28</v>
      </c>
      <c r="AX753" s="218">
        <v>0.77</v>
      </c>
      <c r="AY753" s="218">
        <v>0.16</v>
      </c>
      <c r="AZ753" s="218">
        <v>4.8499999999999996</v>
      </c>
      <c r="BL753" s="218">
        <v>19.2</v>
      </c>
      <c r="BM753" s="251">
        <f t="shared" si="59"/>
        <v>-19.2</v>
      </c>
      <c r="BN753" s="218">
        <v>0.77</v>
      </c>
      <c r="BO753" s="218">
        <v>0.16</v>
      </c>
      <c r="BP753" s="218">
        <v>4.84</v>
      </c>
    </row>
    <row r="754" spans="2:68">
      <c r="B754" s="218">
        <v>19.34</v>
      </c>
      <c r="C754" s="218">
        <f t="shared" si="55"/>
        <v>-19.34</v>
      </c>
      <c r="D754" s="218">
        <v>0.77</v>
      </c>
      <c r="E754" s="218">
        <v>0.16</v>
      </c>
      <c r="F754" s="218">
        <v>4.8600000000000003</v>
      </c>
      <c r="Q754" s="218">
        <v>19.39</v>
      </c>
      <c r="R754" s="251">
        <f t="shared" si="56"/>
        <v>-19.39</v>
      </c>
      <c r="S754" s="218">
        <v>0.77</v>
      </c>
      <c r="T754" s="218">
        <v>0.16</v>
      </c>
      <c r="U754" s="218">
        <v>4.8499999999999996</v>
      </c>
      <c r="AF754" s="218">
        <v>19.309999999999999</v>
      </c>
      <c r="AG754" s="251">
        <f t="shared" si="57"/>
        <v>-19.309999999999999</v>
      </c>
      <c r="AH754" s="218">
        <v>0.77</v>
      </c>
      <c r="AI754" s="218">
        <v>0.16</v>
      </c>
      <c r="AJ754" s="218">
        <v>4.8899999999999997</v>
      </c>
      <c r="AV754" s="218">
        <v>19.3</v>
      </c>
      <c r="AW754" s="251">
        <f t="shared" si="58"/>
        <v>-19.3</v>
      </c>
      <c r="AX754" s="218">
        <v>0.77</v>
      </c>
      <c r="AY754" s="218">
        <v>0.16</v>
      </c>
      <c r="AZ754" s="218">
        <v>4.8600000000000003</v>
      </c>
      <c r="BL754" s="218">
        <v>19.22</v>
      </c>
      <c r="BM754" s="251">
        <f t="shared" si="59"/>
        <v>-19.22</v>
      </c>
      <c r="BN754" s="218">
        <v>0.77</v>
      </c>
      <c r="BO754" s="218">
        <v>0.16</v>
      </c>
      <c r="BP754" s="218">
        <v>4.84</v>
      </c>
    </row>
    <row r="755" spans="2:68">
      <c r="B755" s="218">
        <v>19.37</v>
      </c>
      <c r="C755" s="218">
        <f t="shared" si="55"/>
        <v>-19.37</v>
      </c>
      <c r="D755" s="218">
        <v>0.77</v>
      </c>
      <c r="E755" s="218">
        <v>0.16</v>
      </c>
      <c r="F755" s="218">
        <v>4.87</v>
      </c>
      <c r="Q755" s="218">
        <v>19.420000000000002</v>
      </c>
      <c r="R755" s="251">
        <f t="shared" si="56"/>
        <v>-19.420000000000002</v>
      </c>
      <c r="S755" s="218">
        <v>0.77</v>
      </c>
      <c r="T755" s="218">
        <v>0.16</v>
      </c>
      <c r="U755" s="218">
        <v>4.8499999999999996</v>
      </c>
      <c r="AF755" s="218">
        <v>19.34</v>
      </c>
      <c r="AG755" s="251">
        <f t="shared" si="57"/>
        <v>-19.34</v>
      </c>
      <c r="AH755" s="218">
        <v>0.77</v>
      </c>
      <c r="AI755" s="218">
        <v>0.16</v>
      </c>
      <c r="AJ755" s="218">
        <v>4.8899999999999997</v>
      </c>
      <c r="AV755" s="218">
        <v>19.329999999999998</v>
      </c>
      <c r="AW755" s="251">
        <f t="shared" si="58"/>
        <v>-19.329999999999998</v>
      </c>
      <c r="AX755" s="218">
        <v>0.77</v>
      </c>
      <c r="AY755" s="218">
        <v>0.16</v>
      </c>
      <c r="AZ755" s="218">
        <v>4.8600000000000003</v>
      </c>
      <c r="BL755" s="218">
        <v>19.25</v>
      </c>
      <c r="BM755" s="251">
        <f t="shared" si="59"/>
        <v>-19.25</v>
      </c>
      <c r="BN755" s="218">
        <v>0.77</v>
      </c>
      <c r="BO755" s="218">
        <v>0.16</v>
      </c>
      <c r="BP755" s="218">
        <v>4.84</v>
      </c>
    </row>
    <row r="756" spans="2:68">
      <c r="B756" s="218">
        <v>19.39</v>
      </c>
      <c r="C756" s="218">
        <f t="shared" si="55"/>
        <v>-19.39</v>
      </c>
      <c r="D756" s="218">
        <v>0.77</v>
      </c>
      <c r="E756" s="218">
        <v>0.16</v>
      </c>
      <c r="F756" s="218">
        <v>4.87</v>
      </c>
      <c r="Q756" s="218">
        <v>19.440000000000001</v>
      </c>
      <c r="R756" s="251">
        <f t="shared" si="56"/>
        <v>-19.440000000000001</v>
      </c>
      <c r="S756" s="218">
        <v>0.77</v>
      </c>
      <c r="T756" s="218">
        <v>0.16</v>
      </c>
      <c r="U756" s="218">
        <v>4.8600000000000003</v>
      </c>
      <c r="AF756" s="218">
        <v>19.36</v>
      </c>
      <c r="AG756" s="251">
        <f t="shared" si="57"/>
        <v>-19.36</v>
      </c>
      <c r="AH756" s="218">
        <v>0.77</v>
      </c>
      <c r="AI756" s="218">
        <v>0.16</v>
      </c>
      <c r="AJ756" s="218">
        <v>4.8899999999999997</v>
      </c>
      <c r="AV756" s="218">
        <v>19.350000000000001</v>
      </c>
      <c r="AW756" s="251">
        <f t="shared" si="58"/>
        <v>-19.350000000000001</v>
      </c>
      <c r="AX756" s="218">
        <v>0.77</v>
      </c>
      <c r="AY756" s="218">
        <v>0.16</v>
      </c>
      <c r="AZ756" s="218">
        <v>4.8600000000000003</v>
      </c>
      <c r="BL756" s="218">
        <v>19.27</v>
      </c>
      <c r="BM756" s="251">
        <f t="shared" si="59"/>
        <v>-19.27</v>
      </c>
      <c r="BN756" s="218">
        <v>0.77</v>
      </c>
      <c r="BO756" s="218">
        <v>0.16</v>
      </c>
      <c r="BP756" s="218">
        <v>4.8499999999999996</v>
      </c>
    </row>
    <row r="757" spans="2:68">
      <c r="B757" s="218">
        <v>19.420000000000002</v>
      </c>
      <c r="C757" s="218">
        <f t="shared" si="55"/>
        <v>-19.420000000000002</v>
      </c>
      <c r="D757" s="218">
        <v>0.77</v>
      </c>
      <c r="E757" s="218">
        <v>0.16</v>
      </c>
      <c r="F757" s="218">
        <v>4.87</v>
      </c>
      <c r="Q757" s="218">
        <v>19.47</v>
      </c>
      <c r="R757" s="251">
        <f t="shared" si="56"/>
        <v>-19.47</v>
      </c>
      <c r="S757" s="218">
        <v>0.77</v>
      </c>
      <c r="T757" s="218">
        <v>0.16</v>
      </c>
      <c r="U757" s="218">
        <v>4.8600000000000003</v>
      </c>
      <c r="AF757" s="218">
        <v>19.39</v>
      </c>
      <c r="AG757" s="251">
        <f t="shared" si="57"/>
        <v>-19.39</v>
      </c>
      <c r="AH757" s="218">
        <v>0.77</v>
      </c>
      <c r="AI757" s="218">
        <v>0.16</v>
      </c>
      <c r="AJ757" s="218">
        <v>4.8899999999999997</v>
      </c>
      <c r="AV757" s="218">
        <v>19.38</v>
      </c>
      <c r="AW757" s="251">
        <f t="shared" si="58"/>
        <v>-19.38</v>
      </c>
      <c r="AX757" s="218">
        <v>0.77</v>
      </c>
      <c r="AY757" s="218">
        <v>0.16</v>
      </c>
      <c r="AZ757" s="218">
        <v>4.8600000000000003</v>
      </c>
      <c r="BL757" s="218">
        <v>19.3</v>
      </c>
      <c r="BM757" s="251">
        <f t="shared" si="59"/>
        <v>-19.3</v>
      </c>
      <c r="BN757" s="218">
        <v>0.77</v>
      </c>
      <c r="BO757" s="218">
        <v>0.16</v>
      </c>
      <c r="BP757" s="218">
        <v>4.8499999999999996</v>
      </c>
    </row>
    <row r="758" spans="2:68">
      <c r="B758" s="218">
        <v>19.440000000000001</v>
      </c>
      <c r="C758" s="218">
        <f t="shared" si="55"/>
        <v>-19.440000000000001</v>
      </c>
      <c r="D758" s="218">
        <v>0.77</v>
      </c>
      <c r="E758" s="218">
        <v>0.16</v>
      </c>
      <c r="F758" s="218">
        <v>4.87</v>
      </c>
      <c r="Q758" s="218">
        <v>19.489999999999998</v>
      </c>
      <c r="R758" s="251">
        <f t="shared" si="56"/>
        <v>-19.489999999999998</v>
      </c>
      <c r="S758" s="218">
        <v>0.77</v>
      </c>
      <c r="T758" s="218">
        <v>0.16</v>
      </c>
      <c r="U758" s="218">
        <v>4.8600000000000003</v>
      </c>
      <c r="AF758" s="218">
        <v>19.41</v>
      </c>
      <c r="AG758" s="251">
        <f t="shared" si="57"/>
        <v>-19.41</v>
      </c>
      <c r="AH758" s="218">
        <v>0.77</v>
      </c>
      <c r="AI758" s="218">
        <v>0.16</v>
      </c>
      <c r="AJ758" s="218">
        <v>4.9000000000000004</v>
      </c>
      <c r="AV758" s="218">
        <v>19.399999999999999</v>
      </c>
      <c r="AW758" s="251">
        <f t="shared" si="58"/>
        <v>-19.399999999999999</v>
      </c>
      <c r="AX758" s="218">
        <v>0.77</v>
      </c>
      <c r="AY758" s="218">
        <v>0.16</v>
      </c>
      <c r="AZ758" s="218">
        <v>4.87</v>
      </c>
      <c r="BL758" s="218">
        <v>19.32</v>
      </c>
      <c r="BM758" s="251">
        <f t="shared" si="59"/>
        <v>-19.32</v>
      </c>
      <c r="BN758" s="218">
        <v>0.77</v>
      </c>
      <c r="BO758" s="218">
        <v>0.16</v>
      </c>
      <c r="BP758" s="218">
        <v>4.8499999999999996</v>
      </c>
    </row>
    <row r="759" spans="2:68">
      <c r="B759" s="218">
        <v>19.47</v>
      </c>
      <c r="C759" s="218">
        <f t="shared" si="55"/>
        <v>-19.47</v>
      </c>
      <c r="D759" s="218">
        <v>0.77</v>
      </c>
      <c r="E759" s="218">
        <v>0.16</v>
      </c>
      <c r="F759" s="218">
        <v>4.88</v>
      </c>
      <c r="Q759" s="218">
        <v>19.52</v>
      </c>
      <c r="R759" s="251">
        <f t="shared" si="56"/>
        <v>-19.52</v>
      </c>
      <c r="S759" s="218">
        <v>0.77</v>
      </c>
      <c r="T759" s="218">
        <v>0.16</v>
      </c>
      <c r="U759" s="218">
        <v>4.8600000000000003</v>
      </c>
      <c r="AF759" s="218">
        <v>19.440000000000001</v>
      </c>
      <c r="AG759" s="251">
        <f t="shared" si="57"/>
        <v>-19.440000000000001</v>
      </c>
      <c r="AH759" s="218">
        <v>0.77</v>
      </c>
      <c r="AI759" s="218">
        <v>0.16</v>
      </c>
      <c r="AJ759" s="218">
        <v>4.9000000000000004</v>
      </c>
      <c r="AV759" s="218">
        <v>19.43</v>
      </c>
      <c r="AW759" s="251">
        <f t="shared" si="58"/>
        <v>-19.43</v>
      </c>
      <c r="AX759" s="218">
        <v>0.77</v>
      </c>
      <c r="AY759" s="218">
        <v>0.16</v>
      </c>
      <c r="AZ759" s="218">
        <v>4.87</v>
      </c>
      <c r="BL759" s="218">
        <v>19.350000000000001</v>
      </c>
      <c r="BM759" s="251">
        <f t="shared" si="59"/>
        <v>-19.350000000000001</v>
      </c>
      <c r="BN759" s="218">
        <v>0.77</v>
      </c>
      <c r="BO759" s="218">
        <v>0.16</v>
      </c>
      <c r="BP759" s="218">
        <v>4.8499999999999996</v>
      </c>
    </row>
    <row r="760" spans="2:68">
      <c r="B760" s="218">
        <v>19.489999999999998</v>
      </c>
      <c r="C760" s="218">
        <f t="shared" si="55"/>
        <v>-19.489999999999998</v>
      </c>
      <c r="D760" s="218">
        <v>0.77</v>
      </c>
      <c r="E760" s="218">
        <v>0.16</v>
      </c>
      <c r="F760" s="218">
        <v>4.88</v>
      </c>
      <c r="Q760" s="218">
        <v>19.54</v>
      </c>
      <c r="R760" s="251">
        <f t="shared" si="56"/>
        <v>-19.54</v>
      </c>
      <c r="S760" s="218">
        <v>0.77</v>
      </c>
      <c r="T760" s="218">
        <v>0.16</v>
      </c>
      <c r="U760" s="218">
        <v>4.87</v>
      </c>
      <c r="AF760" s="218">
        <v>19.46</v>
      </c>
      <c r="AG760" s="251">
        <f t="shared" si="57"/>
        <v>-19.46</v>
      </c>
      <c r="AH760" s="218">
        <v>0.77</v>
      </c>
      <c r="AI760" s="218">
        <v>0.16</v>
      </c>
      <c r="AJ760" s="218">
        <v>4.9000000000000004</v>
      </c>
      <c r="AV760" s="218">
        <v>19.45</v>
      </c>
      <c r="AW760" s="251">
        <f t="shared" si="58"/>
        <v>-19.45</v>
      </c>
      <c r="AX760" s="218">
        <v>0.77</v>
      </c>
      <c r="AY760" s="218">
        <v>0.16</v>
      </c>
      <c r="AZ760" s="218">
        <v>4.87</v>
      </c>
      <c r="BL760" s="218">
        <v>19.37</v>
      </c>
      <c r="BM760" s="251">
        <f t="shared" si="59"/>
        <v>-19.37</v>
      </c>
      <c r="BN760" s="218">
        <v>0.77</v>
      </c>
      <c r="BO760" s="218">
        <v>0.16</v>
      </c>
      <c r="BP760" s="218">
        <v>4.8600000000000003</v>
      </c>
    </row>
    <row r="761" spans="2:68">
      <c r="B761" s="218">
        <v>19.52</v>
      </c>
      <c r="C761" s="218">
        <f t="shared" si="55"/>
        <v>-19.52</v>
      </c>
      <c r="D761" s="218">
        <v>0.77</v>
      </c>
      <c r="E761" s="218">
        <v>0.16</v>
      </c>
      <c r="F761" s="218">
        <v>4.88</v>
      </c>
      <c r="Q761" s="218">
        <v>19.57</v>
      </c>
      <c r="R761" s="251">
        <f t="shared" si="56"/>
        <v>-19.57</v>
      </c>
      <c r="S761" s="218">
        <v>0.77</v>
      </c>
      <c r="T761" s="218">
        <v>0.16</v>
      </c>
      <c r="U761" s="218">
        <v>4.87</v>
      </c>
      <c r="AF761" s="218">
        <v>19.489999999999998</v>
      </c>
      <c r="AG761" s="251">
        <f t="shared" si="57"/>
        <v>-19.489999999999998</v>
      </c>
      <c r="AH761" s="218">
        <v>0.77</v>
      </c>
      <c r="AI761" s="218">
        <v>0.16</v>
      </c>
      <c r="AJ761" s="218">
        <v>4.9000000000000004</v>
      </c>
      <c r="AV761" s="218">
        <v>19.48</v>
      </c>
      <c r="AW761" s="251">
        <f t="shared" si="58"/>
        <v>-19.48</v>
      </c>
      <c r="AX761" s="218">
        <v>0.77</v>
      </c>
      <c r="AY761" s="218">
        <v>0.16</v>
      </c>
      <c r="AZ761" s="218">
        <v>4.87</v>
      </c>
      <c r="BL761" s="218">
        <v>19.399999999999999</v>
      </c>
      <c r="BM761" s="251">
        <f t="shared" si="59"/>
        <v>-19.399999999999999</v>
      </c>
      <c r="BN761" s="218">
        <v>0.77</v>
      </c>
      <c r="BO761" s="218">
        <v>0.16</v>
      </c>
      <c r="BP761" s="218">
        <v>4.8600000000000003</v>
      </c>
    </row>
    <row r="762" spans="2:68">
      <c r="B762" s="218">
        <v>19.54</v>
      </c>
      <c r="C762" s="218">
        <f t="shared" si="55"/>
        <v>-19.54</v>
      </c>
      <c r="D762" s="218">
        <v>0.77</v>
      </c>
      <c r="E762" s="218">
        <v>0.16</v>
      </c>
      <c r="F762" s="218">
        <v>4.88</v>
      </c>
      <c r="Q762" s="218">
        <v>19.59</v>
      </c>
      <c r="R762" s="251">
        <f t="shared" si="56"/>
        <v>-19.59</v>
      </c>
      <c r="S762" s="218">
        <v>0.77</v>
      </c>
      <c r="T762" s="218">
        <v>0.16</v>
      </c>
      <c r="U762" s="218">
        <v>4.87</v>
      </c>
      <c r="AF762" s="218">
        <v>19.510000000000002</v>
      </c>
      <c r="AG762" s="251">
        <f t="shared" si="57"/>
        <v>-19.510000000000002</v>
      </c>
      <c r="AH762" s="218">
        <v>0.77</v>
      </c>
      <c r="AI762" s="218">
        <v>0.16</v>
      </c>
      <c r="AJ762" s="218">
        <v>4.91</v>
      </c>
      <c r="AV762" s="218">
        <v>19.5</v>
      </c>
      <c r="AW762" s="251">
        <f t="shared" si="58"/>
        <v>-19.5</v>
      </c>
      <c r="AX762" s="218">
        <v>0.77</v>
      </c>
      <c r="AY762" s="218">
        <v>0.16</v>
      </c>
      <c r="AZ762" s="218">
        <v>4.88</v>
      </c>
      <c r="BL762" s="218">
        <v>19.420000000000002</v>
      </c>
      <c r="BM762" s="251">
        <f t="shared" si="59"/>
        <v>-19.420000000000002</v>
      </c>
      <c r="BN762" s="218">
        <v>0.77</v>
      </c>
      <c r="BO762" s="218">
        <v>0.16</v>
      </c>
      <c r="BP762" s="218">
        <v>4.8600000000000003</v>
      </c>
    </row>
    <row r="763" spans="2:68">
      <c r="B763" s="218">
        <v>19.57</v>
      </c>
      <c r="C763" s="218">
        <f t="shared" si="55"/>
        <v>-19.57</v>
      </c>
      <c r="D763" s="218">
        <v>0.77</v>
      </c>
      <c r="E763" s="218">
        <v>0.16</v>
      </c>
      <c r="F763" s="218">
        <v>4.8899999999999997</v>
      </c>
      <c r="Q763" s="218">
        <v>19.62</v>
      </c>
      <c r="R763" s="251">
        <f t="shared" si="56"/>
        <v>-19.62</v>
      </c>
      <c r="S763" s="218">
        <v>0.77</v>
      </c>
      <c r="T763" s="218">
        <v>0.16</v>
      </c>
      <c r="U763" s="218">
        <v>4.87</v>
      </c>
      <c r="AF763" s="218">
        <v>19.54</v>
      </c>
      <c r="AG763" s="251">
        <f t="shared" si="57"/>
        <v>-19.54</v>
      </c>
      <c r="AH763" s="218">
        <v>0.77</v>
      </c>
      <c r="AI763" s="218">
        <v>0.16</v>
      </c>
      <c r="AJ763" s="218">
        <v>4.91</v>
      </c>
      <c r="AV763" s="218">
        <v>19.53</v>
      </c>
      <c r="AW763" s="251">
        <f t="shared" si="58"/>
        <v>-19.53</v>
      </c>
      <c r="AX763" s="218">
        <v>0.77</v>
      </c>
      <c r="AY763" s="218">
        <v>0.16</v>
      </c>
      <c r="AZ763" s="218">
        <v>4.88</v>
      </c>
      <c r="BL763" s="218">
        <v>19.45</v>
      </c>
      <c r="BM763" s="251">
        <f t="shared" si="59"/>
        <v>-19.45</v>
      </c>
      <c r="BN763" s="218">
        <v>0.77</v>
      </c>
      <c r="BO763" s="218">
        <v>0.16</v>
      </c>
      <c r="BP763" s="218">
        <v>4.8600000000000003</v>
      </c>
    </row>
    <row r="764" spans="2:68">
      <c r="B764" s="218">
        <v>19.59</v>
      </c>
      <c r="C764" s="218">
        <f t="shared" si="55"/>
        <v>-19.59</v>
      </c>
      <c r="D764" s="218">
        <v>0.77</v>
      </c>
      <c r="E764" s="218">
        <v>0.16</v>
      </c>
      <c r="F764" s="218">
        <v>4.8899999999999997</v>
      </c>
      <c r="Q764" s="218">
        <v>19.64</v>
      </c>
      <c r="R764" s="251">
        <f t="shared" si="56"/>
        <v>-19.64</v>
      </c>
      <c r="S764" s="218">
        <v>0.77</v>
      </c>
      <c r="T764" s="218">
        <v>0.16</v>
      </c>
      <c r="U764" s="218">
        <v>4.88</v>
      </c>
      <c r="AF764" s="218">
        <v>19.559999999999999</v>
      </c>
      <c r="AG764" s="251">
        <f t="shared" si="57"/>
        <v>-19.559999999999999</v>
      </c>
      <c r="AH764" s="218">
        <v>0.77</v>
      </c>
      <c r="AI764" s="218">
        <v>0.16</v>
      </c>
      <c r="AJ764" s="218">
        <v>4.91</v>
      </c>
      <c r="AV764" s="218">
        <v>19.55</v>
      </c>
      <c r="AW764" s="251">
        <f t="shared" si="58"/>
        <v>-19.55</v>
      </c>
      <c r="AX764" s="218">
        <v>0.77</v>
      </c>
      <c r="AY764" s="218">
        <v>0.16</v>
      </c>
      <c r="AZ764" s="218">
        <v>4.88</v>
      </c>
      <c r="BL764" s="218">
        <v>19.47</v>
      </c>
      <c r="BM764" s="251">
        <f t="shared" si="59"/>
        <v>-19.47</v>
      </c>
      <c r="BN764" s="218">
        <v>0.77</v>
      </c>
      <c r="BO764" s="218">
        <v>0.16</v>
      </c>
      <c r="BP764" s="218">
        <v>4.87</v>
      </c>
    </row>
    <row r="765" spans="2:68">
      <c r="B765" s="218">
        <v>19.62</v>
      </c>
      <c r="C765" s="218">
        <f t="shared" si="55"/>
        <v>-19.62</v>
      </c>
      <c r="D765" s="218">
        <v>0.77</v>
      </c>
      <c r="E765" s="218">
        <v>0.16</v>
      </c>
      <c r="F765" s="218">
        <v>4.8899999999999997</v>
      </c>
      <c r="Q765" s="218">
        <v>19.670000000000002</v>
      </c>
      <c r="R765" s="251">
        <f t="shared" si="56"/>
        <v>-19.670000000000002</v>
      </c>
      <c r="S765" s="218">
        <v>0.77</v>
      </c>
      <c r="T765" s="218">
        <v>0.16</v>
      </c>
      <c r="U765" s="218">
        <v>4.88</v>
      </c>
      <c r="AF765" s="218">
        <v>19.59</v>
      </c>
      <c r="AG765" s="251">
        <f t="shared" si="57"/>
        <v>-19.59</v>
      </c>
      <c r="AH765" s="218">
        <v>0.77</v>
      </c>
      <c r="AI765" s="218">
        <v>0.16</v>
      </c>
      <c r="AJ765" s="218">
        <v>4.91</v>
      </c>
      <c r="AV765" s="218">
        <v>19.579999999999998</v>
      </c>
      <c r="AW765" s="251">
        <f t="shared" si="58"/>
        <v>-19.579999999999998</v>
      </c>
      <c r="AX765" s="218">
        <v>0.77</v>
      </c>
      <c r="AY765" s="218">
        <v>0.16</v>
      </c>
      <c r="AZ765" s="218">
        <v>4.8899999999999997</v>
      </c>
      <c r="BL765" s="218">
        <v>19.5</v>
      </c>
      <c r="BM765" s="251">
        <f t="shared" si="59"/>
        <v>-19.5</v>
      </c>
      <c r="BN765" s="218">
        <v>0.77</v>
      </c>
      <c r="BO765" s="218">
        <v>0.16</v>
      </c>
      <c r="BP765" s="218">
        <v>4.87</v>
      </c>
    </row>
    <row r="766" spans="2:68">
      <c r="B766" s="218">
        <v>19.64</v>
      </c>
      <c r="C766" s="218">
        <f t="shared" si="55"/>
        <v>-19.64</v>
      </c>
      <c r="D766" s="218">
        <v>0.77</v>
      </c>
      <c r="E766" s="218">
        <v>0.16</v>
      </c>
      <c r="F766" s="218">
        <v>4.8899999999999997</v>
      </c>
      <c r="Q766" s="218">
        <v>19.690000000000001</v>
      </c>
      <c r="R766" s="251">
        <f t="shared" si="56"/>
        <v>-19.690000000000001</v>
      </c>
      <c r="S766" s="218">
        <v>0.77</v>
      </c>
      <c r="T766" s="218">
        <v>0.16</v>
      </c>
      <c r="U766" s="218">
        <v>4.88</v>
      </c>
      <c r="AF766" s="218">
        <v>19.61</v>
      </c>
      <c r="AG766" s="251">
        <f t="shared" si="57"/>
        <v>-19.61</v>
      </c>
      <c r="AH766" s="218">
        <v>0.77</v>
      </c>
      <c r="AI766" s="218">
        <v>0.16</v>
      </c>
      <c r="AJ766" s="218">
        <v>4.92</v>
      </c>
      <c r="AV766" s="218">
        <v>19.600000000000001</v>
      </c>
      <c r="AW766" s="251">
        <f t="shared" si="58"/>
        <v>-19.600000000000001</v>
      </c>
      <c r="AX766" s="218">
        <v>0.77</v>
      </c>
      <c r="AY766" s="218">
        <v>0.16</v>
      </c>
      <c r="AZ766" s="218">
        <v>4.8899999999999997</v>
      </c>
      <c r="BL766" s="218">
        <v>19.52</v>
      </c>
      <c r="BM766" s="251">
        <f t="shared" si="59"/>
        <v>-19.52</v>
      </c>
      <c r="BN766" s="218">
        <v>0.77</v>
      </c>
      <c r="BO766" s="218">
        <v>0.16</v>
      </c>
      <c r="BP766" s="218">
        <v>4.87</v>
      </c>
    </row>
    <row r="767" spans="2:68">
      <c r="B767" s="218">
        <v>19.670000000000002</v>
      </c>
      <c r="C767" s="218">
        <f t="shared" si="55"/>
        <v>-19.670000000000002</v>
      </c>
      <c r="D767" s="218">
        <v>0.76</v>
      </c>
      <c r="E767" s="218">
        <v>0.16</v>
      </c>
      <c r="F767" s="218">
        <v>4.9000000000000004</v>
      </c>
      <c r="Q767" s="218">
        <v>19.72</v>
      </c>
      <c r="R767" s="251">
        <f t="shared" si="56"/>
        <v>-19.72</v>
      </c>
      <c r="S767" s="218">
        <v>0.77</v>
      </c>
      <c r="T767" s="218">
        <v>0.16</v>
      </c>
      <c r="U767" s="218">
        <v>4.8899999999999997</v>
      </c>
      <c r="AF767" s="218">
        <v>19.64</v>
      </c>
      <c r="AG767" s="251">
        <f t="shared" si="57"/>
        <v>-19.64</v>
      </c>
      <c r="AH767" s="218">
        <v>0.77</v>
      </c>
      <c r="AI767" s="218">
        <v>0.16</v>
      </c>
      <c r="AJ767" s="218">
        <v>4.92</v>
      </c>
      <c r="AV767" s="218">
        <v>19.63</v>
      </c>
      <c r="AW767" s="251">
        <f t="shared" si="58"/>
        <v>-19.63</v>
      </c>
      <c r="AX767" s="218">
        <v>0.77</v>
      </c>
      <c r="AY767" s="218">
        <v>0.16</v>
      </c>
      <c r="AZ767" s="218">
        <v>4.8899999999999997</v>
      </c>
      <c r="BL767" s="218">
        <v>19.55</v>
      </c>
      <c r="BM767" s="251">
        <f t="shared" si="59"/>
        <v>-19.55</v>
      </c>
      <c r="BN767" s="218">
        <v>0.77</v>
      </c>
      <c r="BO767" s="218">
        <v>0.16</v>
      </c>
      <c r="BP767" s="218">
        <v>4.87</v>
      </c>
    </row>
    <row r="768" spans="2:68">
      <c r="B768" s="218">
        <v>19.690000000000001</v>
      </c>
      <c r="C768" s="218">
        <f t="shared" si="55"/>
        <v>-19.690000000000001</v>
      </c>
      <c r="D768" s="218">
        <v>0.76</v>
      </c>
      <c r="E768" s="218">
        <v>0.16</v>
      </c>
      <c r="F768" s="218">
        <v>4.9000000000000004</v>
      </c>
      <c r="Q768" s="218">
        <v>19.739999999999998</v>
      </c>
      <c r="R768" s="251">
        <f t="shared" si="56"/>
        <v>-19.739999999999998</v>
      </c>
      <c r="S768" s="218">
        <v>0.77</v>
      </c>
      <c r="T768" s="218">
        <v>0.16</v>
      </c>
      <c r="U768" s="218">
        <v>4.8899999999999997</v>
      </c>
      <c r="AF768" s="218">
        <v>19.66</v>
      </c>
      <c r="AG768" s="251">
        <f t="shared" si="57"/>
        <v>-19.66</v>
      </c>
      <c r="AH768" s="218">
        <v>0.77</v>
      </c>
      <c r="AI768" s="218">
        <v>0.16</v>
      </c>
      <c r="AJ768" s="218">
        <v>4.92</v>
      </c>
      <c r="AV768" s="218">
        <v>19.649999999999999</v>
      </c>
      <c r="AW768" s="251">
        <f t="shared" si="58"/>
        <v>-19.649999999999999</v>
      </c>
      <c r="AX768" s="218">
        <v>0.77</v>
      </c>
      <c r="AY768" s="218">
        <v>0.16</v>
      </c>
      <c r="AZ768" s="218">
        <v>4.8899999999999997</v>
      </c>
      <c r="BL768" s="218">
        <v>19.57</v>
      </c>
      <c r="BM768" s="251">
        <f t="shared" si="59"/>
        <v>-19.57</v>
      </c>
      <c r="BN768" s="218">
        <v>0.77</v>
      </c>
      <c r="BO768" s="218">
        <v>0.16</v>
      </c>
      <c r="BP768" s="218">
        <v>4.88</v>
      </c>
    </row>
    <row r="769" spans="2:68">
      <c r="B769" s="218">
        <v>19.72</v>
      </c>
      <c r="C769" s="218">
        <f t="shared" si="55"/>
        <v>-19.72</v>
      </c>
      <c r="D769" s="218">
        <v>0.76</v>
      </c>
      <c r="E769" s="218">
        <v>0.16</v>
      </c>
      <c r="F769" s="218">
        <v>4.9000000000000004</v>
      </c>
      <c r="Q769" s="218">
        <v>19.77</v>
      </c>
      <c r="R769" s="251">
        <f t="shared" si="56"/>
        <v>-19.77</v>
      </c>
      <c r="S769" s="218">
        <v>0.77</v>
      </c>
      <c r="T769" s="218">
        <v>0.16</v>
      </c>
      <c r="U769" s="218">
        <v>4.8899999999999997</v>
      </c>
      <c r="AF769" s="218">
        <v>19.690000000000001</v>
      </c>
      <c r="AG769" s="251">
        <f t="shared" si="57"/>
        <v>-19.690000000000001</v>
      </c>
      <c r="AH769" s="218">
        <v>0.77</v>
      </c>
      <c r="AI769" s="218">
        <v>0.16</v>
      </c>
      <c r="AJ769" s="218">
        <v>4.93</v>
      </c>
      <c r="AV769" s="218">
        <v>19.68</v>
      </c>
      <c r="AW769" s="251">
        <f t="shared" si="58"/>
        <v>-19.68</v>
      </c>
      <c r="AX769" s="218">
        <v>0.77</v>
      </c>
      <c r="AY769" s="218">
        <v>0.16</v>
      </c>
      <c r="AZ769" s="218">
        <v>4.9000000000000004</v>
      </c>
      <c r="BL769" s="218">
        <v>19.600000000000001</v>
      </c>
      <c r="BM769" s="251">
        <f t="shared" si="59"/>
        <v>-19.600000000000001</v>
      </c>
      <c r="BN769" s="218">
        <v>0.77</v>
      </c>
      <c r="BO769" s="218">
        <v>0.16</v>
      </c>
      <c r="BP769" s="218">
        <v>4.88</v>
      </c>
    </row>
    <row r="770" spans="2:68">
      <c r="B770" s="218">
        <v>19.739999999999998</v>
      </c>
      <c r="C770" s="218">
        <f t="shared" si="55"/>
        <v>-19.739999999999998</v>
      </c>
      <c r="D770" s="218">
        <v>0.76</v>
      </c>
      <c r="E770" s="218">
        <v>0.16</v>
      </c>
      <c r="F770" s="218">
        <v>4.9000000000000004</v>
      </c>
      <c r="Q770" s="218">
        <v>19.79</v>
      </c>
      <c r="R770" s="251">
        <f t="shared" si="56"/>
        <v>-19.79</v>
      </c>
      <c r="S770" s="218">
        <v>0.77</v>
      </c>
      <c r="T770" s="218">
        <v>0.16</v>
      </c>
      <c r="U770" s="218">
        <v>4.8899999999999997</v>
      </c>
      <c r="AF770" s="218">
        <v>19.71</v>
      </c>
      <c r="AG770" s="251">
        <f t="shared" si="57"/>
        <v>-19.71</v>
      </c>
      <c r="AH770" s="218">
        <v>0.77</v>
      </c>
      <c r="AI770" s="218">
        <v>0.16</v>
      </c>
      <c r="AJ770" s="218">
        <v>4.93</v>
      </c>
      <c r="AV770" s="218">
        <v>19.7</v>
      </c>
      <c r="AW770" s="251">
        <f t="shared" si="58"/>
        <v>-19.7</v>
      </c>
      <c r="AX770" s="218">
        <v>0.77</v>
      </c>
      <c r="AY770" s="218">
        <v>0.16</v>
      </c>
      <c r="AZ770" s="218">
        <v>4.9000000000000004</v>
      </c>
      <c r="BL770" s="218">
        <v>19.62</v>
      </c>
      <c r="BM770" s="251">
        <f t="shared" si="59"/>
        <v>-19.62</v>
      </c>
      <c r="BN770" s="218">
        <v>0.77</v>
      </c>
      <c r="BO770" s="218">
        <v>0.16</v>
      </c>
      <c r="BP770" s="218">
        <v>4.88</v>
      </c>
    </row>
    <row r="771" spans="2:68">
      <c r="B771" s="218">
        <v>19.77</v>
      </c>
      <c r="C771" s="218">
        <f t="shared" si="55"/>
        <v>-19.77</v>
      </c>
      <c r="D771" s="218">
        <v>0.76</v>
      </c>
      <c r="E771" s="218">
        <v>0.16</v>
      </c>
      <c r="F771" s="218">
        <v>4.91</v>
      </c>
      <c r="Q771" s="218">
        <v>19.82</v>
      </c>
      <c r="R771" s="251">
        <f t="shared" si="56"/>
        <v>-19.82</v>
      </c>
      <c r="S771" s="218">
        <v>0.77</v>
      </c>
      <c r="T771" s="218">
        <v>0.16</v>
      </c>
      <c r="U771" s="218">
        <v>4.9000000000000004</v>
      </c>
      <c r="AF771" s="218">
        <v>19.739999999999998</v>
      </c>
      <c r="AG771" s="251">
        <f t="shared" si="57"/>
        <v>-19.739999999999998</v>
      </c>
      <c r="AH771" s="218">
        <v>0.77</v>
      </c>
      <c r="AI771" s="218">
        <v>0.16</v>
      </c>
      <c r="AJ771" s="218">
        <v>4.93</v>
      </c>
      <c r="AV771" s="218">
        <v>19.73</v>
      </c>
      <c r="AW771" s="251">
        <f t="shared" si="58"/>
        <v>-19.73</v>
      </c>
      <c r="AX771" s="218">
        <v>0.77</v>
      </c>
      <c r="AY771" s="218">
        <v>0.16</v>
      </c>
      <c r="AZ771" s="218">
        <v>4.9000000000000004</v>
      </c>
      <c r="BL771" s="218">
        <v>19.649999999999999</v>
      </c>
      <c r="BM771" s="251">
        <f t="shared" si="59"/>
        <v>-19.649999999999999</v>
      </c>
      <c r="BN771" s="218">
        <v>0.77</v>
      </c>
      <c r="BO771" s="218">
        <v>0.16</v>
      </c>
      <c r="BP771" s="218">
        <v>4.88</v>
      </c>
    </row>
    <row r="772" spans="2:68">
      <c r="B772" s="218">
        <v>19.79</v>
      </c>
      <c r="C772" s="218">
        <f t="shared" si="55"/>
        <v>-19.79</v>
      </c>
      <c r="D772" s="218">
        <v>0.76</v>
      </c>
      <c r="E772" s="218">
        <v>0.16</v>
      </c>
      <c r="F772" s="218">
        <v>4.91</v>
      </c>
      <c r="Q772" s="218">
        <v>19.84</v>
      </c>
      <c r="R772" s="251">
        <f t="shared" si="56"/>
        <v>-19.84</v>
      </c>
      <c r="S772" s="218">
        <v>0.77</v>
      </c>
      <c r="T772" s="218">
        <v>0.16</v>
      </c>
      <c r="U772" s="218">
        <v>4.9000000000000004</v>
      </c>
      <c r="AF772" s="218">
        <v>19.760000000000002</v>
      </c>
      <c r="AG772" s="251">
        <f t="shared" si="57"/>
        <v>-19.760000000000002</v>
      </c>
      <c r="AH772" s="218">
        <v>0.76</v>
      </c>
      <c r="AI772" s="218">
        <v>0.16</v>
      </c>
      <c r="AJ772" s="218">
        <v>4.93</v>
      </c>
      <c r="AV772" s="218">
        <v>19.75</v>
      </c>
      <c r="AW772" s="251">
        <f t="shared" si="58"/>
        <v>-19.75</v>
      </c>
      <c r="AX772" s="218">
        <v>0.77</v>
      </c>
      <c r="AY772" s="218">
        <v>0.16</v>
      </c>
      <c r="AZ772" s="218">
        <v>4.9000000000000004</v>
      </c>
      <c r="BL772" s="218">
        <v>19.670000000000002</v>
      </c>
      <c r="BM772" s="251">
        <f t="shared" si="59"/>
        <v>-19.670000000000002</v>
      </c>
      <c r="BN772" s="218">
        <v>0.77</v>
      </c>
      <c r="BO772" s="218">
        <v>0.16</v>
      </c>
      <c r="BP772" s="218">
        <v>4.8899999999999997</v>
      </c>
    </row>
    <row r="773" spans="2:68">
      <c r="B773" s="218">
        <v>19.82</v>
      </c>
      <c r="C773" s="218">
        <f t="shared" si="55"/>
        <v>-19.82</v>
      </c>
      <c r="D773" s="218">
        <v>0.76</v>
      </c>
      <c r="E773" s="218">
        <v>0.16</v>
      </c>
      <c r="F773" s="218">
        <v>4.91</v>
      </c>
      <c r="Q773" s="218">
        <v>19.87</v>
      </c>
      <c r="R773" s="251">
        <f t="shared" si="56"/>
        <v>-19.87</v>
      </c>
      <c r="S773" s="218">
        <v>0.76</v>
      </c>
      <c r="T773" s="218">
        <v>0.16</v>
      </c>
      <c r="U773" s="218">
        <v>4.9000000000000004</v>
      </c>
      <c r="AF773" s="218">
        <v>19.79</v>
      </c>
      <c r="AG773" s="251">
        <f t="shared" si="57"/>
        <v>-19.79</v>
      </c>
      <c r="AH773" s="218">
        <v>0.76</v>
      </c>
      <c r="AI773" s="218">
        <v>0.15</v>
      </c>
      <c r="AJ773" s="218">
        <v>4.9400000000000004</v>
      </c>
      <c r="AV773" s="218">
        <v>19.78</v>
      </c>
      <c r="AW773" s="251">
        <f t="shared" si="58"/>
        <v>-19.78</v>
      </c>
      <c r="AX773" s="218">
        <v>0.76</v>
      </c>
      <c r="AY773" s="218">
        <v>0.16</v>
      </c>
      <c r="AZ773" s="218">
        <v>4.91</v>
      </c>
      <c r="BL773" s="218">
        <v>19.7</v>
      </c>
      <c r="BM773" s="251">
        <f t="shared" si="59"/>
        <v>-19.7</v>
      </c>
      <c r="BN773" s="218">
        <v>0.77</v>
      </c>
      <c r="BO773" s="218">
        <v>0.16</v>
      </c>
      <c r="BP773" s="218">
        <v>4.8899999999999997</v>
      </c>
    </row>
    <row r="774" spans="2:68">
      <c r="B774" s="218">
        <v>19.84</v>
      </c>
      <c r="C774" s="218">
        <f t="shared" ref="C774:C780" si="60">$F$2-B774</f>
        <v>-19.84</v>
      </c>
      <c r="D774" s="218">
        <v>0.76</v>
      </c>
      <c r="E774" s="218">
        <v>0.16</v>
      </c>
      <c r="F774" s="218">
        <v>4.92</v>
      </c>
      <c r="Q774" s="218">
        <v>19.89</v>
      </c>
      <c r="R774" s="251">
        <f>$U$2-Q774</f>
        <v>-19.89</v>
      </c>
      <c r="S774" s="218">
        <v>0.76</v>
      </c>
      <c r="T774" s="218">
        <v>0.16</v>
      </c>
      <c r="U774" s="218">
        <v>4.9000000000000004</v>
      </c>
      <c r="AF774" s="218">
        <v>19.809999999999999</v>
      </c>
      <c r="AG774" s="251">
        <f t="shared" ref="AG774:AG781" si="61">$AJ$2-AF774</f>
        <v>-19.809999999999999</v>
      </c>
      <c r="AH774" s="218">
        <v>0.76</v>
      </c>
      <c r="AI774" s="218">
        <v>0.15</v>
      </c>
      <c r="AJ774" s="218">
        <v>4.9400000000000004</v>
      </c>
      <c r="AV774" s="218">
        <v>19.8</v>
      </c>
      <c r="AW774" s="251">
        <f t="shared" ref="AW774:AW782" si="62">$AZ$2-AV774</f>
        <v>-19.8</v>
      </c>
      <c r="AX774" s="218">
        <v>0.76</v>
      </c>
      <c r="AY774" s="218">
        <v>0.16</v>
      </c>
      <c r="AZ774" s="218">
        <v>4.91</v>
      </c>
      <c r="BL774" s="218">
        <v>19.72</v>
      </c>
      <c r="BM774" s="251">
        <f t="shared" ref="BM774:BM785" si="63">$AZ$2-BL774</f>
        <v>-19.72</v>
      </c>
      <c r="BN774" s="218">
        <v>0.77</v>
      </c>
      <c r="BO774" s="218">
        <v>0.16</v>
      </c>
      <c r="BP774" s="218">
        <v>4.8899999999999997</v>
      </c>
    </row>
    <row r="775" spans="2:68">
      <c r="B775" s="218">
        <v>19.87</v>
      </c>
      <c r="C775" s="218">
        <f t="shared" si="60"/>
        <v>-19.87</v>
      </c>
      <c r="D775" s="218">
        <v>0.76</v>
      </c>
      <c r="E775" s="218">
        <v>0.16</v>
      </c>
      <c r="F775" s="218">
        <v>4.92</v>
      </c>
      <c r="Q775" s="218">
        <v>19.920000000000002</v>
      </c>
      <c r="R775" s="251">
        <f>$U$2-Q775</f>
        <v>-19.920000000000002</v>
      </c>
      <c r="S775" s="218">
        <v>0.76</v>
      </c>
      <c r="T775" s="218">
        <v>0.16</v>
      </c>
      <c r="U775" s="218">
        <v>4.91</v>
      </c>
      <c r="AF775" s="218">
        <v>19.84</v>
      </c>
      <c r="AG775" s="251">
        <f t="shared" si="61"/>
        <v>-19.84</v>
      </c>
      <c r="AH775" s="218">
        <v>0.76</v>
      </c>
      <c r="AI775" s="218">
        <v>0.15</v>
      </c>
      <c r="AJ775" s="218">
        <v>4.9400000000000004</v>
      </c>
      <c r="AV775" s="218">
        <v>19.829999999999998</v>
      </c>
      <c r="AW775" s="251">
        <f t="shared" si="62"/>
        <v>-19.829999999999998</v>
      </c>
      <c r="AX775" s="218">
        <v>0.76</v>
      </c>
      <c r="AY775" s="218">
        <v>0.16</v>
      </c>
      <c r="AZ775" s="218">
        <v>4.91</v>
      </c>
      <c r="BL775" s="218">
        <v>19.75</v>
      </c>
      <c r="BM775" s="251">
        <f t="shared" si="63"/>
        <v>-19.75</v>
      </c>
      <c r="BN775" s="218">
        <v>0.77</v>
      </c>
      <c r="BO775" s="218">
        <v>0.16</v>
      </c>
      <c r="BP775" s="218">
        <v>4.8899999999999997</v>
      </c>
    </row>
    <row r="776" spans="2:68">
      <c r="B776" s="218">
        <v>19.89</v>
      </c>
      <c r="C776" s="218">
        <f t="shared" si="60"/>
        <v>-19.89</v>
      </c>
      <c r="D776" s="218">
        <v>0.76</v>
      </c>
      <c r="E776" s="218">
        <v>0.16</v>
      </c>
      <c r="F776" s="218">
        <v>4.92</v>
      </c>
      <c r="Q776" s="218">
        <v>19.940000000000001</v>
      </c>
      <c r="R776" s="251">
        <f>$U$2-Q776</f>
        <v>-19.940000000000001</v>
      </c>
      <c r="S776" s="218">
        <v>0.76</v>
      </c>
      <c r="T776" s="218">
        <v>0.16</v>
      </c>
      <c r="U776" s="218">
        <v>4.91</v>
      </c>
      <c r="AF776" s="218">
        <v>19.86</v>
      </c>
      <c r="AG776" s="251">
        <f t="shared" si="61"/>
        <v>-19.86</v>
      </c>
      <c r="AH776" s="218">
        <v>0.76</v>
      </c>
      <c r="AI776" s="218">
        <v>0.15</v>
      </c>
      <c r="AJ776" s="218">
        <v>4.9400000000000004</v>
      </c>
      <c r="AV776" s="218">
        <v>19.850000000000001</v>
      </c>
      <c r="AW776" s="251">
        <f t="shared" si="62"/>
        <v>-19.850000000000001</v>
      </c>
      <c r="AX776" s="218">
        <v>0.76</v>
      </c>
      <c r="AY776" s="218">
        <v>0.16</v>
      </c>
      <c r="AZ776" s="218">
        <v>4.91</v>
      </c>
      <c r="BL776" s="218">
        <v>19.77</v>
      </c>
      <c r="BM776" s="251">
        <f t="shared" si="63"/>
        <v>-19.77</v>
      </c>
      <c r="BN776" s="218">
        <v>0.77</v>
      </c>
      <c r="BO776" s="218">
        <v>0.16</v>
      </c>
      <c r="BP776" s="218">
        <v>4.9000000000000004</v>
      </c>
    </row>
    <row r="777" spans="2:68">
      <c r="B777" s="218">
        <v>19.920000000000002</v>
      </c>
      <c r="C777" s="218">
        <f t="shared" si="60"/>
        <v>-19.920000000000002</v>
      </c>
      <c r="D777" s="218">
        <v>0.76</v>
      </c>
      <c r="E777" s="218">
        <v>0.16</v>
      </c>
      <c r="F777" s="218">
        <v>4.92</v>
      </c>
      <c r="Q777" s="218">
        <v>19.97</v>
      </c>
      <c r="R777" s="251">
        <f>$U$2-Q777</f>
        <v>-19.97</v>
      </c>
      <c r="S777" s="218">
        <v>0.76</v>
      </c>
      <c r="T777" s="218">
        <v>0.16</v>
      </c>
      <c r="U777" s="218">
        <v>4.91</v>
      </c>
      <c r="AF777" s="218">
        <v>19.89</v>
      </c>
      <c r="AG777" s="251">
        <f t="shared" si="61"/>
        <v>-19.89</v>
      </c>
      <c r="AH777" s="218">
        <v>0.76</v>
      </c>
      <c r="AI777" s="218">
        <v>0.15</v>
      </c>
      <c r="AJ777" s="218">
        <v>4.95</v>
      </c>
      <c r="AV777" s="218">
        <v>19.88</v>
      </c>
      <c r="AW777" s="251">
        <f t="shared" si="62"/>
        <v>-19.88</v>
      </c>
      <c r="AX777" s="218">
        <v>0.76</v>
      </c>
      <c r="AY777" s="218">
        <v>0.16</v>
      </c>
      <c r="AZ777" s="218">
        <v>4.92</v>
      </c>
      <c r="BL777" s="218">
        <v>19.8</v>
      </c>
      <c r="BM777" s="251">
        <f t="shared" si="63"/>
        <v>-19.8</v>
      </c>
      <c r="BN777" s="218">
        <v>0.77</v>
      </c>
      <c r="BO777" s="218">
        <v>0.16</v>
      </c>
      <c r="BP777" s="218">
        <v>4.9000000000000004</v>
      </c>
    </row>
    <row r="778" spans="2:68">
      <c r="B778" s="218">
        <v>19.940000000000001</v>
      </c>
      <c r="C778" s="218">
        <f t="shared" si="60"/>
        <v>-19.940000000000001</v>
      </c>
      <c r="D778" s="218">
        <v>0.76</v>
      </c>
      <c r="E778" s="218">
        <v>0.15</v>
      </c>
      <c r="F778" s="218">
        <v>4.93</v>
      </c>
      <c r="Q778" s="218">
        <v>19.989999999999998</v>
      </c>
      <c r="R778" s="251">
        <f>$U$2-Q778</f>
        <v>-19.989999999999998</v>
      </c>
      <c r="S778" s="218">
        <v>0.76</v>
      </c>
      <c r="T778" s="218">
        <v>0.16</v>
      </c>
      <c r="U778" s="218">
        <v>4.92</v>
      </c>
      <c r="AF778" s="218">
        <v>19.91</v>
      </c>
      <c r="AG778" s="251">
        <f t="shared" si="61"/>
        <v>-19.91</v>
      </c>
      <c r="AH778" s="218">
        <v>0.76</v>
      </c>
      <c r="AI778" s="218">
        <v>0.15</v>
      </c>
      <c r="AJ778" s="218">
        <v>4.95</v>
      </c>
      <c r="AV778" s="218">
        <v>19.899999999999999</v>
      </c>
      <c r="AW778" s="251">
        <f t="shared" si="62"/>
        <v>-19.899999999999999</v>
      </c>
      <c r="AX778" s="218">
        <v>0.76</v>
      </c>
      <c r="AY778" s="218">
        <v>0.16</v>
      </c>
      <c r="AZ778" s="218">
        <v>4.92</v>
      </c>
      <c r="BL778" s="218">
        <v>19.82</v>
      </c>
      <c r="BM778" s="251">
        <f t="shared" si="63"/>
        <v>-19.82</v>
      </c>
      <c r="BN778" s="218">
        <v>0.77</v>
      </c>
      <c r="BO778" s="218">
        <v>0.16</v>
      </c>
      <c r="BP778" s="218">
        <v>4.9000000000000004</v>
      </c>
    </row>
    <row r="779" spans="2:68">
      <c r="B779" s="218">
        <v>19.97</v>
      </c>
      <c r="C779" s="218">
        <f t="shared" si="60"/>
        <v>-19.97</v>
      </c>
      <c r="D779" s="218">
        <v>0.76</v>
      </c>
      <c r="E779" s="218">
        <v>0.15</v>
      </c>
      <c r="F779" s="218">
        <v>4.93</v>
      </c>
      <c r="AF779" s="218">
        <v>19.940000000000001</v>
      </c>
      <c r="AG779" s="251">
        <f t="shared" si="61"/>
        <v>-19.940000000000001</v>
      </c>
      <c r="AH779" s="218">
        <v>0.76</v>
      </c>
      <c r="AI779" s="218">
        <v>0.15</v>
      </c>
      <c r="AJ779" s="218">
        <v>4.95</v>
      </c>
      <c r="AV779" s="218">
        <v>19.93</v>
      </c>
      <c r="AW779" s="251">
        <f t="shared" si="62"/>
        <v>-19.93</v>
      </c>
      <c r="AX779" s="218">
        <v>0.76</v>
      </c>
      <c r="AY779" s="218">
        <v>0.16</v>
      </c>
      <c r="AZ779" s="218">
        <v>4.92</v>
      </c>
      <c r="BL779" s="218">
        <v>19.850000000000001</v>
      </c>
      <c r="BM779" s="251">
        <f t="shared" si="63"/>
        <v>-19.850000000000001</v>
      </c>
      <c r="BN779" s="218">
        <v>0.77</v>
      </c>
      <c r="BO779" s="218">
        <v>0.16</v>
      </c>
      <c r="BP779" s="218">
        <v>4.91</v>
      </c>
    </row>
    <row r="780" spans="2:68">
      <c r="B780" s="218">
        <v>19.989999999999998</v>
      </c>
      <c r="C780" s="218">
        <f t="shared" si="60"/>
        <v>-19.989999999999998</v>
      </c>
      <c r="D780" s="218">
        <v>0.76</v>
      </c>
      <c r="E780" s="218">
        <v>0.15</v>
      </c>
      <c r="F780" s="218">
        <v>4.93</v>
      </c>
      <c r="AF780" s="218">
        <v>19.96</v>
      </c>
      <c r="AG780" s="251">
        <f t="shared" si="61"/>
        <v>-19.96</v>
      </c>
      <c r="AH780" s="218">
        <v>0.76</v>
      </c>
      <c r="AI780" s="218">
        <v>0.15</v>
      </c>
      <c r="AJ780" s="218">
        <v>4.95</v>
      </c>
      <c r="AV780" s="218">
        <v>19.95</v>
      </c>
      <c r="AW780" s="251">
        <f t="shared" si="62"/>
        <v>-19.95</v>
      </c>
      <c r="AX780" s="218">
        <v>0.76</v>
      </c>
      <c r="AY780" s="218">
        <v>0.16</v>
      </c>
      <c r="AZ780" s="218">
        <v>4.93</v>
      </c>
      <c r="BL780" s="218">
        <v>19.87</v>
      </c>
      <c r="BM780" s="251">
        <f t="shared" si="63"/>
        <v>-19.87</v>
      </c>
      <c r="BN780" s="218">
        <v>0.77</v>
      </c>
      <c r="BO780" s="218">
        <v>0.16</v>
      </c>
      <c r="BP780" s="218">
        <v>4.91</v>
      </c>
    </row>
    <row r="781" spans="2:68">
      <c r="AF781" s="218">
        <v>19.989999999999998</v>
      </c>
      <c r="AG781" s="251">
        <f t="shared" si="61"/>
        <v>-19.989999999999998</v>
      </c>
      <c r="AH781" s="218">
        <v>0.76</v>
      </c>
      <c r="AI781" s="218">
        <v>0.15</v>
      </c>
      <c r="AJ781" s="218">
        <v>4.96</v>
      </c>
      <c r="AV781" s="218">
        <v>19.98</v>
      </c>
      <c r="AW781" s="251">
        <f t="shared" si="62"/>
        <v>-19.98</v>
      </c>
      <c r="AX781" s="218">
        <v>0.76</v>
      </c>
      <c r="AY781" s="218">
        <v>0.15</v>
      </c>
      <c r="AZ781" s="218">
        <v>4.93</v>
      </c>
      <c r="BL781" s="218">
        <v>19.899999999999999</v>
      </c>
      <c r="BM781" s="251">
        <f t="shared" si="63"/>
        <v>-19.899999999999999</v>
      </c>
      <c r="BN781" s="218">
        <v>0.76</v>
      </c>
      <c r="BO781" s="218">
        <v>0.16</v>
      </c>
      <c r="BP781" s="218">
        <v>4.91</v>
      </c>
    </row>
    <row r="782" spans="2:68">
      <c r="AV782" s="218">
        <v>20</v>
      </c>
      <c r="AW782" s="251">
        <f t="shared" si="62"/>
        <v>-20</v>
      </c>
      <c r="AX782" s="218">
        <v>0.76</v>
      </c>
      <c r="AY782" s="218">
        <v>0.15</v>
      </c>
      <c r="AZ782" s="218">
        <v>4.93</v>
      </c>
      <c r="BL782" s="218">
        <v>19.920000000000002</v>
      </c>
      <c r="BM782" s="251">
        <f t="shared" si="63"/>
        <v>-19.920000000000002</v>
      </c>
      <c r="BN782" s="218">
        <v>0.76</v>
      </c>
      <c r="BO782" s="218">
        <v>0.16</v>
      </c>
      <c r="BP782" s="218">
        <v>4.91</v>
      </c>
    </row>
    <row r="783" spans="2:68">
      <c r="BL783" s="218">
        <v>19.95</v>
      </c>
      <c r="BM783" s="251">
        <f t="shared" si="63"/>
        <v>-19.95</v>
      </c>
      <c r="BN783" s="218">
        <v>0.76</v>
      </c>
      <c r="BO783" s="218">
        <v>0.16</v>
      </c>
      <c r="BP783" s="218">
        <v>4.92</v>
      </c>
    </row>
    <row r="784" spans="2:68">
      <c r="BL784" s="218">
        <v>19.97</v>
      </c>
      <c r="BM784" s="251">
        <f t="shared" si="63"/>
        <v>-19.97</v>
      </c>
      <c r="BN784" s="218">
        <v>0.76</v>
      </c>
      <c r="BO784" s="218">
        <v>0.16</v>
      </c>
      <c r="BP784" s="218">
        <v>4.92</v>
      </c>
    </row>
    <row r="785" spans="64:68">
      <c r="BL785" s="218">
        <v>20</v>
      </c>
      <c r="BM785" s="251">
        <f t="shared" si="63"/>
        <v>-20</v>
      </c>
      <c r="BN785" s="218">
        <v>0.76</v>
      </c>
      <c r="BO785" s="218">
        <v>0.16</v>
      </c>
      <c r="BP785" s="218">
        <v>4.92</v>
      </c>
    </row>
  </sheetData>
  <mergeCells count="10">
    <mergeCell ref="BL3:BP3"/>
    <mergeCell ref="BS20:BT20"/>
    <mergeCell ref="B3:F3"/>
    <mergeCell ref="Q3:U3"/>
    <mergeCell ref="H21:I21"/>
    <mergeCell ref="X21:Y21"/>
    <mergeCell ref="AF3:AJ3"/>
    <mergeCell ref="AM20:AN20"/>
    <mergeCell ref="AV3:AZ3"/>
    <mergeCell ref="BC20:BD20"/>
  </mergeCells>
  <phoneticPr fontId="20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7EF05-81B9-4C45-AEE5-6CA61D142EF9}">
  <sheetPr>
    <tabColor rgb="FFFF0000"/>
  </sheetPr>
  <dimension ref="B2:B6"/>
  <sheetViews>
    <sheetView workbookViewId="0">
      <selection activeCell="G11" sqref="G11"/>
    </sheetView>
  </sheetViews>
  <sheetFormatPr defaultRowHeight="12.5"/>
  <sheetData>
    <row r="2" spans="2:2" ht="13">
      <c r="B2" s="253" t="s">
        <v>163</v>
      </c>
    </row>
    <row r="3" spans="2:2">
      <c r="B3" s="254" t="s">
        <v>164</v>
      </c>
    </row>
    <row r="4" spans="2:2" ht="13">
      <c r="B4" s="207" t="s">
        <v>165</v>
      </c>
    </row>
    <row r="5" spans="2:2" ht="13">
      <c r="B5" s="207" t="s">
        <v>166</v>
      </c>
    </row>
    <row r="6" spans="2:2">
      <c r="B6" s="207" t="s">
        <v>167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7F08-E29D-4D35-824F-F300098AA0C2}">
  <dimension ref="B32:P48"/>
  <sheetViews>
    <sheetView zoomScale="85" zoomScaleNormal="85" workbookViewId="0">
      <selection activeCell="P35" sqref="P35"/>
    </sheetView>
  </sheetViews>
  <sheetFormatPr defaultRowHeight="12.5"/>
  <sheetData>
    <row r="32" ht="13" thickBot="1"/>
    <row r="33" spans="2:16">
      <c r="B33" s="239" t="s">
        <v>146</v>
      </c>
      <c r="C33" s="211"/>
      <c r="D33" s="211"/>
      <c r="E33" s="240">
        <v>18.489999999999998</v>
      </c>
      <c r="F33" s="211"/>
      <c r="G33" s="211"/>
      <c r="H33" s="211"/>
      <c r="I33" s="211"/>
      <c r="J33" s="211"/>
      <c r="K33" s="211"/>
      <c r="L33" s="211"/>
      <c r="M33" s="212"/>
      <c r="N33" s="213"/>
      <c r="O33" s="213"/>
      <c r="P33" s="213"/>
    </row>
    <row r="34" spans="2:16" ht="13">
      <c r="B34" s="250" t="s">
        <v>128</v>
      </c>
      <c r="C34" s="213"/>
      <c r="D34" s="213"/>
      <c r="E34" s="213"/>
      <c r="F34" s="213"/>
      <c r="G34" s="213"/>
      <c r="H34" s="213"/>
      <c r="I34" s="213"/>
      <c r="J34" s="213"/>
      <c r="K34" s="213"/>
      <c r="L34" s="213"/>
      <c r="M34" s="214"/>
      <c r="N34" s="213"/>
      <c r="O34" s="213"/>
      <c r="P34" s="213"/>
    </row>
    <row r="35" spans="2:16">
      <c r="B35" s="365" t="s">
        <v>123</v>
      </c>
      <c r="C35" s="364"/>
      <c r="D35" s="364"/>
      <c r="E35" s="364"/>
      <c r="F35" s="364" t="s">
        <v>124</v>
      </c>
      <c r="G35" s="364"/>
      <c r="H35" s="364"/>
      <c r="I35" s="364"/>
      <c r="J35" s="364" t="s">
        <v>125</v>
      </c>
      <c r="K35" s="364"/>
      <c r="L35" s="364"/>
      <c r="M35" s="366"/>
    </row>
    <row r="36" spans="2:16" ht="29">
      <c r="B36" s="238" t="s">
        <v>23</v>
      </c>
      <c r="C36" s="363" t="s">
        <v>126</v>
      </c>
      <c r="D36" s="363"/>
      <c r="E36" s="237" t="s">
        <v>147</v>
      </c>
      <c r="F36" s="237" t="s">
        <v>23</v>
      </c>
      <c r="G36" s="363" t="s">
        <v>126</v>
      </c>
      <c r="H36" s="363"/>
      <c r="I36" s="237" t="s">
        <v>147</v>
      </c>
      <c r="J36" s="237" t="s">
        <v>23</v>
      </c>
      <c r="K36" s="363" t="s">
        <v>126</v>
      </c>
      <c r="L36" s="363"/>
      <c r="M36" s="241" t="s">
        <v>147</v>
      </c>
    </row>
    <row r="37" spans="2:16">
      <c r="B37" s="215">
        <v>0.51281319846212914</v>
      </c>
      <c r="C37" s="213">
        <v>-5.99</v>
      </c>
      <c r="D37" s="213">
        <f t="shared" ref="D37:D48" si="0">C37*-1</f>
        <v>5.99</v>
      </c>
      <c r="E37" s="236">
        <f t="shared" ref="E37:E48" si="1">$E$33-D37</f>
        <v>12.499999999999998</v>
      </c>
      <c r="F37" s="213">
        <v>0.68894115726126726</v>
      </c>
      <c r="G37" s="213">
        <v>-5.99</v>
      </c>
      <c r="H37" s="213">
        <f t="shared" ref="H37:H48" si="2">G37*-1</f>
        <v>5.99</v>
      </c>
      <c r="I37" s="236">
        <f t="shared" ref="I37:I48" si="3">$E$33-H37</f>
        <v>12.499999999999998</v>
      </c>
      <c r="J37" s="213">
        <v>0.71905432560311278</v>
      </c>
      <c r="K37" s="213">
        <v>-5.99</v>
      </c>
      <c r="L37" s="213">
        <f t="shared" ref="L37:L48" si="4">K37*-1</f>
        <v>5.99</v>
      </c>
      <c r="M37" s="242">
        <f t="shared" ref="M37:M48" si="5">$E$33-L37</f>
        <v>12.499999999999998</v>
      </c>
    </row>
    <row r="38" spans="2:16">
      <c r="B38" s="215">
        <v>0.46075244209224575</v>
      </c>
      <c r="C38" s="213">
        <v>-6.99</v>
      </c>
      <c r="D38" s="213">
        <f t="shared" si="0"/>
        <v>6.99</v>
      </c>
      <c r="E38" s="236">
        <f t="shared" si="1"/>
        <v>11.499999999999998</v>
      </c>
      <c r="F38" s="213">
        <v>0.61899990409359318</v>
      </c>
      <c r="G38" s="213">
        <v>-6.99</v>
      </c>
      <c r="H38" s="213">
        <f t="shared" si="2"/>
        <v>6.99</v>
      </c>
      <c r="I38" s="236">
        <f t="shared" si="3"/>
        <v>11.499999999999998</v>
      </c>
      <c r="J38" s="213">
        <v>0.64605598590710545</v>
      </c>
      <c r="K38" s="213">
        <v>-6.99</v>
      </c>
      <c r="L38" s="213">
        <f t="shared" si="4"/>
        <v>6.99</v>
      </c>
      <c r="M38" s="242">
        <f t="shared" si="5"/>
        <v>11.499999999999998</v>
      </c>
    </row>
    <row r="39" spans="2:16">
      <c r="B39" s="215">
        <v>1.8282596540123333</v>
      </c>
      <c r="C39" s="213">
        <v>-7.99</v>
      </c>
      <c r="D39" s="213">
        <f t="shared" si="0"/>
        <v>7.99</v>
      </c>
      <c r="E39" s="236">
        <f t="shared" si="1"/>
        <v>10.499999999999998</v>
      </c>
      <c r="F39" s="213">
        <v>1.8477269363603419</v>
      </c>
      <c r="G39" s="213">
        <v>-7.99</v>
      </c>
      <c r="H39" s="213">
        <f t="shared" si="2"/>
        <v>7.99</v>
      </c>
      <c r="I39" s="236">
        <f t="shared" si="3"/>
        <v>10.499999999999998</v>
      </c>
      <c r="J39" s="213">
        <v>1.7694464348773877</v>
      </c>
      <c r="K39" s="213">
        <v>-7.99</v>
      </c>
      <c r="L39" s="213">
        <f t="shared" si="4"/>
        <v>7.99</v>
      </c>
      <c r="M39" s="242">
        <f t="shared" si="5"/>
        <v>10.499999999999998</v>
      </c>
    </row>
    <row r="40" spans="2:16">
      <c r="B40" s="215">
        <v>2</v>
      </c>
      <c r="C40" s="213">
        <v>-8.99</v>
      </c>
      <c r="D40" s="213">
        <f t="shared" si="0"/>
        <v>8.99</v>
      </c>
      <c r="E40" s="236">
        <f t="shared" si="1"/>
        <v>9.4999999999999982</v>
      </c>
      <c r="F40" s="213">
        <v>2</v>
      </c>
      <c r="G40" s="213">
        <v>-8.99</v>
      </c>
      <c r="H40" s="213">
        <f t="shared" si="2"/>
        <v>8.99</v>
      </c>
      <c r="I40" s="236">
        <f t="shared" si="3"/>
        <v>9.4999999999999982</v>
      </c>
      <c r="J40" s="213">
        <v>2</v>
      </c>
      <c r="K40" s="213">
        <v>-8.99</v>
      </c>
      <c r="L40" s="213">
        <f t="shared" si="4"/>
        <v>8.99</v>
      </c>
      <c r="M40" s="242">
        <f t="shared" si="5"/>
        <v>9.4999999999999982</v>
      </c>
    </row>
    <row r="41" spans="2:16">
      <c r="B41" s="215">
        <v>2</v>
      </c>
      <c r="C41" s="213">
        <v>-9.99</v>
      </c>
      <c r="D41" s="213">
        <f t="shared" si="0"/>
        <v>9.99</v>
      </c>
      <c r="E41" s="236">
        <f t="shared" si="1"/>
        <v>8.4999999999999982</v>
      </c>
      <c r="F41" s="213">
        <v>2</v>
      </c>
      <c r="G41" s="213">
        <v>-9.99</v>
      </c>
      <c r="H41" s="213">
        <f t="shared" si="2"/>
        <v>9.99</v>
      </c>
      <c r="I41" s="236">
        <f t="shared" si="3"/>
        <v>8.4999999999999982</v>
      </c>
      <c r="J41" s="213">
        <v>2</v>
      </c>
      <c r="K41" s="213">
        <v>-9.99</v>
      </c>
      <c r="L41" s="213">
        <f t="shared" si="4"/>
        <v>9.99</v>
      </c>
      <c r="M41" s="242">
        <f t="shared" si="5"/>
        <v>8.4999999999999982</v>
      </c>
    </row>
    <row r="42" spans="2:16">
      <c r="B42" s="215">
        <v>2</v>
      </c>
      <c r="C42" s="213">
        <v>-10.99</v>
      </c>
      <c r="D42" s="213">
        <f t="shared" si="0"/>
        <v>10.99</v>
      </c>
      <c r="E42" s="236">
        <f t="shared" si="1"/>
        <v>7.4999999999999982</v>
      </c>
      <c r="F42" s="213">
        <v>2</v>
      </c>
      <c r="G42" s="213">
        <v>-10.99</v>
      </c>
      <c r="H42" s="213">
        <f t="shared" si="2"/>
        <v>10.99</v>
      </c>
      <c r="I42" s="236">
        <f t="shared" si="3"/>
        <v>7.4999999999999982</v>
      </c>
      <c r="J42" s="213">
        <v>2</v>
      </c>
      <c r="K42" s="213">
        <v>-10.99</v>
      </c>
      <c r="L42" s="213">
        <f t="shared" si="4"/>
        <v>10.99</v>
      </c>
      <c r="M42" s="242">
        <f t="shared" si="5"/>
        <v>7.4999999999999982</v>
      </c>
    </row>
    <row r="43" spans="2:16">
      <c r="B43" s="215">
        <v>2</v>
      </c>
      <c r="C43" s="213">
        <v>-12.09</v>
      </c>
      <c r="D43" s="213">
        <f t="shared" si="0"/>
        <v>12.09</v>
      </c>
      <c r="E43" s="236">
        <f t="shared" si="1"/>
        <v>6.3999999999999986</v>
      </c>
      <c r="F43" s="213">
        <v>2</v>
      </c>
      <c r="G43" s="213">
        <v>-12.09</v>
      </c>
      <c r="H43" s="213">
        <f t="shared" si="2"/>
        <v>12.09</v>
      </c>
      <c r="I43" s="236">
        <f t="shared" si="3"/>
        <v>6.3999999999999986</v>
      </c>
      <c r="J43" s="213">
        <v>2</v>
      </c>
      <c r="K43" s="213">
        <v>-12.09</v>
      </c>
      <c r="L43" s="213">
        <f t="shared" si="4"/>
        <v>12.09</v>
      </c>
      <c r="M43" s="242">
        <f t="shared" si="5"/>
        <v>6.3999999999999986</v>
      </c>
    </row>
    <row r="44" spans="2:16">
      <c r="B44" s="215">
        <v>2</v>
      </c>
      <c r="C44" s="213">
        <v>-13.09</v>
      </c>
      <c r="D44" s="213">
        <f t="shared" si="0"/>
        <v>13.09</v>
      </c>
      <c r="E44" s="236">
        <f t="shared" si="1"/>
        <v>5.3999999999999986</v>
      </c>
      <c r="F44" s="213">
        <v>2</v>
      </c>
      <c r="G44" s="213">
        <v>-13.09</v>
      </c>
      <c r="H44" s="213">
        <f t="shared" si="2"/>
        <v>13.09</v>
      </c>
      <c r="I44" s="236">
        <f t="shared" si="3"/>
        <v>5.3999999999999986</v>
      </c>
      <c r="J44" s="213">
        <v>2</v>
      </c>
      <c r="K44" s="213">
        <v>-13.09</v>
      </c>
      <c r="L44" s="213">
        <f t="shared" si="4"/>
        <v>13.09</v>
      </c>
      <c r="M44" s="242">
        <f t="shared" si="5"/>
        <v>5.3999999999999986</v>
      </c>
    </row>
    <row r="45" spans="2:16">
      <c r="B45" s="215">
        <v>2</v>
      </c>
      <c r="C45" s="213">
        <v>-13.99</v>
      </c>
      <c r="D45" s="213">
        <f t="shared" si="0"/>
        <v>13.99</v>
      </c>
      <c r="E45" s="236">
        <f t="shared" si="1"/>
        <v>4.4999999999999982</v>
      </c>
      <c r="F45" s="213">
        <v>2</v>
      </c>
      <c r="G45" s="213">
        <v>-13.99</v>
      </c>
      <c r="H45" s="213">
        <f t="shared" si="2"/>
        <v>13.99</v>
      </c>
      <c r="I45" s="236">
        <f t="shared" si="3"/>
        <v>4.4999999999999982</v>
      </c>
      <c r="J45" s="213">
        <v>2</v>
      </c>
      <c r="K45" s="213">
        <v>-13.99</v>
      </c>
      <c r="L45" s="213">
        <f t="shared" si="4"/>
        <v>13.99</v>
      </c>
      <c r="M45" s="242">
        <f t="shared" si="5"/>
        <v>4.4999999999999982</v>
      </c>
    </row>
    <row r="46" spans="2:16">
      <c r="B46" s="215">
        <v>2</v>
      </c>
      <c r="C46" s="213">
        <v>-14.99</v>
      </c>
      <c r="D46" s="213">
        <f t="shared" si="0"/>
        <v>14.99</v>
      </c>
      <c r="E46" s="236">
        <f t="shared" si="1"/>
        <v>3.4999999999999982</v>
      </c>
      <c r="F46" s="213">
        <v>2</v>
      </c>
      <c r="G46" s="213">
        <v>-14.99</v>
      </c>
      <c r="H46" s="213">
        <f t="shared" si="2"/>
        <v>14.99</v>
      </c>
      <c r="I46" s="236">
        <f t="shared" si="3"/>
        <v>3.4999999999999982</v>
      </c>
      <c r="J46" s="213">
        <v>2</v>
      </c>
      <c r="K46" s="213">
        <v>-14.99</v>
      </c>
      <c r="L46" s="213">
        <f t="shared" si="4"/>
        <v>14.99</v>
      </c>
      <c r="M46" s="242">
        <f t="shared" si="5"/>
        <v>3.4999999999999982</v>
      </c>
    </row>
    <row r="47" spans="2:16">
      <c r="B47" s="215">
        <v>2</v>
      </c>
      <c r="C47" s="213">
        <v>-15.99</v>
      </c>
      <c r="D47" s="213">
        <f t="shared" si="0"/>
        <v>15.99</v>
      </c>
      <c r="E47" s="236">
        <f t="shared" si="1"/>
        <v>2.4999999999999982</v>
      </c>
      <c r="F47" s="213">
        <v>2</v>
      </c>
      <c r="G47" s="213">
        <v>-15.99</v>
      </c>
      <c r="H47" s="213">
        <f t="shared" si="2"/>
        <v>15.99</v>
      </c>
      <c r="I47" s="236">
        <f t="shared" si="3"/>
        <v>2.4999999999999982</v>
      </c>
      <c r="J47" s="213">
        <v>2</v>
      </c>
      <c r="K47" s="213">
        <v>-15.99</v>
      </c>
      <c r="L47" s="213">
        <f t="shared" si="4"/>
        <v>15.99</v>
      </c>
      <c r="M47" s="242">
        <f t="shared" si="5"/>
        <v>2.4999999999999982</v>
      </c>
    </row>
    <row r="48" spans="2:16" ht="13" thickBot="1">
      <c r="B48" s="216">
        <v>2</v>
      </c>
      <c r="C48" s="217">
        <v>-16.989999999999998</v>
      </c>
      <c r="D48" s="217">
        <f t="shared" si="0"/>
        <v>16.989999999999998</v>
      </c>
      <c r="E48" s="243">
        <f t="shared" si="1"/>
        <v>1.5</v>
      </c>
      <c r="F48" s="217">
        <v>2</v>
      </c>
      <c r="G48" s="217">
        <v>-16.989999999999998</v>
      </c>
      <c r="H48" s="217">
        <f t="shared" si="2"/>
        <v>16.989999999999998</v>
      </c>
      <c r="I48" s="243">
        <f t="shared" si="3"/>
        <v>1.5</v>
      </c>
      <c r="J48" s="217">
        <v>2</v>
      </c>
      <c r="K48" s="217">
        <v>-16.989999999999998</v>
      </c>
      <c r="L48" s="217">
        <f t="shared" si="4"/>
        <v>16.989999999999998</v>
      </c>
      <c r="M48" s="244">
        <f t="shared" si="5"/>
        <v>1.5</v>
      </c>
    </row>
  </sheetData>
  <mergeCells count="6">
    <mergeCell ref="C36:D36"/>
    <mergeCell ref="G36:H36"/>
    <mergeCell ref="F35:I35"/>
    <mergeCell ref="B35:E35"/>
    <mergeCell ref="K36:L36"/>
    <mergeCell ref="J35:M35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ED131-89A6-40A9-96A6-25F6C4008474}">
  <dimension ref="B2:AN132"/>
  <sheetViews>
    <sheetView topLeftCell="P1" zoomScaleNormal="100" workbookViewId="0">
      <selection activeCell="AL64" sqref="AL64"/>
    </sheetView>
  </sheetViews>
  <sheetFormatPr defaultRowHeight="12.5"/>
  <cols>
    <col min="2" max="2" width="10" bestFit="1" customWidth="1"/>
    <col min="3" max="3" width="19.90625" bestFit="1" customWidth="1"/>
    <col min="4" max="4" width="6.08984375" style="209" bestFit="1" customWidth="1"/>
    <col min="5" max="5" width="6.08984375" style="209" customWidth="1"/>
    <col min="6" max="6" width="5.54296875" bestFit="1" customWidth="1"/>
    <col min="7" max="7" width="6.08984375" bestFit="1" customWidth="1"/>
    <col min="8" max="8" width="6" bestFit="1" customWidth="1"/>
    <col min="9" max="10" width="6.08984375" bestFit="1" customWidth="1"/>
    <col min="11" max="11" width="6" style="209" bestFit="1" customWidth="1"/>
    <col min="12" max="12" width="6.08984375" bestFit="1" customWidth="1"/>
    <col min="13" max="13" width="7.453125" customWidth="1"/>
    <col min="14" max="14" width="6.08984375" bestFit="1" customWidth="1"/>
    <col min="15" max="15" width="6.08984375" customWidth="1"/>
    <col min="17" max="17" width="8.90625" style="209" customWidth="1"/>
    <col min="23" max="23" width="8.90625" style="209" customWidth="1"/>
    <col min="24" max="24" width="6.81640625" customWidth="1"/>
    <col min="26" max="26" width="6.08984375" customWidth="1"/>
    <col min="29" max="29" width="6.08984375" customWidth="1"/>
  </cols>
  <sheetData>
    <row r="2" spans="2:27">
      <c r="B2" s="218" t="s">
        <v>138</v>
      </c>
      <c r="C2" s="218" t="s">
        <v>137</v>
      </c>
      <c r="D2" s="218">
        <v>5.5</v>
      </c>
      <c r="E2" s="218">
        <v>6</v>
      </c>
      <c r="F2" s="218">
        <v>6.2</v>
      </c>
      <c r="G2" s="218">
        <v>6.5</v>
      </c>
      <c r="H2" s="218">
        <v>7</v>
      </c>
      <c r="I2" s="218">
        <v>7.5</v>
      </c>
      <c r="J2" s="218">
        <v>8</v>
      </c>
      <c r="K2" s="218">
        <v>8.5</v>
      </c>
      <c r="O2" s="220">
        <v>6</v>
      </c>
      <c r="P2" s="220">
        <v>1.32</v>
      </c>
    </row>
    <row r="3" spans="2:27">
      <c r="B3" s="367" t="s">
        <v>139</v>
      </c>
      <c r="C3" s="218" t="s">
        <v>135</v>
      </c>
      <c r="D3" s="218">
        <v>1.43</v>
      </c>
      <c r="E3" s="218">
        <v>1.32</v>
      </c>
      <c r="F3" s="218">
        <f>_xlfn.FORECAST.LINEAR(F2,P2:P3,O2:O3)</f>
        <v>1.2679999999999998</v>
      </c>
      <c r="G3" s="218">
        <v>1.19</v>
      </c>
      <c r="H3" s="218">
        <v>1.08</v>
      </c>
      <c r="I3" s="218">
        <v>1</v>
      </c>
      <c r="J3" s="218">
        <v>0.94</v>
      </c>
      <c r="K3" s="218">
        <v>0.89</v>
      </c>
      <c r="O3" s="220">
        <v>6.5</v>
      </c>
      <c r="P3" s="220">
        <v>1.19</v>
      </c>
    </row>
    <row r="4" spans="2:27">
      <c r="B4" s="367"/>
      <c r="C4" s="218" t="s">
        <v>136</v>
      </c>
      <c r="D4" s="219">
        <f>10^2.24/(D2^2.56)</f>
        <v>2.2114214353149442</v>
      </c>
      <c r="E4" s="219">
        <f t="shared" ref="E4:K4" si="0">10^2.24/(E2^2.56)</f>
        <v>1.7698350799635774</v>
      </c>
      <c r="F4" s="219">
        <f t="shared" si="0"/>
        <v>1.6273361605887691</v>
      </c>
      <c r="G4" s="219">
        <f t="shared" si="0"/>
        <v>1.4419221291650139</v>
      </c>
      <c r="H4" s="219">
        <f t="shared" si="0"/>
        <v>1.192748880379199</v>
      </c>
      <c r="I4" s="219">
        <f t="shared" si="0"/>
        <v>0.99963894091599059</v>
      </c>
      <c r="J4" s="219">
        <f t="shared" si="0"/>
        <v>0.84740229001343259</v>
      </c>
      <c r="K4" s="219">
        <f t="shared" si="0"/>
        <v>0.72558375395246755</v>
      </c>
    </row>
    <row r="5" spans="2:27">
      <c r="B5" s="222"/>
      <c r="C5" s="221" t="s">
        <v>140</v>
      </c>
      <c r="D5" s="222">
        <f>AVERAGE(D3:D4)</f>
        <v>1.8207107176574722</v>
      </c>
      <c r="E5" s="222">
        <f t="shared" ref="E5:K5" si="1">AVERAGE(E3:E4)</f>
        <v>1.5449175399817887</v>
      </c>
      <c r="F5" s="222">
        <f t="shared" si="1"/>
        <v>1.4476680802943844</v>
      </c>
      <c r="G5" s="222">
        <f t="shared" si="1"/>
        <v>1.3159610645825071</v>
      </c>
      <c r="H5" s="222">
        <f t="shared" si="1"/>
        <v>1.1363744401895994</v>
      </c>
      <c r="I5" s="222">
        <f t="shared" si="1"/>
        <v>0.99981947045799524</v>
      </c>
      <c r="J5" s="218">
        <f t="shared" si="1"/>
        <v>0.89370114500671627</v>
      </c>
      <c r="K5" s="222">
        <f t="shared" si="1"/>
        <v>0.80779187697623378</v>
      </c>
    </row>
    <row r="7" spans="2:27">
      <c r="B7" s="209"/>
      <c r="C7" s="209"/>
      <c r="D7" s="369" t="s">
        <v>135</v>
      </c>
      <c r="E7" s="369"/>
      <c r="F7" s="369"/>
      <c r="G7" s="369"/>
      <c r="H7" s="369"/>
      <c r="I7" s="369"/>
      <c r="J7" s="369"/>
      <c r="K7" s="369"/>
      <c r="L7" s="369"/>
      <c r="M7" s="230"/>
      <c r="O7" s="368" t="s">
        <v>136</v>
      </c>
      <c r="P7" s="368"/>
      <c r="Q7" s="368"/>
      <c r="R7" s="368"/>
      <c r="S7" s="368"/>
      <c r="T7" s="368"/>
      <c r="U7" s="368"/>
      <c r="V7" s="368"/>
      <c r="W7" s="368"/>
      <c r="X7" s="230"/>
      <c r="Z7" t="s">
        <v>140</v>
      </c>
      <c r="AA7" s="230"/>
    </row>
    <row r="8" spans="2:27" ht="13.5">
      <c r="B8" s="209" t="s">
        <v>141</v>
      </c>
      <c r="C8" s="209" t="s">
        <v>144</v>
      </c>
      <c r="D8" s="173" t="s">
        <v>0</v>
      </c>
      <c r="E8" s="151" t="s">
        <v>63</v>
      </c>
      <c r="F8" s="151" t="s">
        <v>64</v>
      </c>
      <c r="G8" s="151" t="s">
        <v>117</v>
      </c>
      <c r="H8" s="151" t="s">
        <v>65</v>
      </c>
      <c r="I8" s="151" t="s">
        <v>66</v>
      </c>
      <c r="J8" s="223" t="s">
        <v>67</v>
      </c>
      <c r="K8" s="151" t="s">
        <v>68</v>
      </c>
      <c r="L8" s="151" t="s">
        <v>69</v>
      </c>
      <c r="M8" s="231" t="s">
        <v>142</v>
      </c>
      <c r="O8" s="227" t="s">
        <v>0</v>
      </c>
      <c r="P8" s="151" t="s">
        <v>63</v>
      </c>
      <c r="Q8" s="151" t="s">
        <v>64</v>
      </c>
      <c r="R8" s="151" t="s">
        <v>117</v>
      </c>
      <c r="S8" s="151" t="s">
        <v>65</v>
      </c>
      <c r="T8" s="151" t="s">
        <v>66</v>
      </c>
      <c r="U8" s="223" t="s">
        <v>67</v>
      </c>
      <c r="V8" s="151" t="s">
        <v>68</v>
      </c>
      <c r="W8" s="151" t="s">
        <v>69</v>
      </c>
      <c r="X8" s="231" t="s">
        <v>142</v>
      </c>
      <c r="Z8" s="151" t="s">
        <v>117</v>
      </c>
      <c r="AA8" s="231" t="s">
        <v>142</v>
      </c>
    </row>
    <row r="9" spans="2:27">
      <c r="B9" s="209"/>
      <c r="C9" s="209" t="s">
        <v>145</v>
      </c>
      <c r="D9" s="190"/>
      <c r="E9" s="187"/>
      <c r="F9" s="187"/>
      <c r="G9" s="187"/>
      <c r="H9" s="187"/>
      <c r="I9" s="187"/>
      <c r="J9" s="224"/>
      <c r="K9" s="187"/>
      <c r="L9" s="187"/>
      <c r="M9" s="232" t="s">
        <v>143</v>
      </c>
      <c r="O9" s="228"/>
      <c r="P9" s="187"/>
      <c r="Q9" s="187"/>
      <c r="R9" s="187"/>
      <c r="S9" s="187"/>
      <c r="T9" s="187"/>
      <c r="U9" s="224"/>
      <c r="V9" s="187"/>
      <c r="W9" s="187"/>
      <c r="X9" s="232" t="s">
        <v>143</v>
      </c>
      <c r="Z9" s="187"/>
      <c r="AA9" s="232" t="s">
        <v>143</v>
      </c>
    </row>
    <row r="10" spans="2:27">
      <c r="B10" s="209" t="str">
        <f>'All boreholes'!C13</f>
        <v>BH-01</v>
      </c>
      <c r="C10" s="209">
        <f>'All boreholes'!H13</f>
        <v>-0.62</v>
      </c>
      <c r="D10" s="226">
        <f>'All boreholes'!AG13</f>
        <v>0.8957312999999999</v>
      </c>
      <c r="E10">
        <f>J10*$D$3</f>
        <v>0.32639402153018071</v>
      </c>
      <c r="F10">
        <f>J10*$E$3</f>
        <v>0.30128678910478224</v>
      </c>
      <c r="G10">
        <f>J10*$F$3</f>
        <v>0.28941791559459379</v>
      </c>
      <c r="H10">
        <f>J10*$G$3</f>
        <v>0.2716146053293112</v>
      </c>
      <c r="I10">
        <f>J10*$H$3</f>
        <v>0.24650737290391272</v>
      </c>
      <c r="J10" s="225">
        <f>'All boreholes'!AM13</f>
        <v>0.22824756750362288</v>
      </c>
      <c r="K10">
        <f>J10*$J$3</f>
        <v>0.21455271345340549</v>
      </c>
      <c r="L10">
        <f>J10*$K$3</f>
        <v>0.20314033507822438</v>
      </c>
      <c r="M10">
        <f>G10/(1.2*D10)</f>
        <v>0.26925663569959896</v>
      </c>
      <c r="O10" s="209">
        <f>'All boreholes'!AG13</f>
        <v>0.8957312999999999</v>
      </c>
      <c r="P10">
        <f>U10*$D$4</f>
        <v>0.50475156333600635</v>
      </c>
      <c r="Q10">
        <f>U10*$E$4</f>
        <v>0.40396055188426644</v>
      </c>
      <c r="R10">
        <f>U10*$F$4</f>
        <v>0.37143552016507153</v>
      </c>
      <c r="S10">
        <f>U10*$G$4</f>
        <v>0.32911521851155917</v>
      </c>
      <c r="T10">
        <f>U10*$H$4</f>
        <v>0.27224203058922186</v>
      </c>
      <c r="U10" s="225">
        <f>'All boreholes'!AM13</f>
        <v>0.22824756750362288</v>
      </c>
      <c r="V10">
        <f>U10*$J$4</f>
        <v>0.19341751139256558</v>
      </c>
      <c r="W10">
        <f>U10*$K$4</f>
        <v>0.16561272685979794</v>
      </c>
      <c r="X10">
        <f>R10/(1.2*O10)</f>
        <v>0.3455607726754214</v>
      </c>
      <c r="Z10">
        <f>U10*$F$5</f>
        <v>0.33042671787983263</v>
      </c>
      <c r="AA10">
        <f>Z10/(1.2*O10)</f>
        <v>0.30740870418751015</v>
      </c>
    </row>
    <row r="11" spans="2:27">
      <c r="B11" s="209" t="str">
        <f>'All boreholes'!C14</f>
        <v>BH-01</v>
      </c>
      <c r="C11" s="209">
        <f>'All boreholes'!H14</f>
        <v>-1.1200000000000001</v>
      </c>
      <c r="D11" s="226">
        <f>'All boreholes'!AG14</f>
        <v>0.89228879999999988</v>
      </c>
      <c r="E11">
        <f t="shared" ref="E11:E74" si="2">J11*$D$3</f>
        <v>0.18758737373737375</v>
      </c>
      <c r="F11">
        <f t="shared" ref="F11:F74" si="3">J11*$E$3</f>
        <v>0.17315757575757579</v>
      </c>
      <c r="G11">
        <f t="shared" ref="G11:G74" si="4">J11*$F$3</f>
        <v>0.16633621671258034</v>
      </c>
      <c r="H11">
        <f t="shared" ref="H11:H74" si="5">J11*$G$3</f>
        <v>0.15610417814508723</v>
      </c>
      <c r="I11">
        <f t="shared" ref="I11:I74" si="6">J11*$H$3</f>
        <v>0.14167438016528927</v>
      </c>
      <c r="J11" s="225">
        <f>'All boreholes'!AM14</f>
        <v>0.1311799816345271</v>
      </c>
      <c r="K11">
        <f t="shared" ref="K11:K74" si="7">J11*$J$3</f>
        <v>0.12330918273645547</v>
      </c>
      <c r="L11">
        <f t="shared" ref="L11:L74" si="8">J11*$K$3</f>
        <v>0.11675018365472913</v>
      </c>
      <c r="M11">
        <f t="shared" ref="M11:M74" si="9">G11/(1.2*D11)</f>
        <v>0.15534602017547491</v>
      </c>
      <c r="O11" s="209">
        <f>'All boreholes'!AG14</f>
        <v>0.89228879999999988</v>
      </c>
      <c r="P11">
        <f t="shared" ref="P11:P74" si="10">U11*$D$4</f>
        <v>0.29009422327081391</v>
      </c>
      <c r="Q11">
        <f t="shared" ref="Q11:Q74" si="11">U11*$E$4</f>
        <v>0.23216693328576388</v>
      </c>
      <c r="R11">
        <f t="shared" ref="R11:R74" si="12">U11*$F$4</f>
        <v>0.21347392765923656</v>
      </c>
      <c r="S11">
        <f t="shared" ref="S11:S74" si="13">U11*$G$4</f>
        <v>0.18915131842228475</v>
      </c>
      <c r="T11">
        <f t="shared" ref="T11:T74" si="14">U11*$H$4</f>
        <v>0.1564647762227461</v>
      </c>
      <c r="U11" s="225">
        <f>'All boreholes'!AM14</f>
        <v>0.1311799816345271</v>
      </c>
      <c r="V11">
        <f t="shared" ref="V11:V74" si="15">U11*$J$4</f>
        <v>0.11116221684101829</v>
      </c>
      <c r="W11">
        <f t="shared" ref="W11:W74" si="16">U11*$K$4</f>
        <v>9.5182063517795928E-2</v>
      </c>
      <c r="X11">
        <f t="shared" ref="X11:X74" si="17">R11/(1.2*O11)</f>
        <v>0.19936923977531767</v>
      </c>
      <c r="Z11">
        <f t="shared" ref="Z11:Z74" si="18">U11*$F$5</f>
        <v>0.18990507218590846</v>
      </c>
      <c r="AA11">
        <f t="shared" ref="AA11:AA74" si="19">Z11/(1.2*O11)</f>
        <v>0.17735762997539631</v>
      </c>
    </row>
    <row r="12" spans="2:27">
      <c r="B12" s="209" t="str">
        <f>'All boreholes'!C15</f>
        <v>BH-01</v>
      </c>
      <c r="C12" s="209">
        <f>'All boreholes'!H15</f>
        <v>-1.62</v>
      </c>
      <c r="D12" s="226">
        <f>'All boreholes'!AG15</f>
        <v>0.88884629999999998</v>
      </c>
      <c r="E12" t="e">
        <f t="shared" si="2"/>
        <v>#N/A</v>
      </c>
      <c r="F12" t="e">
        <f t="shared" si="3"/>
        <v>#N/A</v>
      </c>
      <c r="G12" t="e">
        <f t="shared" si="4"/>
        <v>#N/A</v>
      </c>
      <c r="H12" t="e">
        <f t="shared" si="5"/>
        <v>#N/A</v>
      </c>
      <c r="I12" t="e">
        <f t="shared" si="6"/>
        <v>#N/A</v>
      </c>
      <c r="J12" s="225" t="e">
        <f>'All boreholes'!AM15</f>
        <v>#N/A</v>
      </c>
      <c r="K12" t="e">
        <f t="shared" si="7"/>
        <v>#N/A</v>
      </c>
      <c r="L12" t="e">
        <f t="shared" si="8"/>
        <v>#N/A</v>
      </c>
      <c r="M12" t="e">
        <f t="shared" si="9"/>
        <v>#N/A</v>
      </c>
      <c r="O12" s="209">
        <f>'All boreholes'!AG15</f>
        <v>0.88884629999999998</v>
      </c>
      <c r="P12" t="e">
        <f t="shared" si="10"/>
        <v>#N/A</v>
      </c>
      <c r="Q12" t="e">
        <f t="shared" si="11"/>
        <v>#N/A</v>
      </c>
      <c r="R12" t="e">
        <f t="shared" si="12"/>
        <v>#N/A</v>
      </c>
      <c r="S12" t="e">
        <f t="shared" si="13"/>
        <v>#N/A</v>
      </c>
      <c r="T12" t="e">
        <f t="shared" si="14"/>
        <v>#N/A</v>
      </c>
      <c r="U12" s="225" t="e">
        <f>'All boreholes'!AM15</f>
        <v>#N/A</v>
      </c>
      <c r="V12" t="e">
        <f t="shared" si="15"/>
        <v>#N/A</v>
      </c>
      <c r="W12" t="e">
        <f t="shared" si="16"/>
        <v>#N/A</v>
      </c>
      <c r="X12" t="e">
        <f t="shared" si="17"/>
        <v>#N/A</v>
      </c>
      <c r="Z12" t="e">
        <f t="shared" si="18"/>
        <v>#N/A</v>
      </c>
      <c r="AA12" t="e">
        <f t="shared" si="19"/>
        <v>#N/A</v>
      </c>
    </row>
    <row r="13" spans="2:27">
      <c r="B13" s="209" t="str">
        <f>'All boreholes'!C16</f>
        <v>BH-01</v>
      </c>
      <c r="C13" s="209">
        <f>'All boreholes'!H16</f>
        <v>-2.12</v>
      </c>
      <c r="D13" s="226">
        <f>'All boreholes'!AG16</f>
        <v>0.88540379999999996</v>
      </c>
      <c r="E13">
        <f t="shared" si="2"/>
        <v>0.21473541243946648</v>
      </c>
      <c r="F13">
        <f t="shared" si="3"/>
        <v>0.19821730379027677</v>
      </c>
      <c r="G13">
        <f t="shared" si="4"/>
        <v>0.19040874333793251</v>
      </c>
      <c r="H13">
        <f t="shared" si="5"/>
        <v>0.17869590265941618</v>
      </c>
      <c r="I13">
        <f t="shared" si="6"/>
        <v>0.16217779401022644</v>
      </c>
      <c r="J13" s="225">
        <f>'All boreholes'!AM16</f>
        <v>0.150164624083543</v>
      </c>
      <c r="K13">
        <f t="shared" si="7"/>
        <v>0.14115474663853042</v>
      </c>
      <c r="L13">
        <f t="shared" si="8"/>
        <v>0.13364651543435327</v>
      </c>
      <c r="M13">
        <f t="shared" si="9"/>
        <v>0.17921083327359838</v>
      </c>
      <c r="O13" s="209">
        <f>'All boreholes'!AG16</f>
        <v>0.88540379999999996</v>
      </c>
      <c r="P13">
        <f t="shared" si="10"/>
        <v>0.3320772685243577</v>
      </c>
      <c r="Q13">
        <f t="shared" si="11"/>
        <v>0.26576661947259789</v>
      </c>
      <c r="R13">
        <f t="shared" si="12"/>
        <v>0.24436832281236867</v>
      </c>
      <c r="S13">
        <f t="shared" si="13"/>
        <v>0.21652569448380626</v>
      </c>
      <c r="T13">
        <f t="shared" si="14"/>
        <v>0.17910868724820922</v>
      </c>
      <c r="U13" s="225">
        <f>'All boreholes'!AM16</f>
        <v>0.150164624083543</v>
      </c>
      <c r="V13">
        <f t="shared" si="15"/>
        <v>0.12724984632740058</v>
      </c>
      <c r="W13">
        <f t="shared" si="16"/>
        <v>0.10895701165339824</v>
      </c>
      <c r="X13">
        <f t="shared" si="17"/>
        <v>0.22999705785123944</v>
      </c>
      <c r="Z13">
        <f t="shared" si="18"/>
        <v>0.21738853307515058</v>
      </c>
      <c r="AA13">
        <f t="shared" si="19"/>
        <v>0.2046039455624189</v>
      </c>
    </row>
    <row r="14" spans="2:27">
      <c r="B14" s="209" t="str">
        <f>'All boreholes'!C17</f>
        <v>BH-01</v>
      </c>
      <c r="C14" s="209">
        <f>'All boreholes'!H17</f>
        <v>-2.62</v>
      </c>
      <c r="D14" s="226">
        <f>'All boreholes'!AG17</f>
        <v>0.98434019424920105</v>
      </c>
      <c r="E14">
        <f t="shared" si="2"/>
        <v>0.34607185963107995</v>
      </c>
      <c r="F14">
        <f t="shared" si="3"/>
        <v>0.31945094735176616</v>
      </c>
      <c r="G14">
        <f t="shared" si="4"/>
        <v>0.30686651609245408</v>
      </c>
      <c r="H14">
        <f t="shared" si="5"/>
        <v>0.28798986920348613</v>
      </c>
      <c r="I14">
        <f t="shared" si="6"/>
        <v>0.26136895692417234</v>
      </c>
      <c r="J14" s="225">
        <f>'All boreholes'!AM17</f>
        <v>0.24200829344830768</v>
      </c>
      <c r="K14">
        <f t="shared" si="7"/>
        <v>0.22748779584140921</v>
      </c>
      <c r="L14">
        <f t="shared" si="8"/>
        <v>0.21538738116899384</v>
      </c>
      <c r="M14">
        <f t="shared" si="9"/>
        <v>0.25979036337001565</v>
      </c>
      <c r="O14" s="209">
        <f>'All boreholes'!AG17</f>
        <v>0.98434019424920105</v>
      </c>
      <c r="P14">
        <f t="shared" si="10"/>
        <v>0.53518232765557683</v>
      </c>
      <c r="Q14">
        <f t="shared" si="11"/>
        <v>0.42831476738693453</v>
      </c>
      <c r="R14">
        <f t="shared" si="12"/>
        <v>0.39382884709080918</v>
      </c>
      <c r="S14">
        <f t="shared" si="13"/>
        <v>0.34895711376457533</v>
      </c>
      <c r="T14">
        <f t="shared" si="14"/>
        <v>0.28865512105294966</v>
      </c>
      <c r="U14" s="225">
        <f>'All boreholes'!AM17</f>
        <v>0.24200829344830768</v>
      </c>
      <c r="V14">
        <f t="shared" si="15"/>
        <v>0.20507838207033874</v>
      </c>
      <c r="W14">
        <f t="shared" si="16"/>
        <v>0.17559728604785343</v>
      </c>
      <c r="X14">
        <f t="shared" si="17"/>
        <v>0.33341187104457615</v>
      </c>
      <c r="Z14">
        <f t="shared" si="18"/>
        <v>0.35034768159163165</v>
      </c>
      <c r="AA14">
        <f t="shared" si="19"/>
        <v>0.29660111720729593</v>
      </c>
    </row>
    <row r="15" spans="2:27">
      <c r="B15" s="209" t="str">
        <f>'All boreholes'!C18</f>
        <v>BH-01</v>
      </c>
      <c r="C15" s="209">
        <f>'All boreholes'!H18</f>
        <v>-3.12</v>
      </c>
      <c r="D15" s="226">
        <f>'All boreholes'!AG18</f>
        <v>1.0644577304854368</v>
      </c>
      <c r="E15">
        <f t="shared" si="2"/>
        <v>0.17451849815929127</v>
      </c>
      <c r="F15">
        <f t="shared" si="3"/>
        <v>0.16109399830088425</v>
      </c>
      <c r="G15">
        <f t="shared" si="4"/>
        <v>0.15474787109509183</v>
      </c>
      <c r="H15">
        <f t="shared" si="5"/>
        <v>0.14522868028640323</v>
      </c>
      <c r="I15">
        <f t="shared" si="6"/>
        <v>0.13180418042799621</v>
      </c>
      <c r="J15" s="225">
        <f>'All boreholes'!AM18</f>
        <v>0.12204090780370019</v>
      </c>
      <c r="K15">
        <f t="shared" si="7"/>
        <v>0.11471845333547817</v>
      </c>
      <c r="L15">
        <f t="shared" si="8"/>
        <v>0.10861640794529318</v>
      </c>
      <c r="M15">
        <f t="shared" si="9"/>
        <v>0.12114765626916942</v>
      </c>
      <c r="O15" s="209">
        <f>'All boreholes'!AG18</f>
        <v>1.0644577304854368</v>
      </c>
      <c r="P15">
        <f t="shared" si="10"/>
        <v>0.26988387950239745</v>
      </c>
      <c r="Q15">
        <f t="shared" si="11"/>
        <v>0.21599227982158931</v>
      </c>
      <c r="R15">
        <f t="shared" si="12"/>
        <v>0.19860158234004141</v>
      </c>
      <c r="S15">
        <f t="shared" si="13"/>
        <v>0.17597348562554255</v>
      </c>
      <c r="T15">
        <f t="shared" si="14"/>
        <v>0.14556415614332446</v>
      </c>
      <c r="U15" s="225">
        <f>'All boreholes'!AM18</f>
        <v>0.12204090780370019</v>
      </c>
      <c r="V15">
        <f t="shared" si="15"/>
        <v>0.10341774474817374</v>
      </c>
      <c r="W15">
        <f t="shared" si="16"/>
        <v>8.8550900019975773E-2</v>
      </c>
      <c r="X15">
        <f t="shared" si="17"/>
        <v>0.1554794651556767</v>
      </c>
      <c r="Z15">
        <f t="shared" si="18"/>
        <v>0.17667472671756662</v>
      </c>
      <c r="AA15">
        <f t="shared" si="19"/>
        <v>0.13831356071242307</v>
      </c>
    </row>
    <row r="16" spans="2:27">
      <c r="B16" s="209" t="str">
        <f>'All boreholes'!C19</f>
        <v>BH-01</v>
      </c>
      <c r="C16" s="209">
        <f>'All boreholes'!H19</f>
        <v>-4.12</v>
      </c>
      <c r="D16" s="226">
        <f>'All boreholes'!AG19</f>
        <v>1.1851918336633662</v>
      </c>
      <c r="E16">
        <f t="shared" si="2"/>
        <v>0.18758737373737375</v>
      </c>
      <c r="F16">
        <f t="shared" si="3"/>
        <v>0.17315757575757579</v>
      </c>
      <c r="G16">
        <f t="shared" si="4"/>
        <v>0.16633621671258034</v>
      </c>
      <c r="H16">
        <f t="shared" si="5"/>
        <v>0.15610417814508723</v>
      </c>
      <c r="I16">
        <f t="shared" si="6"/>
        <v>0.14167438016528927</v>
      </c>
      <c r="J16" s="225">
        <f>'All boreholes'!AM19</f>
        <v>0.1311799816345271</v>
      </c>
      <c r="K16">
        <f t="shared" si="7"/>
        <v>0.12330918273645547</v>
      </c>
      <c r="L16">
        <f t="shared" si="8"/>
        <v>0.11675018365472913</v>
      </c>
      <c r="M16">
        <f t="shared" si="9"/>
        <v>0.1169544963018376</v>
      </c>
      <c r="O16" s="209">
        <f>'All boreholes'!AG19</f>
        <v>1.1851918336633662</v>
      </c>
      <c r="P16">
        <f t="shared" si="10"/>
        <v>0.29009422327081391</v>
      </c>
      <c r="Q16">
        <f t="shared" si="11"/>
        <v>0.23216693328576388</v>
      </c>
      <c r="R16">
        <f t="shared" si="12"/>
        <v>0.21347392765923656</v>
      </c>
      <c r="S16">
        <f t="shared" si="13"/>
        <v>0.18915131842228475</v>
      </c>
      <c r="T16">
        <f t="shared" si="14"/>
        <v>0.1564647762227461</v>
      </c>
      <c r="U16" s="225">
        <f>'All boreholes'!AM19</f>
        <v>0.1311799816345271</v>
      </c>
      <c r="V16">
        <f t="shared" si="15"/>
        <v>0.11116221684101829</v>
      </c>
      <c r="W16">
        <f t="shared" si="16"/>
        <v>9.5182063517795928E-2</v>
      </c>
      <c r="X16">
        <f t="shared" si="17"/>
        <v>0.15009801338755979</v>
      </c>
      <c r="Z16">
        <f t="shared" si="18"/>
        <v>0.18990507218590846</v>
      </c>
      <c r="AA16">
        <f t="shared" si="19"/>
        <v>0.13352625484469871</v>
      </c>
    </row>
    <row r="17" spans="2:27">
      <c r="B17" s="209" t="str">
        <f>'All boreholes'!C20</f>
        <v>BH-01</v>
      </c>
      <c r="C17" s="209">
        <f>'All boreholes'!H20</f>
        <v>-5.12</v>
      </c>
      <c r="D17" s="226">
        <f>'All boreholes'!AG20</f>
        <v>1.2704487391678623</v>
      </c>
      <c r="E17">
        <f t="shared" si="2"/>
        <v>0.13716674074074073</v>
      </c>
      <c r="F17">
        <f t="shared" si="3"/>
        <v>0.12661545299145299</v>
      </c>
      <c r="G17">
        <f t="shared" si="4"/>
        <v>0.12162757150997149</v>
      </c>
      <c r="H17">
        <f t="shared" si="5"/>
        <v>0.11414574928774927</v>
      </c>
      <c r="I17">
        <f t="shared" si="6"/>
        <v>0.10359446153846154</v>
      </c>
      <c r="J17" s="225">
        <f>'All boreholes'!AM20</f>
        <v>9.5920797720797715E-2</v>
      </c>
      <c r="K17">
        <f t="shared" si="7"/>
        <v>9.0165549857549848E-2</v>
      </c>
      <c r="L17">
        <f t="shared" si="8"/>
        <v>8.5369509971509966E-2</v>
      </c>
      <c r="M17">
        <f t="shared" si="9"/>
        <v>7.9779928514101872E-2</v>
      </c>
      <c r="O17" s="209">
        <f>'All boreholes'!AG20</f>
        <v>1.2704487391678623</v>
      </c>
      <c r="P17">
        <f t="shared" si="10"/>
        <v>0.21212130817228092</v>
      </c>
      <c r="Q17">
        <f t="shared" si="11"/>
        <v>0.16976399270435816</v>
      </c>
      <c r="R17">
        <f t="shared" si="12"/>
        <v>0.1560953826835749</v>
      </c>
      <c r="S17">
        <f t="shared" si="13"/>
        <v>0.13831032088077927</v>
      </c>
      <c r="T17">
        <f t="shared" si="14"/>
        <v>0.1144094240865611</v>
      </c>
      <c r="U17" s="225">
        <f>'All boreholes'!AM20</f>
        <v>9.5920797720797715E-2</v>
      </c>
      <c r="V17">
        <f t="shared" si="15"/>
        <v>8.1283503648519231E-2</v>
      </c>
      <c r="W17">
        <f t="shared" si="16"/>
        <v>6.9598572492371696E-2</v>
      </c>
      <c r="X17">
        <f t="shared" si="17"/>
        <v>0.10238861400645506</v>
      </c>
      <c r="Z17">
        <f t="shared" si="18"/>
        <v>0.13886147709677318</v>
      </c>
      <c r="AA17">
        <f t="shared" si="19"/>
        <v>9.108427126027846E-2</v>
      </c>
    </row>
    <row r="18" spans="2:27">
      <c r="B18" s="209" t="str">
        <f>'All boreholes'!C21</f>
        <v>BH-01</v>
      </c>
      <c r="C18" s="209">
        <f>'All boreholes'!H21</f>
        <v>-6.12</v>
      </c>
      <c r="D18" s="226">
        <f>'All boreholes'!AG21</f>
        <v>1.332519405076142</v>
      </c>
      <c r="E18">
        <f t="shared" si="2"/>
        <v>0.18758737373737375</v>
      </c>
      <c r="F18">
        <f t="shared" si="3"/>
        <v>0.17315757575757579</v>
      </c>
      <c r="G18">
        <f t="shared" si="4"/>
        <v>0.16633621671258034</v>
      </c>
      <c r="H18">
        <f t="shared" si="5"/>
        <v>0.15610417814508723</v>
      </c>
      <c r="I18">
        <f t="shared" si="6"/>
        <v>0.14167438016528927</v>
      </c>
      <c r="J18" s="225">
        <f>'All boreholes'!AM21</f>
        <v>0.1311799816345271</v>
      </c>
      <c r="K18">
        <f t="shared" si="7"/>
        <v>0.12330918273645547</v>
      </c>
      <c r="L18">
        <f t="shared" si="8"/>
        <v>0.11675018365472913</v>
      </c>
      <c r="M18">
        <f t="shared" si="9"/>
        <v>0.10402363627809963</v>
      </c>
      <c r="O18" s="209">
        <f>'All boreholes'!AG21</f>
        <v>1.332519405076142</v>
      </c>
      <c r="P18">
        <f t="shared" si="10"/>
        <v>0.29009422327081391</v>
      </c>
      <c r="Q18">
        <f t="shared" si="11"/>
        <v>0.23216693328576388</v>
      </c>
      <c r="R18">
        <f t="shared" si="12"/>
        <v>0.21347392765923656</v>
      </c>
      <c r="S18">
        <f t="shared" si="13"/>
        <v>0.18915131842228475</v>
      </c>
      <c r="T18">
        <f t="shared" si="14"/>
        <v>0.1564647762227461</v>
      </c>
      <c r="U18" s="225">
        <f>'All boreholes'!AM21</f>
        <v>0.1311799816345271</v>
      </c>
      <c r="V18">
        <f t="shared" si="15"/>
        <v>0.11116221684101829</v>
      </c>
      <c r="W18">
        <f t="shared" si="16"/>
        <v>9.5182063517795928E-2</v>
      </c>
      <c r="X18">
        <f t="shared" si="17"/>
        <v>0.1335027010025909</v>
      </c>
      <c r="Z18">
        <f t="shared" si="18"/>
        <v>0.18990507218590846</v>
      </c>
      <c r="AA18">
        <f t="shared" si="19"/>
        <v>0.11876316864034527</v>
      </c>
    </row>
    <row r="19" spans="2:27">
      <c r="B19" s="209" t="str">
        <f>'All boreholes'!C22</f>
        <v>BH-01</v>
      </c>
      <c r="C19" s="209">
        <f>'All boreholes'!H22</f>
        <v>-7.12</v>
      </c>
      <c r="D19" s="226">
        <f>'All boreholes'!AG22</f>
        <v>1.378605018430034</v>
      </c>
      <c r="E19">
        <f t="shared" si="2"/>
        <v>0.27430401234567897</v>
      </c>
      <c r="F19">
        <f t="shared" si="3"/>
        <v>0.25320370370370371</v>
      </c>
      <c r="G19">
        <f t="shared" si="4"/>
        <v>0.24322901234567898</v>
      </c>
      <c r="H19">
        <f t="shared" si="5"/>
        <v>0.22826697530864196</v>
      </c>
      <c r="I19">
        <f t="shared" si="6"/>
        <v>0.20716666666666667</v>
      </c>
      <c r="J19" s="225">
        <f>'All boreholes'!AM22</f>
        <v>0.19182098765432098</v>
      </c>
      <c r="K19">
        <f t="shared" si="7"/>
        <v>0.18031172839506171</v>
      </c>
      <c r="L19">
        <f t="shared" si="8"/>
        <v>0.17072067901234567</v>
      </c>
      <c r="M19">
        <f t="shared" si="9"/>
        <v>0.14702604510480097</v>
      </c>
      <c r="O19" s="209">
        <f>'All boreholes'!AG22</f>
        <v>1.378605018430034</v>
      </c>
      <c r="P19">
        <f t="shared" si="10"/>
        <v>0.4241970438420487</v>
      </c>
      <c r="Q19">
        <f t="shared" si="11"/>
        <v>0.33949151302387759</v>
      </c>
      <c r="R19">
        <f t="shared" si="12"/>
        <v>0.31215722956972836</v>
      </c>
      <c r="S19">
        <f t="shared" si="13"/>
        <v>0.27659092693705439</v>
      </c>
      <c r="T19">
        <f t="shared" si="14"/>
        <v>0.22879426825792351</v>
      </c>
      <c r="U19" s="225">
        <f>'All boreholes'!AM22</f>
        <v>0.19182098765432098</v>
      </c>
      <c r="V19">
        <f t="shared" si="15"/>
        <v>0.16254954421090997</v>
      </c>
      <c r="W19">
        <f t="shared" si="16"/>
        <v>0.13918219230909215</v>
      </c>
      <c r="X19">
        <f t="shared" si="17"/>
        <v>0.18869148245062933</v>
      </c>
      <c r="Z19">
        <f t="shared" si="18"/>
        <v>0.27769312095770365</v>
      </c>
      <c r="AA19">
        <f t="shared" si="19"/>
        <v>0.16785876377771516</v>
      </c>
    </row>
    <row r="20" spans="2:27">
      <c r="B20" s="209">
        <f>'All boreholes'!C23</f>
        <v>0</v>
      </c>
      <c r="C20" s="209">
        <f>'All boreholes'!H23</f>
        <v>0</v>
      </c>
      <c r="D20" s="226">
        <f>'All boreholes'!AG23</f>
        <v>0</v>
      </c>
      <c r="E20">
        <f t="shared" si="2"/>
        <v>0</v>
      </c>
      <c r="F20">
        <f t="shared" si="3"/>
        <v>0</v>
      </c>
      <c r="G20">
        <f t="shared" si="4"/>
        <v>0</v>
      </c>
      <c r="H20">
        <f t="shared" si="5"/>
        <v>0</v>
      </c>
      <c r="I20">
        <f t="shared" si="6"/>
        <v>0</v>
      </c>
      <c r="J20" s="225">
        <f>'All boreholes'!AM23</f>
        <v>0</v>
      </c>
      <c r="K20">
        <f t="shared" si="7"/>
        <v>0</v>
      </c>
      <c r="L20">
        <f t="shared" si="8"/>
        <v>0</v>
      </c>
      <c r="M20" t="e">
        <f t="shared" si="9"/>
        <v>#DIV/0!</v>
      </c>
      <c r="O20" s="209">
        <f>'All boreholes'!AG23</f>
        <v>0</v>
      </c>
      <c r="P20">
        <f t="shared" si="10"/>
        <v>0</v>
      </c>
      <c r="Q20">
        <f t="shared" si="11"/>
        <v>0</v>
      </c>
      <c r="R20">
        <f t="shared" si="12"/>
        <v>0</v>
      </c>
      <c r="S20">
        <f t="shared" si="13"/>
        <v>0</v>
      </c>
      <c r="T20">
        <f t="shared" si="14"/>
        <v>0</v>
      </c>
      <c r="U20" s="225">
        <f>'All boreholes'!AM23</f>
        <v>0</v>
      </c>
      <c r="V20">
        <f t="shared" si="15"/>
        <v>0</v>
      </c>
      <c r="W20">
        <f t="shared" si="16"/>
        <v>0</v>
      </c>
      <c r="X20" t="e">
        <f t="shared" si="17"/>
        <v>#DIV/0!</v>
      </c>
      <c r="Z20">
        <f t="shared" si="18"/>
        <v>0</v>
      </c>
      <c r="AA20" t="e">
        <f t="shared" si="19"/>
        <v>#DIV/0!</v>
      </c>
    </row>
    <row r="21" spans="2:27">
      <c r="B21" s="209">
        <f>'All boreholes'!C24</f>
        <v>0</v>
      </c>
      <c r="C21" s="209">
        <f>'All boreholes'!H24</f>
        <v>0</v>
      </c>
      <c r="D21" s="226">
        <f>'All boreholes'!AG24</f>
        <v>0</v>
      </c>
      <c r="E21">
        <f t="shared" si="2"/>
        <v>0</v>
      </c>
      <c r="F21">
        <f t="shared" si="3"/>
        <v>0</v>
      </c>
      <c r="G21">
        <f t="shared" si="4"/>
        <v>0</v>
      </c>
      <c r="H21">
        <f t="shared" si="5"/>
        <v>0</v>
      </c>
      <c r="I21">
        <f t="shared" si="6"/>
        <v>0</v>
      </c>
      <c r="J21" s="225">
        <f>'All boreholes'!AM24</f>
        <v>0</v>
      </c>
      <c r="K21">
        <f t="shared" si="7"/>
        <v>0</v>
      </c>
      <c r="L21">
        <f t="shared" si="8"/>
        <v>0</v>
      </c>
      <c r="M21" t="e">
        <f t="shared" si="9"/>
        <v>#DIV/0!</v>
      </c>
      <c r="O21" s="209">
        <f>'All boreholes'!AG24</f>
        <v>0</v>
      </c>
      <c r="P21">
        <f t="shared" si="10"/>
        <v>0</v>
      </c>
      <c r="Q21">
        <f t="shared" si="11"/>
        <v>0</v>
      </c>
      <c r="R21">
        <f t="shared" si="12"/>
        <v>0</v>
      </c>
      <c r="S21">
        <f t="shared" si="13"/>
        <v>0</v>
      </c>
      <c r="T21">
        <f t="shared" si="14"/>
        <v>0</v>
      </c>
      <c r="U21" s="225">
        <f>'All boreholes'!AM24</f>
        <v>0</v>
      </c>
      <c r="V21">
        <f t="shared" si="15"/>
        <v>0</v>
      </c>
      <c r="W21">
        <f t="shared" si="16"/>
        <v>0</v>
      </c>
      <c r="X21" t="e">
        <f t="shared" si="17"/>
        <v>#DIV/0!</v>
      </c>
      <c r="Z21">
        <f t="shared" si="18"/>
        <v>0</v>
      </c>
      <c r="AA21" t="e">
        <f t="shared" si="19"/>
        <v>#DIV/0!</v>
      </c>
    </row>
    <row r="22" spans="2:27">
      <c r="B22" s="209">
        <f>'All boreholes'!C25</f>
        <v>0</v>
      </c>
      <c r="C22" s="209">
        <f>'All boreholes'!H25</f>
        <v>0</v>
      </c>
      <c r="D22" s="226">
        <f>'All boreholes'!AG25</f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 s="225">
        <f>'All boreholes'!AM25</f>
        <v>0</v>
      </c>
      <c r="K22">
        <f t="shared" si="7"/>
        <v>0</v>
      </c>
      <c r="L22">
        <f t="shared" si="8"/>
        <v>0</v>
      </c>
      <c r="M22" t="e">
        <f t="shared" si="9"/>
        <v>#DIV/0!</v>
      </c>
      <c r="O22" s="209">
        <f>'All boreholes'!AG25</f>
        <v>0</v>
      </c>
      <c r="P22">
        <f t="shared" si="10"/>
        <v>0</v>
      </c>
      <c r="Q22">
        <f t="shared" si="11"/>
        <v>0</v>
      </c>
      <c r="R22">
        <f t="shared" si="12"/>
        <v>0</v>
      </c>
      <c r="S22">
        <f t="shared" si="13"/>
        <v>0</v>
      </c>
      <c r="T22">
        <f t="shared" si="14"/>
        <v>0</v>
      </c>
      <c r="U22" s="225">
        <f>'All boreholes'!AM25</f>
        <v>0</v>
      </c>
      <c r="V22">
        <f t="shared" si="15"/>
        <v>0</v>
      </c>
      <c r="W22">
        <f t="shared" si="16"/>
        <v>0</v>
      </c>
      <c r="X22" t="e">
        <f t="shared" si="17"/>
        <v>#DIV/0!</v>
      </c>
      <c r="Z22">
        <f t="shared" si="18"/>
        <v>0</v>
      </c>
      <c r="AA22" t="e">
        <f t="shared" si="19"/>
        <v>#DIV/0!</v>
      </c>
    </row>
    <row r="23" spans="2:27">
      <c r="B23" s="209">
        <f>'All boreholes'!C26</f>
        <v>0</v>
      </c>
      <c r="C23" s="209">
        <f>'All boreholes'!H26</f>
        <v>0</v>
      </c>
      <c r="D23" s="226">
        <f>'All boreholes'!AG26</f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 s="225">
        <f>'All boreholes'!AM26</f>
        <v>0</v>
      </c>
      <c r="K23">
        <f t="shared" si="7"/>
        <v>0</v>
      </c>
      <c r="L23">
        <f t="shared" si="8"/>
        <v>0</v>
      </c>
      <c r="M23" t="e">
        <f t="shared" si="9"/>
        <v>#DIV/0!</v>
      </c>
      <c r="O23" s="209">
        <f>'All boreholes'!AG26</f>
        <v>0</v>
      </c>
      <c r="P23">
        <f t="shared" si="10"/>
        <v>0</v>
      </c>
      <c r="Q23">
        <f t="shared" si="11"/>
        <v>0</v>
      </c>
      <c r="R23">
        <f t="shared" si="12"/>
        <v>0</v>
      </c>
      <c r="S23">
        <f t="shared" si="13"/>
        <v>0</v>
      </c>
      <c r="T23">
        <f t="shared" si="14"/>
        <v>0</v>
      </c>
      <c r="U23" s="225">
        <f>'All boreholes'!AM26</f>
        <v>0</v>
      </c>
      <c r="V23">
        <f t="shared" si="15"/>
        <v>0</v>
      </c>
      <c r="W23">
        <f t="shared" si="16"/>
        <v>0</v>
      </c>
      <c r="X23" t="e">
        <f t="shared" si="17"/>
        <v>#DIV/0!</v>
      </c>
      <c r="Z23">
        <f t="shared" si="18"/>
        <v>0</v>
      </c>
      <c r="AA23" t="e">
        <f t="shared" si="19"/>
        <v>#DIV/0!</v>
      </c>
    </row>
    <row r="24" spans="2:27">
      <c r="B24" s="209">
        <f>'All boreholes'!C27</f>
        <v>0</v>
      </c>
      <c r="C24" s="209">
        <f>'All boreholes'!H27</f>
        <v>0</v>
      </c>
      <c r="D24" s="226">
        <f>'All boreholes'!AG27</f>
        <v>0</v>
      </c>
      <c r="E24">
        <f t="shared" si="2"/>
        <v>0</v>
      </c>
      <c r="F24">
        <f t="shared" si="3"/>
        <v>0</v>
      </c>
      <c r="G24">
        <f t="shared" si="4"/>
        <v>0</v>
      </c>
      <c r="H24">
        <f t="shared" si="5"/>
        <v>0</v>
      </c>
      <c r="I24">
        <f t="shared" si="6"/>
        <v>0</v>
      </c>
      <c r="J24" s="225">
        <f>'All boreholes'!AM27</f>
        <v>0</v>
      </c>
      <c r="K24">
        <f t="shared" si="7"/>
        <v>0</v>
      </c>
      <c r="L24">
        <f t="shared" si="8"/>
        <v>0</v>
      </c>
      <c r="M24" t="e">
        <f t="shared" si="9"/>
        <v>#DIV/0!</v>
      </c>
      <c r="O24" s="209">
        <f>'All boreholes'!AG27</f>
        <v>0</v>
      </c>
      <c r="P24">
        <f t="shared" si="10"/>
        <v>0</v>
      </c>
      <c r="Q24">
        <f t="shared" si="11"/>
        <v>0</v>
      </c>
      <c r="R24">
        <f t="shared" si="12"/>
        <v>0</v>
      </c>
      <c r="S24">
        <f t="shared" si="13"/>
        <v>0</v>
      </c>
      <c r="T24">
        <f t="shared" si="14"/>
        <v>0</v>
      </c>
      <c r="U24" s="225">
        <f>'All boreholes'!AM27</f>
        <v>0</v>
      </c>
      <c r="V24">
        <f t="shared" si="15"/>
        <v>0</v>
      </c>
      <c r="W24">
        <f t="shared" si="16"/>
        <v>0</v>
      </c>
      <c r="X24" t="e">
        <f t="shared" si="17"/>
        <v>#DIV/0!</v>
      </c>
      <c r="Z24">
        <f t="shared" si="18"/>
        <v>0</v>
      </c>
      <c r="AA24" t="e">
        <f t="shared" si="19"/>
        <v>#DIV/0!</v>
      </c>
    </row>
    <row r="25" spans="2:27">
      <c r="B25" s="209">
        <f>'All boreholes'!C28</f>
        <v>0</v>
      </c>
      <c r="C25" s="209">
        <f>'All boreholes'!H28</f>
        <v>0</v>
      </c>
      <c r="D25" s="226">
        <f>'All boreholes'!AG28</f>
        <v>0</v>
      </c>
      <c r="E25">
        <f t="shared" si="2"/>
        <v>0</v>
      </c>
      <c r="F25">
        <f t="shared" si="3"/>
        <v>0</v>
      </c>
      <c r="G25">
        <f t="shared" si="4"/>
        <v>0</v>
      </c>
      <c r="H25">
        <f t="shared" si="5"/>
        <v>0</v>
      </c>
      <c r="I25">
        <f t="shared" si="6"/>
        <v>0</v>
      </c>
      <c r="J25" s="225">
        <f>'All boreholes'!AM28</f>
        <v>0</v>
      </c>
      <c r="K25">
        <f t="shared" si="7"/>
        <v>0</v>
      </c>
      <c r="L25">
        <f t="shared" si="8"/>
        <v>0</v>
      </c>
      <c r="M25" t="e">
        <f t="shared" si="9"/>
        <v>#DIV/0!</v>
      </c>
      <c r="O25" s="209">
        <f>'All boreholes'!AG28</f>
        <v>0</v>
      </c>
      <c r="P25">
        <f t="shared" si="10"/>
        <v>0</v>
      </c>
      <c r="Q25">
        <f t="shared" si="11"/>
        <v>0</v>
      </c>
      <c r="R25">
        <f t="shared" si="12"/>
        <v>0</v>
      </c>
      <c r="S25">
        <f t="shared" si="13"/>
        <v>0</v>
      </c>
      <c r="T25">
        <f t="shared" si="14"/>
        <v>0</v>
      </c>
      <c r="U25" s="225">
        <f>'All boreholes'!AM28</f>
        <v>0</v>
      </c>
      <c r="V25">
        <f t="shared" si="15"/>
        <v>0</v>
      </c>
      <c r="W25">
        <f t="shared" si="16"/>
        <v>0</v>
      </c>
      <c r="X25" t="e">
        <f t="shared" si="17"/>
        <v>#DIV/0!</v>
      </c>
      <c r="Z25">
        <f t="shared" si="18"/>
        <v>0</v>
      </c>
      <c r="AA25" t="e">
        <f t="shared" si="19"/>
        <v>#DIV/0!</v>
      </c>
    </row>
    <row r="26" spans="2:27">
      <c r="B26" s="209">
        <f>'All boreholes'!C29</f>
        <v>0</v>
      </c>
      <c r="C26" s="209">
        <f>'All boreholes'!H29</f>
        <v>0</v>
      </c>
      <c r="D26" s="226">
        <f>'All boreholes'!AG29</f>
        <v>0</v>
      </c>
      <c r="E26">
        <f t="shared" si="2"/>
        <v>0</v>
      </c>
      <c r="F26">
        <f t="shared" si="3"/>
        <v>0</v>
      </c>
      <c r="G26">
        <f t="shared" si="4"/>
        <v>0</v>
      </c>
      <c r="H26">
        <f t="shared" si="5"/>
        <v>0</v>
      </c>
      <c r="I26">
        <f t="shared" si="6"/>
        <v>0</v>
      </c>
      <c r="J26" s="225">
        <f>'All boreholes'!AM29</f>
        <v>0</v>
      </c>
      <c r="K26">
        <f t="shared" si="7"/>
        <v>0</v>
      </c>
      <c r="L26">
        <f t="shared" si="8"/>
        <v>0</v>
      </c>
      <c r="M26" t="e">
        <f t="shared" si="9"/>
        <v>#DIV/0!</v>
      </c>
      <c r="O26" s="209">
        <f>'All boreholes'!AG29</f>
        <v>0</v>
      </c>
      <c r="P26">
        <f t="shared" si="10"/>
        <v>0</v>
      </c>
      <c r="Q26">
        <f t="shared" si="11"/>
        <v>0</v>
      </c>
      <c r="R26">
        <f t="shared" si="12"/>
        <v>0</v>
      </c>
      <c r="S26">
        <f t="shared" si="13"/>
        <v>0</v>
      </c>
      <c r="T26">
        <f t="shared" si="14"/>
        <v>0</v>
      </c>
      <c r="U26" s="225">
        <f>'All boreholes'!AM29</f>
        <v>0</v>
      </c>
      <c r="V26">
        <f t="shared" si="15"/>
        <v>0</v>
      </c>
      <c r="W26">
        <f t="shared" si="16"/>
        <v>0</v>
      </c>
      <c r="X26" t="e">
        <f t="shared" si="17"/>
        <v>#DIV/0!</v>
      </c>
      <c r="Z26">
        <f t="shared" si="18"/>
        <v>0</v>
      </c>
      <c r="AA26" t="e">
        <f t="shared" si="19"/>
        <v>#DIV/0!</v>
      </c>
    </row>
    <row r="27" spans="2:27">
      <c r="B27" s="209">
        <f>'All boreholes'!C30</f>
        <v>0</v>
      </c>
      <c r="C27" s="209">
        <f>'All boreholes'!H30</f>
        <v>0</v>
      </c>
      <c r="D27" s="226">
        <f>'All boreholes'!AG30</f>
        <v>0</v>
      </c>
      <c r="E27">
        <f t="shared" si="2"/>
        <v>0</v>
      </c>
      <c r="F27">
        <f t="shared" si="3"/>
        <v>0</v>
      </c>
      <c r="G27">
        <f t="shared" si="4"/>
        <v>0</v>
      </c>
      <c r="H27">
        <f t="shared" si="5"/>
        <v>0</v>
      </c>
      <c r="I27">
        <f t="shared" si="6"/>
        <v>0</v>
      </c>
      <c r="J27" s="225">
        <f>'All boreholes'!AM30</f>
        <v>0</v>
      </c>
      <c r="K27">
        <f t="shared" si="7"/>
        <v>0</v>
      </c>
      <c r="L27">
        <f t="shared" si="8"/>
        <v>0</v>
      </c>
      <c r="M27" t="e">
        <f t="shared" si="9"/>
        <v>#DIV/0!</v>
      </c>
      <c r="O27" s="209">
        <f>'All boreholes'!AG30</f>
        <v>0</v>
      </c>
      <c r="P27">
        <f t="shared" si="10"/>
        <v>0</v>
      </c>
      <c r="Q27">
        <f t="shared" si="11"/>
        <v>0</v>
      </c>
      <c r="R27">
        <f t="shared" si="12"/>
        <v>0</v>
      </c>
      <c r="S27">
        <f t="shared" si="13"/>
        <v>0</v>
      </c>
      <c r="T27">
        <f t="shared" si="14"/>
        <v>0</v>
      </c>
      <c r="U27" s="225">
        <f>'All boreholes'!AM30</f>
        <v>0</v>
      </c>
      <c r="V27">
        <f t="shared" si="15"/>
        <v>0</v>
      </c>
      <c r="W27">
        <f t="shared" si="16"/>
        <v>0</v>
      </c>
      <c r="X27" t="e">
        <f t="shared" si="17"/>
        <v>#DIV/0!</v>
      </c>
      <c r="Z27">
        <f t="shared" si="18"/>
        <v>0</v>
      </c>
      <c r="AA27" t="e">
        <f t="shared" si="19"/>
        <v>#DIV/0!</v>
      </c>
    </row>
    <row r="28" spans="2:27">
      <c r="B28" s="209">
        <f>'All boreholes'!C31</f>
        <v>0</v>
      </c>
      <c r="C28" s="209">
        <f>'All boreholes'!H31</f>
        <v>0</v>
      </c>
      <c r="D28" s="226">
        <f>'All boreholes'!AG31</f>
        <v>0</v>
      </c>
      <c r="E28">
        <f t="shared" si="2"/>
        <v>0</v>
      </c>
      <c r="F28">
        <f t="shared" si="3"/>
        <v>0</v>
      </c>
      <c r="G28">
        <f t="shared" si="4"/>
        <v>0</v>
      </c>
      <c r="H28">
        <f t="shared" si="5"/>
        <v>0</v>
      </c>
      <c r="I28">
        <f t="shared" si="6"/>
        <v>0</v>
      </c>
      <c r="J28" s="225">
        <f>'All boreholes'!AM31</f>
        <v>0</v>
      </c>
      <c r="K28">
        <f t="shared" si="7"/>
        <v>0</v>
      </c>
      <c r="L28">
        <f t="shared" si="8"/>
        <v>0</v>
      </c>
      <c r="M28" t="e">
        <f t="shared" si="9"/>
        <v>#DIV/0!</v>
      </c>
      <c r="O28" s="209">
        <f>'All boreholes'!AG31</f>
        <v>0</v>
      </c>
      <c r="P28">
        <f t="shared" si="10"/>
        <v>0</v>
      </c>
      <c r="Q28">
        <f t="shared" si="11"/>
        <v>0</v>
      </c>
      <c r="R28">
        <f t="shared" si="12"/>
        <v>0</v>
      </c>
      <c r="S28">
        <f t="shared" si="13"/>
        <v>0</v>
      </c>
      <c r="T28">
        <f t="shared" si="14"/>
        <v>0</v>
      </c>
      <c r="U28" s="225">
        <f>'All boreholes'!AM31</f>
        <v>0</v>
      </c>
      <c r="V28">
        <f t="shared" si="15"/>
        <v>0</v>
      </c>
      <c r="W28">
        <f t="shared" si="16"/>
        <v>0</v>
      </c>
      <c r="X28" t="e">
        <f t="shared" si="17"/>
        <v>#DIV/0!</v>
      </c>
      <c r="Z28">
        <f t="shared" si="18"/>
        <v>0</v>
      </c>
      <c r="AA28" t="e">
        <f t="shared" si="19"/>
        <v>#DIV/0!</v>
      </c>
    </row>
    <row r="29" spans="2:27">
      <c r="B29" s="229">
        <f>'All boreholes'!C32</f>
        <v>0</v>
      </c>
      <c r="C29" s="229">
        <f>'All boreholes'!H32</f>
        <v>0</v>
      </c>
      <c r="D29" s="233">
        <f>'All boreholes'!AG32</f>
        <v>0</v>
      </c>
      <c r="E29" s="234">
        <f t="shared" si="2"/>
        <v>0</v>
      </c>
      <c r="F29" s="234">
        <f t="shared" si="3"/>
        <v>0</v>
      </c>
      <c r="G29" s="234">
        <f t="shared" si="4"/>
        <v>0</v>
      </c>
      <c r="H29" s="234">
        <f t="shared" si="5"/>
        <v>0</v>
      </c>
      <c r="I29" s="234">
        <f t="shared" si="6"/>
        <v>0</v>
      </c>
      <c r="J29" s="235">
        <f>'All boreholes'!AM32</f>
        <v>0</v>
      </c>
      <c r="K29" s="234">
        <f t="shared" si="7"/>
        <v>0</v>
      </c>
      <c r="L29" s="234">
        <f t="shared" si="8"/>
        <v>0</v>
      </c>
      <c r="M29" s="234" t="e">
        <f t="shared" si="9"/>
        <v>#DIV/0!</v>
      </c>
      <c r="N29" s="234"/>
      <c r="O29" s="229">
        <f>'All boreholes'!AG32</f>
        <v>0</v>
      </c>
      <c r="P29" s="234">
        <f t="shared" si="10"/>
        <v>0</v>
      </c>
      <c r="Q29" s="234">
        <f t="shared" si="11"/>
        <v>0</v>
      </c>
      <c r="R29" s="234">
        <f t="shared" si="12"/>
        <v>0</v>
      </c>
      <c r="S29" s="234">
        <f t="shared" si="13"/>
        <v>0</v>
      </c>
      <c r="T29" s="234">
        <f t="shared" si="14"/>
        <v>0</v>
      </c>
      <c r="U29" s="235">
        <f>'All boreholes'!AM32</f>
        <v>0</v>
      </c>
      <c r="V29" s="234">
        <f t="shared" si="15"/>
        <v>0</v>
      </c>
      <c r="W29" s="234">
        <f t="shared" si="16"/>
        <v>0</v>
      </c>
      <c r="X29" s="234" t="e">
        <f t="shared" si="17"/>
        <v>#DIV/0!</v>
      </c>
      <c r="Y29" s="234"/>
      <c r="Z29" s="234">
        <f t="shared" si="18"/>
        <v>0</v>
      </c>
      <c r="AA29" s="234" t="e">
        <f t="shared" si="19"/>
        <v>#DIV/0!</v>
      </c>
    </row>
    <row r="30" spans="2:27">
      <c r="B30" s="209">
        <f>'All boreholes'!C33</f>
        <v>0</v>
      </c>
      <c r="C30" s="209">
        <f>'All boreholes'!H33</f>
        <v>0</v>
      </c>
      <c r="D30" s="226">
        <f>'All boreholes'!AG33</f>
        <v>0</v>
      </c>
      <c r="E30">
        <f t="shared" si="2"/>
        <v>0</v>
      </c>
      <c r="F30">
        <f t="shared" si="3"/>
        <v>0</v>
      </c>
      <c r="G30">
        <f t="shared" si="4"/>
        <v>0</v>
      </c>
      <c r="H30">
        <f t="shared" si="5"/>
        <v>0</v>
      </c>
      <c r="I30">
        <f t="shared" si="6"/>
        <v>0</v>
      </c>
      <c r="J30" s="225">
        <f>'All boreholes'!AM33</f>
        <v>0</v>
      </c>
      <c r="K30">
        <f t="shared" si="7"/>
        <v>0</v>
      </c>
      <c r="L30">
        <f t="shared" si="8"/>
        <v>0</v>
      </c>
      <c r="M30" t="e">
        <f t="shared" si="9"/>
        <v>#DIV/0!</v>
      </c>
      <c r="O30" s="209">
        <f>'All boreholes'!AG33</f>
        <v>0</v>
      </c>
      <c r="P30">
        <f t="shared" si="10"/>
        <v>0</v>
      </c>
      <c r="Q30">
        <f t="shared" si="11"/>
        <v>0</v>
      </c>
      <c r="R30">
        <f t="shared" si="12"/>
        <v>0</v>
      </c>
      <c r="S30">
        <f t="shared" si="13"/>
        <v>0</v>
      </c>
      <c r="T30">
        <f t="shared" si="14"/>
        <v>0</v>
      </c>
      <c r="U30" s="225">
        <f>'All boreholes'!AM33</f>
        <v>0</v>
      </c>
      <c r="V30">
        <f t="shared" si="15"/>
        <v>0</v>
      </c>
      <c r="W30">
        <f t="shared" si="16"/>
        <v>0</v>
      </c>
      <c r="X30" t="e">
        <f t="shared" si="17"/>
        <v>#DIV/0!</v>
      </c>
      <c r="Z30">
        <f t="shared" si="18"/>
        <v>0</v>
      </c>
      <c r="AA30" t="e">
        <f t="shared" si="19"/>
        <v>#DIV/0!</v>
      </c>
    </row>
    <row r="31" spans="2:27">
      <c r="B31" s="209">
        <f>'All boreholes'!C34</f>
        <v>0</v>
      </c>
      <c r="C31" s="209">
        <f>'All boreholes'!H34</f>
        <v>0</v>
      </c>
      <c r="D31" s="226">
        <f>'All boreholes'!AG34</f>
        <v>0</v>
      </c>
      <c r="E31">
        <f t="shared" si="2"/>
        <v>0</v>
      </c>
      <c r="F31">
        <f t="shared" si="3"/>
        <v>0</v>
      </c>
      <c r="G31">
        <f t="shared" si="4"/>
        <v>0</v>
      </c>
      <c r="H31">
        <f t="shared" si="5"/>
        <v>0</v>
      </c>
      <c r="I31">
        <f t="shared" si="6"/>
        <v>0</v>
      </c>
      <c r="J31" s="225">
        <f>'All boreholes'!AM34</f>
        <v>0</v>
      </c>
      <c r="K31">
        <f t="shared" si="7"/>
        <v>0</v>
      </c>
      <c r="L31">
        <f t="shared" si="8"/>
        <v>0</v>
      </c>
      <c r="M31" t="e">
        <f t="shared" si="9"/>
        <v>#DIV/0!</v>
      </c>
      <c r="O31" s="209">
        <f>'All boreholes'!AG34</f>
        <v>0</v>
      </c>
      <c r="P31">
        <f t="shared" si="10"/>
        <v>0</v>
      </c>
      <c r="Q31">
        <f t="shared" si="11"/>
        <v>0</v>
      </c>
      <c r="R31">
        <f t="shared" si="12"/>
        <v>0</v>
      </c>
      <c r="S31">
        <f t="shared" si="13"/>
        <v>0</v>
      </c>
      <c r="T31">
        <f t="shared" si="14"/>
        <v>0</v>
      </c>
      <c r="U31" s="225">
        <f>'All boreholes'!AM34</f>
        <v>0</v>
      </c>
      <c r="V31">
        <f t="shared" si="15"/>
        <v>0</v>
      </c>
      <c r="W31">
        <f t="shared" si="16"/>
        <v>0</v>
      </c>
      <c r="X31" t="e">
        <f t="shared" si="17"/>
        <v>#DIV/0!</v>
      </c>
      <c r="Z31">
        <f t="shared" si="18"/>
        <v>0</v>
      </c>
      <c r="AA31" t="e">
        <f t="shared" si="19"/>
        <v>#DIV/0!</v>
      </c>
    </row>
    <row r="32" spans="2:27">
      <c r="B32" s="209">
        <f>'All boreholes'!C35</f>
        <v>0</v>
      </c>
      <c r="C32" s="209">
        <f>'All boreholes'!H35</f>
        <v>0</v>
      </c>
      <c r="D32" s="226">
        <f>'All boreholes'!AG35</f>
        <v>0</v>
      </c>
      <c r="E32">
        <f t="shared" si="2"/>
        <v>0</v>
      </c>
      <c r="F32">
        <f t="shared" si="3"/>
        <v>0</v>
      </c>
      <c r="G32">
        <f t="shared" si="4"/>
        <v>0</v>
      </c>
      <c r="H32">
        <f t="shared" si="5"/>
        <v>0</v>
      </c>
      <c r="I32">
        <f t="shared" si="6"/>
        <v>0</v>
      </c>
      <c r="J32" s="225">
        <f>'All boreholes'!AM35</f>
        <v>0</v>
      </c>
      <c r="K32">
        <f t="shared" si="7"/>
        <v>0</v>
      </c>
      <c r="L32">
        <f t="shared" si="8"/>
        <v>0</v>
      </c>
      <c r="M32" t="e">
        <f t="shared" si="9"/>
        <v>#DIV/0!</v>
      </c>
      <c r="O32" s="209">
        <f>'All boreholes'!AG35</f>
        <v>0</v>
      </c>
      <c r="P32">
        <f t="shared" si="10"/>
        <v>0</v>
      </c>
      <c r="Q32">
        <f t="shared" si="11"/>
        <v>0</v>
      </c>
      <c r="R32">
        <f t="shared" si="12"/>
        <v>0</v>
      </c>
      <c r="S32">
        <f t="shared" si="13"/>
        <v>0</v>
      </c>
      <c r="T32">
        <f t="shared" si="14"/>
        <v>0</v>
      </c>
      <c r="U32" s="225">
        <f>'All boreholes'!AM35</f>
        <v>0</v>
      </c>
      <c r="V32">
        <f t="shared" si="15"/>
        <v>0</v>
      </c>
      <c r="W32">
        <f t="shared" si="16"/>
        <v>0</v>
      </c>
      <c r="X32" t="e">
        <f t="shared" si="17"/>
        <v>#DIV/0!</v>
      </c>
      <c r="Z32">
        <f t="shared" si="18"/>
        <v>0</v>
      </c>
      <c r="AA32" t="e">
        <f t="shared" si="19"/>
        <v>#DIV/0!</v>
      </c>
    </row>
    <row r="33" spans="2:39">
      <c r="B33" s="209">
        <f>'All boreholes'!C36</f>
        <v>0</v>
      </c>
      <c r="C33" s="209">
        <f>'All boreholes'!H36</f>
        <v>0</v>
      </c>
      <c r="D33" s="226">
        <f>'All boreholes'!AG36</f>
        <v>0</v>
      </c>
      <c r="E33">
        <f t="shared" si="2"/>
        <v>0</v>
      </c>
      <c r="F33">
        <f t="shared" si="3"/>
        <v>0</v>
      </c>
      <c r="G33">
        <f t="shared" si="4"/>
        <v>0</v>
      </c>
      <c r="H33">
        <f t="shared" si="5"/>
        <v>0</v>
      </c>
      <c r="I33">
        <f t="shared" si="6"/>
        <v>0</v>
      </c>
      <c r="J33" s="225">
        <f>'All boreholes'!AM36</f>
        <v>0</v>
      </c>
      <c r="K33">
        <f t="shared" si="7"/>
        <v>0</v>
      </c>
      <c r="L33">
        <f t="shared" si="8"/>
        <v>0</v>
      </c>
      <c r="M33" t="e">
        <f t="shared" si="9"/>
        <v>#DIV/0!</v>
      </c>
      <c r="O33" s="209">
        <f>'All boreholes'!AG36</f>
        <v>0</v>
      </c>
      <c r="P33">
        <f t="shared" si="10"/>
        <v>0</v>
      </c>
      <c r="Q33">
        <f t="shared" si="11"/>
        <v>0</v>
      </c>
      <c r="R33">
        <f t="shared" si="12"/>
        <v>0</v>
      </c>
      <c r="S33">
        <f t="shared" si="13"/>
        <v>0</v>
      </c>
      <c r="T33">
        <f t="shared" si="14"/>
        <v>0</v>
      </c>
      <c r="U33" s="225">
        <f>'All boreholes'!AM36</f>
        <v>0</v>
      </c>
      <c r="V33">
        <f t="shared" si="15"/>
        <v>0</v>
      </c>
      <c r="W33">
        <f t="shared" si="16"/>
        <v>0</v>
      </c>
      <c r="X33" t="e">
        <f t="shared" si="17"/>
        <v>#DIV/0!</v>
      </c>
      <c r="Z33">
        <f t="shared" si="18"/>
        <v>0</v>
      </c>
      <c r="AA33" t="e">
        <f t="shared" si="19"/>
        <v>#DIV/0!</v>
      </c>
    </row>
    <row r="34" spans="2:39">
      <c r="B34" s="209">
        <f>'All boreholes'!C37</f>
        <v>0</v>
      </c>
      <c r="C34" s="209">
        <f>'All boreholes'!H37</f>
        <v>0</v>
      </c>
      <c r="D34" s="226">
        <f>'All boreholes'!AG37</f>
        <v>0</v>
      </c>
      <c r="E34">
        <f t="shared" si="2"/>
        <v>0</v>
      </c>
      <c r="F34">
        <f t="shared" si="3"/>
        <v>0</v>
      </c>
      <c r="G34">
        <f t="shared" si="4"/>
        <v>0</v>
      </c>
      <c r="H34">
        <f t="shared" si="5"/>
        <v>0</v>
      </c>
      <c r="I34">
        <f t="shared" si="6"/>
        <v>0</v>
      </c>
      <c r="J34" s="225">
        <f>'All boreholes'!AM37</f>
        <v>0</v>
      </c>
      <c r="K34">
        <f t="shared" si="7"/>
        <v>0</v>
      </c>
      <c r="L34">
        <f t="shared" si="8"/>
        <v>0</v>
      </c>
      <c r="M34" t="e">
        <f t="shared" si="9"/>
        <v>#DIV/0!</v>
      </c>
      <c r="O34" s="209">
        <f>'All boreholes'!AG37</f>
        <v>0</v>
      </c>
      <c r="P34">
        <f t="shared" si="10"/>
        <v>0</v>
      </c>
      <c r="Q34">
        <f t="shared" si="11"/>
        <v>0</v>
      </c>
      <c r="R34">
        <f t="shared" si="12"/>
        <v>0</v>
      </c>
      <c r="S34">
        <f t="shared" si="13"/>
        <v>0</v>
      </c>
      <c r="T34">
        <f t="shared" si="14"/>
        <v>0</v>
      </c>
      <c r="U34" s="225">
        <f>'All boreholes'!AM37</f>
        <v>0</v>
      </c>
      <c r="V34">
        <f t="shared" si="15"/>
        <v>0</v>
      </c>
      <c r="W34">
        <f t="shared" si="16"/>
        <v>0</v>
      </c>
      <c r="X34" t="e">
        <f t="shared" si="17"/>
        <v>#DIV/0!</v>
      </c>
      <c r="Z34">
        <f t="shared" si="18"/>
        <v>0</v>
      </c>
      <c r="AA34" t="e">
        <f t="shared" si="19"/>
        <v>#DIV/0!</v>
      </c>
    </row>
    <row r="35" spans="2:39">
      <c r="B35" s="209">
        <f>'All boreholes'!C38</f>
        <v>0</v>
      </c>
      <c r="C35" s="209">
        <f>'All boreholes'!H38</f>
        <v>0</v>
      </c>
      <c r="D35" s="226">
        <f>'All boreholes'!AG38</f>
        <v>0</v>
      </c>
      <c r="E35">
        <f t="shared" si="2"/>
        <v>0</v>
      </c>
      <c r="F35">
        <f t="shared" si="3"/>
        <v>0</v>
      </c>
      <c r="G35">
        <f t="shared" si="4"/>
        <v>0</v>
      </c>
      <c r="H35">
        <f t="shared" si="5"/>
        <v>0</v>
      </c>
      <c r="I35">
        <f t="shared" si="6"/>
        <v>0</v>
      </c>
      <c r="J35" s="225">
        <f>'All boreholes'!AM38</f>
        <v>0</v>
      </c>
      <c r="K35">
        <f t="shared" si="7"/>
        <v>0</v>
      </c>
      <c r="L35">
        <f t="shared" si="8"/>
        <v>0</v>
      </c>
      <c r="M35" t="e">
        <f t="shared" si="9"/>
        <v>#DIV/0!</v>
      </c>
      <c r="O35" s="209">
        <f>'All boreholes'!AG38</f>
        <v>0</v>
      </c>
      <c r="P35">
        <f t="shared" si="10"/>
        <v>0</v>
      </c>
      <c r="Q35">
        <f t="shared" si="11"/>
        <v>0</v>
      </c>
      <c r="R35">
        <f t="shared" si="12"/>
        <v>0</v>
      </c>
      <c r="S35">
        <f t="shared" si="13"/>
        <v>0</v>
      </c>
      <c r="T35">
        <f t="shared" si="14"/>
        <v>0</v>
      </c>
      <c r="U35" s="225">
        <f>'All boreholes'!AM38</f>
        <v>0</v>
      </c>
      <c r="V35">
        <f t="shared" si="15"/>
        <v>0</v>
      </c>
      <c r="W35">
        <f t="shared" si="16"/>
        <v>0</v>
      </c>
      <c r="X35" t="e">
        <f t="shared" si="17"/>
        <v>#DIV/0!</v>
      </c>
      <c r="Z35">
        <f t="shared" si="18"/>
        <v>0</v>
      </c>
      <c r="AA35" t="e">
        <f t="shared" si="19"/>
        <v>#DIV/0!</v>
      </c>
    </row>
    <row r="36" spans="2:39">
      <c r="B36" s="209">
        <f>'All boreholes'!C39</f>
        <v>0</v>
      </c>
      <c r="C36" s="209">
        <f>'All boreholes'!H39</f>
        <v>0</v>
      </c>
      <c r="D36" s="226">
        <f>'All boreholes'!AG39</f>
        <v>0</v>
      </c>
      <c r="E36">
        <f t="shared" si="2"/>
        <v>0</v>
      </c>
      <c r="F36">
        <f t="shared" si="3"/>
        <v>0</v>
      </c>
      <c r="G36">
        <f t="shared" si="4"/>
        <v>0</v>
      </c>
      <c r="H36">
        <f t="shared" si="5"/>
        <v>0</v>
      </c>
      <c r="I36">
        <f t="shared" si="6"/>
        <v>0</v>
      </c>
      <c r="J36" s="225">
        <f>'All boreholes'!AM39</f>
        <v>0</v>
      </c>
      <c r="K36">
        <f t="shared" si="7"/>
        <v>0</v>
      </c>
      <c r="L36">
        <f t="shared" si="8"/>
        <v>0</v>
      </c>
      <c r="M36" t="e">
        <f t="shared" si="9"/>
        <v>#DIV/0!</v>
      </c>
      <c r="O36" s="209">
        <f>'All boreholes'!AG39</f>
        <v>0</v>
      </c>
      <c r="P36">
        <f t="shared" si="10"/>
        <v>0</v>
      </c>
      <c r="Q36">
        <f t="shared" si="11"/>
        <v>0</v>
      </c>
      <c r="R36">
        <f t="shared" si="12"/>
        <v>0</v>
      </c>
      <c r="S36">
        <f t="shared" si="13"/>
        <v>0</v>
      </c>
      <c r="T36">
        <f t="shared" si="14"/>
        <v>0</v>
      </c>
      <c r="U36" s="225">
        <f>'All boreholes'!AM39</f>
        <v>0</v>
      </c>
      <c r="V36">
        <f t="shared" si="15"/>
        <v>0</v>
      </c>
      <c r="W36">
        <f t="shared" si="16"/>
        <v>0</v>
      </c>
      <c r="X36" t="e">
        <f t="shared" si="17"/>
        <v>#DIV/0!</v>
      </c>
      <c r="Z36">
        <f t="shared" si="18"/>
        <v>0</v>
      </c>
      <c r="AA36" t="e">
        <f t="shared" si="19"/>
        <v>#DIV/0!</v>
      </c>
    </row>
    <row r="37" spans="2:39">
      <c r="B37" s="209">
        <f>'All boreholes'!C40</f>
        <v>0</v>
      </c>
      <c r="C37" s="209">
        <f>'All boreholes'!H40</f>
        <v>0</v>
      </c>
      <c r="D37" s="226">
        <f>'All boreholes'!AG40</f>
        <v>0</v>
      </c>
      <c r="E37">
        <f t="shared" si="2"/>
        <v>0</v>
      </c>
      <c r="F37">
        <f t="shared" si="3"/>
        <v>0</v>
      </c>
      <c r="G37">
        <f t="shared" si="4"/>
        <v>0</v>
      </c>
      <c r="H37">
        <f t="shared" si="5"/>
        <v>0</v>
      </c>
      <c r="I37">
        <f t="shared" si="6"/>
        <v>0</v>
      </c>
      <c r="J37" s="225">
        <f>'All boreholes'!AM40</f>
        <v>0</v>
      </c>
      <c r="K37">
        <f t="shared" si="7"/>
        <v>0</v>
      </c>
      <c r="L37">
        <f t="shared" si="8"/>
        <v>0</v>
      </c>
      <c r="M37" t="e">
        <f t="shared" si="9"/>
        <v>#DIV/0!</v>
      </c>
      <c r="O37" s="209">
        <f>'All boreholes'!AG40</f>
        <v>0</v>
      </c>
      <c r="P37">
        <f t="shared" si="10"/>
        <v>0</v>
      </c>
      <c r="Q37">
        <f t="shared" si="11"/>
        <v>0</v>
      </c>
      <c r="R37">
        <f t="shared" si="12"/>
        <v>0</v>
      </c>
      <c r="S37">
        <f t="shared" si="13"/>
        <v>0</v>
      </c>
      <c r="T37">
        <f t="shared" si="14"/>
        <v>0</v>
      </c>
      <c r="U37" s="225">
        <f>'All boreholes'!AM40</f>
        <v>0</v>
      </c>
      <c r="V37">
        <f t="shared" si="15"/>
        <v>0</v>
      </c>
      <c r="W37">
        <f t="shared" si="16"/>
        <v>0</v>
      </c>
      <c r="X37" t="e">
        <f t="shared" si="17"/>
        <v>#DIV/0!</v>
      </c>
      <c r="Z37">
        <f t="shared" si="18"/>
        <v>0</v>
      </c>
      <c r="AA37" t="e">
        <f t="shared" si="19"/>
        <v>#DIV/0!</v>
      </c>
    </row>
    <row r="38" spans="2:39">
      <c r="B38" s="209">
        <f>'All boreholes'!C41</f>
        <v>0</v>
      </c>
      <c r="C38" s="209">
        <f>'All boreholes'!H41</f>
        <v>0</v>
      </c>
      <c r="D38" s="226">
        <f>'All boreholes'!AG41</f>
        <v>0</v>
      </c>
      <c r="E38">
        <f t="shared" si="2"/>
        <v>0</v>
      </c>
      <c r="F38">
        <f t="shared" si="3"/>
        <v>0</v>
      </c>
      <c r="G38">
        <f t="shared" si="4"/>
        <v>0</v>
      </c>
      <c r="H38">
        <f t="shared" si="5"/>
        <v>0</v>
      </c>
      <c r="I38">
        <f t="shared" si="6"/>
        <v>0</v>
      </c>
      <c r="J38" s="225">
        <f>'All boreholes'!AM41</f>
        <v>0</v>
      </c>
      <c r="K38">
        <f t="shared" si="7"/>
        <v>0</v>
      </c>
      <c r="L38">
        <f t="shared" si="8"/>
        <v>0</v>
      </c>
      <c r="M38" t="e">
        <f t="shared" si="9"/>
        <v>#DIV/0!</v>
      </c>
      <c r="O38" s="209">
        <f>'All boreholes'!AG41</f>
        <v>0</v>
      </c>
      <c r="P38">
        <f t="shared" si="10"/>
        <v>0</v>
      </c>
      <c r="Q38">
        <f t="shared" si="11"/>
        <v>0</v>
      </c>
      <c r="R38">
        <f t="shared" si="12"/>
        <v>0</v>
      </c>
      <c r="S38">
        <f t="shared" si="13"/>
        <v>0</v>
      </c>
      <c r="T38">
        <f t="shared" si="14"/>
        <v>0</v>
      </c>
      <c r="U38" s="225">
        <f>'All boreholes'!AM41</f>
        <v>0</v>
      </c>
      <c r="V38">
        <f t="shared" si="15"/>
        <v>0</v>
      </c>
      <c r="W38">
        <f t="shared" si="16"/>
        <v>0</v>
      </c>
      <c r="X38" t="e">
        <f t="shared" si="17"/>
        <v>#DIV/0!</v>
      </c>
      <c r="Z38">
        <f t="shared" si="18"/>
        <v>0</v>
      </c>
      <c r="AA38" t="e">
        <f t="shared" si="19"/>
        <v>#DIV/0!</v>
      </c>
    </row>
    <row r="39" spans="2:39">
      <c r="B39" s="209">
        <f>'All boreholes'!C42</f>
        <v>0</v>
      </c>
      <c r="C39" s="209">
        <f>'All boreholes'!H42</f>
        <v>0</v>
      </c>
      <c r="D39" s="226">
        <f>'All boreholes'!AG42</f>
        <v>0</v>
      </c>
      <c r="E39">
        <f t="shared" si="2"/>
        <v>0</v>
      </c>
      <c r="F39">
        <f t="shared" si="3"/>
        <v>0</v>
      </c>
      <c r="G39">
        <f t="shared" si="4"/>
        <v>0</v>
      </c>
      <c r="H39">
        <f t="shared" si="5"/>
        <v>0</v>
      </c>
      <c r="I39">
        <f t="shared" si="6"/>
        <v>0</v>
      </c>
      <c r="J39" s="225">
        <f>'All boreholes'!AM42</f>
        <v>0</v>
      </c>
      <c r="K39">
        <f t="shared" si="7"/>
        <v>0</v>
      </c>
      <c r="L39">
        <f t="shared" si="8"/>
        <v>0</v>
      </c>
      <c r="M39" t="e">
        <f t="shared" si="9"/>
        <v>#DIV/0!</v>
      </c>
      <c r="O39" s="209">
        <f>'All boreholes'!AG42</f>
        <v>0</v>
      </c>
      <c r="P39">
        <f t="shared" si="10"/>
        <v>0</v>
      </c>
      <c r="Q39">
        <f t="shared" si="11"/>
        <v>0</v>
      </c>
      <c r="R39">
        <f t="shared" si="12"/>
        <v>0</v>
      </c>
      <c r="S39">
        <f t="shared" si="13"/>
        <v>0</v>
      </c>
      <c r="T39">
        <f t="shared" si="14"/>
        <v>0</v>
      </c>
      <c r="U39" s="225">
        <f>'All boreholes'!AM42</f>
        <v>0</v>
      </c>
      <c r="V39">
        <f t="shared" si="15"/>
        <v>0</v>
      </c>
      <c r="W39">
        <f t="shared" si="16"/>
        <v>0</v>
      </c>
      <c r="X39" t="e">
        <f t="shared" si="17"/>
        <v>#DIV/0!</v>
      </c>
      <c r="Z39">
        <f t="shared" si="18"/>
        <v>0</v>
      </c>
      <c r="AA39" t="e">
        <f t="shared" si="19"/>
        <v>#DIV/0!</v>
      </c>
    </row>
    <row r="40" spans="2:39">
      <c r="B40" s="209">
        <f>'All boreholes'!C43</f>
        <v>0</v>
      </c>
      <c r="C40" s="209">
        <f>'All boreholes'!H43</f>
        <v>0</v>
      </c>
      <c r="D40" s="226">
        <f>'All boreholes'!AG43</f>
        <v>0</v>
      </c>
      <c r="E40">
        <f t="shared" si="2"/>
        <v>0</v>
      </c>
      <c r="F40">
        <f t="shared" si="3"/>
        <v>0</v>
      </c>
      <c r="G40">
        <f t="shared" si="4"/>
        <v>0</v>
      </c>
      <c r="H40">
        <f t="shared" si="5"/>
        <v>0</v>
      </c>
      <c r="I40">
        <f t="shared" si="6"/>
        <v>0</v>
      </c>
      <c r="J40" s="225">
        <f>'All boreholes'!AM43</f>
        <v>0</v>
      </c>
      <c r="K40">
        <f t="shared" si="7"/>
        <v>0</v>
      </c>
      <c r="L40">
        <f t="shared" si="8"/>
        <v>0</v>
      </c>
      <c r="M40" t="e">
        <f t="shared" si="9"/>
        <v>#DIV/0!</v>
      </c>
      <c r="O40" s="209">
        <f>'All boreholes'!AG43</f>
        <v>0</v>
      </c>
      <c r="P40">
        <f t="shared" si="10"/>
        <v>0</v>
      </c>
      <c r="Q40">
        <f t="shared" si="11"/>
        <v>0</v>
      </c>
      <c r="R40">
        <f t="shared" si="12"/>
        <v>0</v>
      </c>
      <c r="S40">
        <f t="shared" si="13"/>
        <v>0</v>
      </c>
      <c r="T40">
        <f t="shared" si="14"/>
        <v>0</v>
      </c>
      <c r="U40" s="225">
        <f>'All boreholes'!AM43</f>
        <v>0</v>
      </c>
      <c r="V40">
        <f t="shared" si="15"/>
        <v>0</v>
      </c>
      <c r="W40">
        <f t="shared" si="16"/>
        <v>0</v>
      </c>
      <c r="X40" t="e">
        <f t="shared" si="17"/>
        <v>#DIV/0!</v>
      </c>
      <c r="Z40">
        <f t="shared" si="18"/>
        <v>0</v>
      </c>
      <c r="AA40" t="e">
        <f t="shared" si="19"/>
        <v>#DIV/0!</v>
      </c>
    </row>
    <row r="41" spans="2:39">
      <c r="B41" s="209">
        <f>'All boreholes'!C44</f>
        <v>0</v>
      </c>
      <c r="C41" s="209">
        <f>'All boreholes'!H44</f>
        <v>0</v>
      </c>
      <c r="D41" s="226">
        <f>'All boreholes'!AG44</f>
        <v>0</v>
      </c>
      <c r="E41">
        <f t="shared" si="2"/>
        <v>0</v>
      </c>
      <c r="F41">
        <f t="shared" si="3"/>
        <v>0</v>
      </c>
      <c r="G41">
        <f t="shared" si="4"/>
        <v>0</v>
      </c>
      <c r="H41">
        <f t="shared" si="5"/>
        <v>0</v>
      </c>
      <c r="I41">
        <f t="shared" si="6"/>
        <v>0</v>
      </c>
      <c r="J41" s="225">
        <f>'All boreholes'!AM44</f>
        <v>0</v>
      </c>
      <c r="K41">
        <f t="shared" si="7"/>
        <v>0</v>
      </c>
      <c r="L41">
        <f t="shared" si="8"/>
        <v>0</v>
      </c>
      <c r="M41" t="e">
        <f t="shared" si="9"/>
        <v>#DIV/0!</v>
      </c>
      <c r="O41" s="209">
        <f>'All boreholes'!AG44</f>
        <v>0</v>
      </c>
      <c r="P41">
        <f t="shared" si="10"/>
        <v>0</v>
      </c>
      <c r="Q41">
        <f t="shared" si="11"/>
        <v>0</v>
      </c>
      <c r="R41">
        <f t="shared" si="12"/>
        <v>0</v>
      </c>
      <c r="S41">
        <f t="shared" si="13"/>
        <v>0</v>
      </c>
      <c r="T41">
        <f t="shared" si="14"/>
        <v>0</v>
      </c>
      <c r="U41" s="225">
        <f>'All boreholes'!AM44</f>
        <v>0</v>
      </c>
      <c r="V41">
        <f t="shared" si="15"/>
        <v>0</v>
      </c>
      <c r="W41">
        <f t="shared" si="16"/>
        <v>0</v>
      </c>
      <c r="X41" t="e">
        <f t="shared" si="17"/>
        <v>#DIV/0!</v>
      </c>
      <c r="Z41">
        <f t="shared" si="18"/>
        <v>0</v>
      </c>
      <c r="AA41" t="e">
        <f t="shared" si="19"/>
        <v>#DIV/0!</v>
      </c>
    </row>
    <row r="42" spans="2:39">
      <c r="B42" s="209">
        <f>'All boreholes'!C45</f>
        <v>0</v>
      </c>
      <c r="C42" s="209">
        <f>'All boreholes'!H45</f>
        <v>0</v>
      </c>
      <c r="D42" s="226">
        <f>'All boreholes'!AG45</f>
        <v>0</v>
      </c>
      <c r="E42">
        <f t="shared" si="2"/>
        <v>0</v>
      </c>
      <c r="F42">
        <f t="shared" si="3"/>
        <v>0</v>
      </c>
      <c r="G42">
        <f t="shared" si="4"/>
        <v>0</v>
      </c>
      <c r="H42">
        <f t="shared" si="5"/>
        <v>0</v>
      </c>
      <c r="I42">
        <f t="shared" si="6"/>
        <v>0</v>
      </c>
      <c r="J42" s="225">
        <f>'All boreholes'!AM45</f>
        <v>0</v>
      </c>
      <c r="K42">
        <f t="shared" si="7"/>
        <v>0</v>
      </c>
      <c r="L42">
        <f t="shared" si="8"/>
        <v>0</v>
      </c>
      <c r="M42" t="e">
        <f t="shared" si="9"/>
        <v>#DIV/0!</v>
      </c>
      <c r="O42" s="209">
        <f>'All boreholes'!AG45</f>
        <v>0</v>
      </c>
      <c r="P42">
        <f t="shared" si="10"/>
        <v>0</v>
      </c>
      <c r="Q42">
        <f t="shared" si="11"/>
        <v>0</v>
      </c>
      <c r="R42">
        <f t="shared" si="12"/>
        <v>0</v>
      </c>
      <c r="S42">
        <f t="shared" si="13"/>
        <v>0</v>
      </c>
      <c r="T42">
        <f t="shared" si="14"/>
        <v>0</v>
      </c>
      <c r="U42" s="225">
        <f>'All boreholes'!AM45</f>
        <v>0</v>
      </c>
      <c r="V42">
        <f t="shared" si="15"/>
        <v>0</v>
      </c>
      <c r="W42">
        <f t="shared" si="16"/>
        <v>0</v>
      </c>
      <c r="X42" t="e">
        <f t="shared" si="17"/>
        <v>#DIV/0!</v>
      </c>
      <c r="Z42">
        <f t="shared" si="18"/>
        <v>0</v>
      </c>
      <c r="AA42" t="e">
        <f t="shared" si="19"/>
        <v>#DIV/0!</v>
      </c>
    </row>
    <row r="43" spans="2:39">
      <c r="B43" s="209">
        <f>'All boreholes'!C46</f>
        <v>0</v>
      </c>
      <c r="C43" s="209">
        <f>'All boreholes'!H46</f>
        <v>0</v>
      </c>
      <c r="D43" s="226">
        <f>'All boreholes'!AG46</f>
        <v>0</v>
      </c>
      <c r="E43">
        <f t="shared" si="2"/>
        <v>0</v>
      </c>
      <c r="F43">
        <f t="shared" si="3"/>
        <v>0</v>
      </c>
      <c r="G43">
        <f t="shared" si="4"/>
        <v>0</v>
      </c>
      <c r="H43">
        <f t="shared" si="5"/>
        <v>0</v>
      </c>
      <c r="I43">
        <f t="shared" si="6"/>
        <v>0</v>
      </c>
      <c r="J43" s="225">
        <f>'All boreholes'!AM46</f>
        <v>0</v>
      </c>
      <c r="K43">
        <f t="shared" si="7"/>
        <v>0</v>
      </c>
      <c r="L43">
        <f t="shared" si="8"/>
        <v>0</v>
      </c>
      <c r="M43" t="e">
        <f t="shared" si="9"/>
        <v>#DIV/0!</v>
      </c>
      <c r="O43" s="209">
        <f>'All boreholes'!AG46</f>
        <v>0</v>
      </c>
      <c r="P43">
        <f t="shared" si="10"/>
        <v>0</v>
      </c>
      <c r="Q43">
        <f t="shared" si="11"/>
        <v>0</v>
      </c>
      <c r="R43">
        <f t="shared" si="12"/>
        <v>0</v>
      </c>
      <c r="S43">
        <f t="shared" si="13"/>
        <v>0</v>
      </c>
      <c r="T43">
        <f t="shared" si="14"/>
        <v>0</v>
      </c>
      <c r="U43" s="225">
        <f>'All boreholes'!AM46</f>
        <v>0</v>
      </c>
      <c r="V43">
        <f t="shared" si="15"/>
        <v>0</v>
      </c>
      <c r="W43">
        <f t="shared" si="16"/>
        <v>0</v>
      </c>
      <c r="X43" t="e">
        <f t="shared" si="17"/>
        <v>#DIV/0!</v>
      </c>
      <c r="Z43">
        <f t="shared" si="18"/>
        <v>0</v>
      </c>
      <c r="AA43" t="e">
        <f t="shared" si="19"/>
        <v>#DIV/0!</v>
      </c>
    </row>
    <row r="44" spans="2:39">
      <c r="B44" s="209">
        <f>'All boreholes'!C47</f>
        <v>0</v>
      </c>
      <c r="C44" s="209">
        <f>'All boreholes'!H47</f>
        <v>0</v>
      </c>
      <c r="D44" s="226">
        <f>'All boreholes'!AG47</f>
        <v>0</v>
      </c>
      <c r="E44">
        <f t="shared" si="2"/>
        <v>0</v>
      </c>
      <c r="F44">
        <f t="shared" si="3"/>
        <v>0</v>
      </c>
      <c r="G44">
        <f t="shared" si="4"/>
        <v>0</v>
      </c>
      <c r="H44">
        <f t="shared" si="5"/>
        <v>0</v>
      </c>
      <c r="I44">
        <f t="shared" si="6"/>
        <v>0</v>
      </c>
      <c r="J44" s="225">
        <f>'All boreholes'!AM47</f>
        <v>0</v>
      </c>
      <c r="K44">
        <f t="shared" si="7"/>
        <v>0</v>
      </c>
      <c r="L44">
        <f t="shared" si="8"/>
        <v>0</v>
      </c>
      <c r="M44" t="e">
        <f t="shared" si="9"/>
        <v>#DIV/0!</v>
      </c>
      <c r="O44" s="209">
        <f>'All boreholes'!AG47</f>
        <v>0</v>
      </c>
      <c r="P44">
        <f t="shared" si="10"/>
        <v>0</v>
      </c>
      <c r="Q44">
        <f t="shared" si="11"/>
        <v>0</v>
      </c>
      <c r="R44">
        <f t="shared" si="12"/>
        <v>0</v>
      </c>
      <c r="S44">
        <f t="shared" si="13"/>
        <v>0</v>
      </c>
      <c r="T44">
        <f t="shared" si="14"/>
        <v>0</v>
      </c>
      <c r="U44" s="225">
        <f>'All boreholes'!AM47</f>
        <v>0</v>
      </c>
      <c r="V44">
        <f t="shared" si="15"/>
        <v>0</v>
      </c>
      <c r="W44">
        <f t="shared" si="16"/>
        <v>0</v>
      </c>
      <c r="X44" t="e">
        <f t="shared" si="17"/>
        <v>#DIV/0!</v>
      </c>
      <c r="Z44">
        <f t="shared" si="18"/>
        <v>0</v>
      </c>
      <c r="AA44" t="e">
        <f t="shared" si="19"/>
        <v>#DIV/0!</v>
      </c>
    </row>
    <row r="45" spans="2:39">
      <c r="B45" s="209">
        <f>'All boreholes'!C48</f>
        <v>0</v>
      </c>
      <c r="C45" s="209">
        <f>'All boreholes'!H48</f>
        <v>0</v>
      </c>
      <c r="D45" s="226">
        <f>'All boreholes'!AG48</f>
        <v>0</v>
      </c>
      <c r="E45">
        <f t="shared" si="2"/>
        <v>0</v>
      </c>
      <c r="F45">
        <f t="shared" si="3"/>
        <v>0</v>
      </c>
      <c r="G45">
        <f t="shared" si="4"/>
        <v>0</v>
      </c>
      <c r="H45">
        <f t="shared" si="5"/>
        <v>0</v>
      </c>
      <c r="I45">
        <f t="shared" si="6"/>
        <v>0</v>
      </c>
      <c r="J45" s="225">
        <f>'All boreholes'!AM48</f>
        <v>0</v>
      </c>
      <c r="K45">
        <f t="shared" si="7"/>
        <v>0</v>
      </c>
      <c r="L45">
        <f t="shared" si="8"/>
        <v>0</v>
      </c>
      <c r="M45" t="e">
        <f t="shared" si="9"/>
        <v>#DIV/0!</v>
      </c>
      <c r="O45" s="209">
        <f>'All boreholes'!AG48</f>
        <v>0</v>
      </c>
      <c r="P45">
        <f t="shared" si="10"/>
        <v>0</v>
      </c>
      <c r="Q45">
        <f t="shared" si="11"/>
        <v>0</v>
      </c>
      <c r="R45">
        <f t="shared" si="12"/>
        <v>0</v>
      </c>
      <c r="S45">
        <f t="shared" si="13"/>
        <v>0</v>
      </c>
      <c r="T45">
        <f t="shared" si="14"/>
        <v>0</v>
      </c>
      <c r="U45" s="225">
        <f>'All boreholes'!AM48</f>
        <v>0</v>
      </c>
      <c r="V45">
        <f t="shared" si="15"/>
        <v>0</v>
      </c>
      <c r="W45">
        <f t="shared" si="16"/>
        <v>0</v>
      </c>
      <c r="X45" t="e">
        <f t="shared" si="17"/>
        <v>#DIV/0!</v>
      </c>
      <c r="Z45">
        <f t="shared" si="18"/>
        <v>0</v>
      </c>
      <c r="AA45" t="e">
        <f t="shared" si="19"/>
        <v>#DIV/0!</v>
      </c>
    </row>
    <row r="46" spans="2:39">
      <c r="B46" s="209">
        <f>'All boreholes'!C49</f>
        <v>0</v>
      </c>
      <c r="C46" s="209">
        <f>'All boreholes'!H49</f>
        <v>0</v>
      </c>
      <c r="D46" s="226">
        <f>'All boreholes'!AG49</f>
        <v>0</v>
      </c>
      <c r="E46">
        <f t="shared" si="2"/>
        <v>0</v>
      </c>
      <c r="F46">
        <f t="shared" si="3"/>
        <v>0</v>
      </c>
      <c r="G46">
        <f t="shared" si="4"/>
        <v>0</v>
      </c>
      <c r="H46">
        <f t="shared" si="5"/>
        <v>0</v>
      </c>
      <c r="I46">
        <f t="shared" si="6"/>
        <v>0</v>
      </c>
      <c r="J46" s="225">
        <f>'All boreholes'!AM49</f>
        <v>0</v>
      </c>
      <c r="K46">
        <f t="shared" si="7"/>
        <v>0</v>
      </c>
      <c r="L46">
        <f t="shared" si="8"/>
        <v>0</v>
      </c>
      <c r="M46" t="e">
        <f t="shared" si="9"/>
        <v>#DIV/0!</v>
      </c>
      <c r="O46" s="209">
        <f>'All boreholes'!AG49</f>
        <v>0</v>
      </c>
      <c r="P46">
        <f t="shared" si="10"/>
        <v>0</v>
      </c>
      <c r="Q46">
        <f t="shared" si="11"/>
        <v>0</v>
      </c>
      <c r="R46">
        <f t="shared" si="12"/>
        <v>0</v>
      </c>
      <c r="S46">
        <f t="shared" si="13"/>
        <v>0</v>
      </c>
      <c r="T46">
        <f t="shared" si="14"/>
        <v>0</v>
      </c>
      <c r="U46" s="225">
        <f>'All boreholes'!AM49</f>
        <v>0</v>
      </c>
      <c r="V46">
        <f t="shared" si="15"/>
        <v>0</v>
      </c>
      <c r="W46">
        <f t="shared" si="16"/>
        <v>0</v>
      </c>
      <c r="X46" t="e">
        <f t="shared" si="17"/>
        <v>#DIV/0!</v>
      </c>
      <c r="Z46">
        <f t="shared" si="18"/>
        <v>0</v>
      </c>
      <c r="AA46" t="e">
        <f t="shared" si="19"/>
        <v>#DIV/0!</v>
      </c>
    </row>
    <row r="47" spans="2:39">
      <c r="B47" s="209">
        <f>'All boreholes'!C50</f>
        <v>0</v>
      </c>
      <c r="C47" s="209">
        <f>'All boreholes'!H50</f>
        <v>0</v>
      </c>
      <c r="D47" s="226">
        <f>'All boreholes'!AG50</f>
        <v>0</v>
      </c>
      <c r="E47">
        <f t="shared" si="2"/>
        <v>0</v>
      </c>
      <c r="F47">
        <f t="shared" si="3"/>
        <v>0</v>
      </c>
      <c r="G47">
        <f t="shared" si="4"/>
        <v>0</v>
      </c>
      <c r="H47">
        <f t="shared" si="5"/>
        <v>0</v>
      </c>
      <c r="I47">
        <f t="shared" si="6"/>
        <v>0</v>
      </c>
      <c r="J47" s="225">
        <f>'All boreholes'!AM50</f>
        <v>0</v>
      </c>
      <c r="K47">
        <f t="shared" si="7"/>
        <v>0</v>
      </c>
      <c r="L47">
        <f t="shared" si="8"/>
        <v>0</v>
      </c>
      <c r="M47" t="e">
        <f t="shared" si="9"/>
        <v>#DIV/0!</v>
      </c>
      <c r="O47" s="209">
        <f>'All boreholes'!AG50</f>
        <v>0</v>
      </c>
      <c r="P47">
        <f t="shared" si="10"/>
        <v>0</v>
      </c>
      <c r="Q47">
        <f t="shared" si="11"/>
        <v>0</v>
      </c>
      <c r="R47">
        <f t="shared" si="12"/>
        <v>0</v>
      </c>
      <c r="S47">
        <f t="shared" si="13"/>
        <v>0</v>
      </c>
      <c r="T47">
        <f t="shared" si="14"/>
        <v>0</v>
      </c>
      <c r="U47" s="225">
        <f>'All boreholes'!AM50</f>
        <v>0</v>
      </c>
      <c r="V47">
        <f t="shared" si="15"/>
        <v>0</v>
      </c>
      <c r="W47">
        <f t="shared" si="16"/>
        <v>0</v>
      </c>
      <c r="X47" t="e">
        <f t="shared" si="17"/>
        <v>#DIV/0!</v>
      </c>
      <c r="Z47">
        <f t="shared" si="18"/>
        <v>0</v>
      </c>
      <c r="AA47" t="e">
        <f t="shared" si="19"/>
        <v>#DIV/0!</v>
      </c>
    </row>
    <row r="48" spans="2:39">
      <c r="B48" s="209">
        <f>'All boreholes'!C51</f>
        <v>0</v>
      </c>
      <c r="C48" s="209">
        <f>'All boreholes'!H51</f>
        <v>0</v>
      </c>
      <c r="D48" s="226">
        <f>'All boreholes'!AG51</f>
        <v>0</v>
      </c>
      <c r="E48">
        <f t="shared" si="2"/>
        <v>0</v>
      </c>
      <c r="F48">
        <f t="shared" si="3"/>
        <v>0</v>
      </c>
      <c r="G48">
        <f t="shared" si="4"/>
        <v>0</v>
      </c>
      <c r="H48">
        <f t="shared" si="5"/>
        <v>0</v>
      </c>
      <c r="I48">
        <f t="shared" si="6"/>
        <v>0</v>
      </c>
      <c r="J48" s="225">
        <f>'All boreholes'!AM51</f>
        <v>0</v>
      </c>
      <c r="K48">
        <f t="shared" si="7"/>
        <v>0</v>
      </c>
      <c r="L48">
        <f t="shared" si="8"/>
        <v>0</v>
      </c>
      <c r="M48" t="e">
        <f t="shared" si="9"/>
        <v>#DIV/0!</v>
      </c>
      <c r="O48" s="209">
        <f>'All boreholes'!AG51</f>
        <v>0</v>
      </c>
      <c r="P48">
        <f t="shared" si="10"/>
        <v>0</v>
      </c>
      <c r="Q48">
        <f t="shared" si="11"/>
        <v>0</v>
      </c>
      <c r="R48">
        <f t="shared" si="12"/>
        <v>0</v>
      </c>
      <c r="S48">
        <f t="shared" si="13"/>
        <v>0</v>
      </c>
      <c r="T48">
        <f t="shared" si="14"/>
        <v>0</v>
      </c>
      <c r="U48" s="225">
        <f>'All boreholes'!AM51</f>
        <v>0</v>
      </c>
      <c r="V48">
        <f t="shared" si="15"/>
        <v>0</v>
      </c>
      <c r="W48">
        <f t="shared" si="16"/>
        <v>0</v>
      </c>
      <c r="X48" t="e">
        <f t="shared" si="17"/>
        <v>#DIV/0!</v>
      </c>
      <c r="Z48">
        <f t="shared" si="18"/>
        <v>0</v>
      </c>
      <c r="AA48" t="e">
        <f t="shared" si="19"/>
        <v>#DIV/0!</v>
      </c>
      <c r="AM48" s="207" t="s">
        <v>150</v>
      </c>
    </row>
    <row r="49" spans="2:40">
      <c r="B49" s="209">
        <f>'All boreholes'!C52</f>
        <v>0</v>
      </c>
      <c r="C49" s="209">
        <f>'All boreholes'!H52</f>
        <v>0</v>
      </c>
      <c r="D49" s="226">
        <f>'All boreholes'!AG52</f>
        <v>0</v>
      </c>
      <c r="E49">
        <f t="shared" si="2"/>
        <v>0</v>
      </c>
      <c r="F49">
        <f t="shared" si="3"/>
        <v>0</v>
      </c>
      <c r="G49">
        <f t="shared" si="4"/>
        <v>0</v>
      </c>
      <c r="H49">
        <f t="shared" si="5"/>
        <v>0</v>
      </c>
      <c r="I49">
        <f t="shared" si="6"/>
        <v>0</v>
      </c>
      <c r="J49" s="225">
        <f>'All boreholes'!AM52</f>
        <v>0</v>
      </c>
      <c r="K49">
        <f t="shared" si="7"/>
        <v>0</v>
      </c>
      <c r="L49">
        <f t="shared" si="8"/>
        <v>0</v>
      </c>
      <c r="M49" t="e">
        <f t="shared" si="9"/>
        <v>#DIV/0!</v>
      </c>
      <c r="O49" s="209">
        <f>'All boreholes'!AG52</f>
        <v>0</v>
      </c>
      <c r="P49">
        <f t="shared" si="10"/>
        <v>0</v>
      </c>
      <c r="Q49">
        <f t="shared" si="11"/>
        <v>0</v>
      </c>
      <c r="R49">
        <f t="shared" si="12"/>
        <v>0</v>
      </c>
      <c r="S49">
        <f t="shared" si="13"/>
        <v>0</v>
      </c>
      <c r="T49">
        <f t="shared" si="14"/>
        <v>0</v>
      </c>
      <c r="U49" s="225">
        <f>'All boreholes'!AM52</f>
        <v>0</v>
      </c>
      <c r="V49">
        <f t="shared" si="15"/>
        <v>0</v>
      </c>
      <c r="W49">
        <f t="shared" si="16"/>
        <v>0</v>
      </c>
      <c r="X49" t="e">
        <f t="shared" si="17"/>
        <v>#DIV/0!</v>
      </c>
      <c r="Z49">
        <f t="shared" si="18"/>
        <v>0</v>
      </c>
      <c r="AA49" t="e">
        <f t="shared" si="19"/>
        <v>#DIV/0!</v>
      </c>
      <c r="AM49" s="210" t="s">
        <v>132</v>
      </c>
      <c r="AN49" s="210" t="s">
        <v>133</v>
      </c>
    </row>
    <row r="50" spans="2:40">
      <c r="B50" s="229">
        <f>'All boreholes'!C53</f>
        <v>0</v>
      </c>
      <c r="C50" s="229">
        <f>'All boreholes'!H53</f>
        <v>0</v>
      </c>
      <c r="D50" s="233">
        <f>'All boreholes'!AG53</f>
        <v>0</v>
      </c>
      <c r="E50" s="234">
        <f t="shared" si="2"/>
        <v>0</v>
      </c>
      <c r="F50" s="234">
        <f t="shared" si="3"/>
        <v>0</v>
      </c>
      <c r="G50" s="234">
        <f t="shared" si="4"/>
        <v>0</v>
      </c>
      <c r="H50" s="234">
        <f t="shared" si="5"/>
        <v>0</v>
      </c>
      <c r="I50" s="234">
        <f t="shared" si="6"/>
        <v>0</v>
      </c>
      <c r="J50" s="235">
        <f>'All boreholes'!AM53</f>
        <v>0</v>
      </c>
      <c r="K50" s="234">
        <f t="shared" si="7"/>
        <v>0</v>
      </c>
      <c r="L50" s="234">
        <f t="shared" si="8"/>
        <v>0</v>
      </c>
      <c r="M50" s="234" t="e">
        <f t="shared" si="9"/>
        <v>#DIV/0!</v>
      </c>
      <c r="N50" s="234"/>
      <c r="O50" s="229">
        <f>'All boreholes'!AG53</f>
        <v>0</v>
      </c>
      <c r="P50" s="234">
        <f t="shared" si="10"/>
        <v>0</v>
      </c>
      <c r="Q50" s="234">
        <f t="shared" si="11"/>
        <v>0</v>
      </c>
      <c r="R50" s="234">
        <f t="shared" si="12"/>
        <v>0</v>
      </c>
      <c r="S50" s="234">
        <f t="shared" si="13"/>
        <v>0</v>
      </c>
      <c r="T50" s="234">
        <f t="shared" si="14"/>
        <v>0</v>
      </c>
      <c r="U50" s="235">
        <f>'All boreholes'!AM53</f>
        <v>0</v>
      </c>
      <c r="V50" s="234">
        <f t="shared" si="15"/>
        <v>0</v>
      </c>
      <c r="W50" s="234">
        <f t="shared" si="16"/>
        <v>0</v>
      </c>
      <c r="X50" s="234" t="e">
        <f t="shared" si="17"/>
        <v>#DIV/0!</v>
      </c>
      <c r="Y50" s="234"/>
      <c r="Z50" s="234">
        <f t="shared" si="18"/>
        <v>0</v>
      </c>
      <c r="AA50" s="234" t="e">
        <f t="shared" si="19"/>
        <v>#DIV/0!</v>
      </c>
      <c r="AM50" s="209">
        <v>1</v>
      </c>
      <c r="AN50" s="209">
        <v>0</v>
      </c>
    </row>
    <row r="51" spans="2:40">
      <c r="B51" s="209">
        <f>'All boreholes'!C54</f>
        <v>0</v>
      </c>
      <c r="C51" s="209">
        <f>'All boreholes'!H54</f>
        <v>0</v>
      </c>
      <c r="D51" s="226">
        <f>'All boreholes'!AG54</f>
        <v>0</v>
      </c>
      <c r="E51">
        <f t="shared" si="2"/>
        <v>0</v>
      </c>
      <c r="F51">
        <f t="shared" si="3"/>
        <v>0</v>
      </c>
      <c r="G51">
        <f t="shared" si="4"/>
        <v>0</v>
      </c>
      <c r="H51">
        <f t="shared" si="5"/>
        <v>0</v>
      </c>
      <c r="I51">
        <f t="shared" si="6"/>
        <v>0</v>
      </c>
      <c r="J51" s="225">
        <f>'All boreholes'!AM54</f>
        <v>0</v>
      </c>
      <c r="K51">
        <f t="shared" si="7"/>
        <v>0</v>
      </c>
      <c r="L51">
        <f t="shared" si="8"/>
        <v>0</v>
      </c>
      <c r="M51" t="e">
        <f t="shared" si="9"/>
        <v>#DIV/0!</v>
      </c>
      <c r="O51" s="209">
        <f>'All boreholes'!AG54</f>
        <v>0</v>
      </c>
      <c r="P51">
        <f t="shared" si="10"/>
        <v>0</v>
      </c>
      <c r="Q51">
        <f t="shared" si="11"/>
        <v>0</v>
      </c>
      <c r="R51">
        <f t="shared" si="12"/>
        <v>0</v>
      </c>
      <c r="S51">
        <f t="shared" si="13"/>
        <v>0</v>
      </c>
      <c r="T51">
        <f t="shared" si="14"/>
        <v>0</v>
      </c>
      <c r="U51" s="225">
        <f>'All boreholes'!AM54</f>
        <v>0</v>
      </c>
      <c r="V51">
        <f t="shared" si="15"/>
        <v>0</v>
      </c>
      <c r="W51">
        <f t="shared" si="16"/>
        <v>0</v>
      </c>
      <c r="X51" t="e">
        <f t="shared" si="17"/>
        <v>#DIV/0!</v>
      </c>
      <c r="Z51">
        <f t="shared" si="18"/>
        <v>0</v>
      </c>
      <c r="AA51" t="e">
        <f t="shared" si="19"/>
        <v>#DIV/0!</v>
      </c>
      <c r="AM51" s="209">
        <v>1</v>
      </c>
      <c r="AN51" s="209">
        <v>20</v>
      </c>
    </row>
    <row r="52" spans="2:40">
      <c r="B52" s="209">
        <f>'All boreholes'!C55</f>
        <v>0</v>
      </c>
      <c r="C52" s="209">
        <f>'All boreholes'!H55</f>
        <v>0</v>
      </c>
      <c r="D52" s="226">
        <f>'All boreholes'!AG55</f>
        <v>0</v>
      </c>
      <c r="E52">
        <f t="shared" si="2"/>
        <v>0</v>
      </c>
      <c r="F52">
        <f t="shared" si="3"/>
        <v>0</v>
      </c>
      <c r="G52">
        <f t="shared" si="4"/>
        <v>0</v>
      </c>
      <c r="H52">
        <f t="shared" si="5"/>
        <v>0</v>
      </c>
      <c r="I52">
        <f t="shared" si="6"/>
        <v>0</v>
      </c>
      <c r="J52" s="225">
        <f>'All boreholes'!AM55</f>
        <v>0</v>
      </c>
      <c r="K52">
        <f t="shared" si="7"/>
        <v>0</v>
      </c>
      <c r="L52">
        <f t="shared" si="8"/>
        <v>0</v>
      </c>
      <c r="M52" t="e">
        <f t="shared" si="9"/>
        <v>#DIV/0!</v>
      </c>
      <c r="O52" s="209">
        <f>'All boreholes'!AG55</f>
        <v>0</v>
      </c>
      <c r="P52">
        <f t="shared" si="10"/>
        <v>0</v>
      </c>
      <c r="Q52">
        <f t="shared" si="11"/>
        <v>0</v>
      </c>
      <c r="R52">
        <f t="shared" si="12"/>
        <v>0</v>
      </c>
      <c r="S52">
        <f t="shared" si="13"/>
        <v>0</v>
      </c>
      <c r="T52">
        <f t="shared" si="14"/>
        <v>0</v>
      </c>
      <c r="U52" s="225">
        <f>'All boreholes'!AM55</f>
        <v>0</v>
      </c>
      <c r="V52">
        <f t="shared" si="15"/>
        <v>0</v>
      </c>
      <c r="W52">
        <f t="shared" si="16"/>
        <v>0</v>
      </c>
      <c r="X52" t="e">
        <f t="shared" si="17"/>
        <v>#DIV/0!</v>
      </c>
      <c r="Z52">
        <f t="shared" si="18"/>
        <v>0</v>
      </c>
      <c r="AA52" t="e">
        <f t="shared" si="19"/>
        <v>#DIV/0!</v>
      </c>
      <c r="AM52" s="209"/>
      <c r="AN52" s="209"/>
    </row>
    <row r="53" spans="2:40">
      <c r="B53" s="209">
        <f>'All boreholes'!C56</f>
        <v>0</v>
      </c>
      <c r="C53" s="209">
        <f>'All boreholes'!H56</f>
        <v>0</v>
      </c>
      <c r="D53" s="226">
        <f>'All boreholes'!AG56</f>
        <v>0</v>
      </c>
      <c r="E53">
        <f t="shared" si="2"/>
        <v>0</v>
      </c>
      <c r="F53">
        <f t="shared" si="3"/>
        <v>0</v>
      </c>
      <c r="G53">
        <f t="shared" si="4"/>
        <v>0</v>
      </c>
      <c r="H53">
        <f t="shared" si="5"/>
        <v>0</v>
      </c>
      <c r="I53">
        <f t="shared" si="6"/>
        <v>0</v>
      </c>
      <c r="J53" s="225">
        <f>'All boreholes'!AM56</f>
        <v>0</v>
      </c>
      <c r="K53">
        <f t="shared" si="7"/>
        <v>0</v>
      </c>
      <c r="L53">
        <f t="shared" si="8"/>
        <v>0</v>
      </c>
      <c r="M53" t="e">
        <f t="shared" si="9"/>
        <v>#DIV/0!</v>
      </c>
      <c r="O53" s="209">
        <f>'All boreholes'!AG56</f>
        <v>0</v>
      </c>
      <c r="P53">
        <f t="shared" si="10"/>
        <v>0</v>
      </c>
      <c r="Q53">
        <f t="shared" si="11"/>
        <v>0</v>
      </c>
      <c r="R53">
        <f t="shared" si="12"/>
        <v>0</v>
      </c>
      <c r="S53">
        <f t="shared" si="13"/>
        <v>0</v>
      </c>
      <c r="T53">
        <f t="shared" si="14"/>
        <v>0</v>
      </c>
      <c r="U53" s="225">
        <f>'All boreholes'!AM56</f>
        <v>0</v>
      </c>
      <c r="V53">
        <f t="shared" si="15"/>
        <v>0</v>
      </c>
      <c r="W53">
        <f t="shared" si="16"/>
        <v>0</v>
      </c>
      <c r="X53" t="e">
        <f t="shared" si="17"/>
        <v>#DIV/0!</v>
      </c>
      <c r="Z53">
        <f t="shared" si="18"/>
        <v>0</v>
      </c>
      <c r="AA53" t="e">
        <f t="shared" si="19"/>
        <v>#DIV/0!</v>
      </c>
      <c r="AM53" s="220">
        <v>1.2</v>
      </c>
      <c r="AN53" s="209">
        <v>0</v>
      </c>
    </row>
    <row r="54" spans="2:40">
      <c r="B54" s="209">
        <f>'All boreholes'!C57</f>
        <v>0</v>
      </c>
      <c r="C54" s="209">
        <f>'All boreholes'!H57</f>
        <v>0</v>
      </c>
      <c r="D54" s="226">
        <f>'All boreholes'!AG57</f>
        <v>0</v>
      </c>
      <c r="E54">
        <f t="shared" si="2"/>
        <v>0</v>
      </c>
      <c r="F54">
        <f t="shared" si="3"/>
        <v>0</v>
      </c>
      <c r="G54">
        <f t="shared" si="4"/>
        <v>0</v>
      </c>
      <c r="H54">
        <f t="shared" si="5"/>
        <v>0</v>
      </c>
      <c r="I54">
        <f t="shared" si="6"/>
        <v>0</v>
      </c>
      <c r="J54" s="225">
        <f>'All boreholes'!AM57</f>
        <v>0</v>
      </c>
      <c r="K54">
        <f t="shared" si="7"/>
        <v>0</v>
      </c>
      <c r="L54">
        <f t="shared" si="8"/>
        <v>0</v>
      </c>
      <c r="M54" t="e">
        <f t="shared" si="9"/>
        <v>#DIV/0!</v>
      </c>
      <c r="O54" s="209">
        <f>'All boreholes'!AG57</f>
        <v>0</v>
      </c>
      <c r="P54">
        <f t="shared" si="10"/>
        <v>0</v>
      </c>
      <c r="Q54">
        <f t="shared" si="11"/>
        <v>0</v>
      </c>
      <c r="R54">
        <f t="shared" si="12"/>
        <v>0</v>
      </c>
      <c r="S54">
        <f t="shared" si="13"/>
        <v>0</v>
      </c>
      <c r="T54">
        <f t="shared" si="14"/>
        <v>0</v>
      </c>
      <c r="U54" s="225">
        <f>'All boreholes'!AM57</f>
        <v>0</v>
      </c>
      <c r="V54">
        <f t="shared" si="15"/>
        <v>0</v>
      </c>
      <c r="W54">
        <f t="shared" si="16"/>
        <v>0</v>
      </c>
      <c r="X54" t="e">
        <f t="shared" si="17"/>
        <v>#DIV/0!</v>
      </c>
      <c r="Z54">
        <f t="shared" si="18"/>
        <v>0</v>
      </c>
      <c r="AA54" t="e">
        <f t="shared" si="19"/>
        <v>#DIV/0!</v>
      </c>
      <c r="AM54" s="220">
        <v>1.2</v>
      </c>
      <c r="AN54" s="209">
        <v>20</v>
      </c>
    </row>
    <row r="55" spans="2:40">
      <c r="B55" s="209">
        <f>'All boreholes'!C58</f>
        <v>0</v>
      </c>
      <c r="C55" s="209">
        <f>'All boreholes'!H58</f>
        <v>0</v>
      </c>
      <c r="D55" s="226">
        <f>'All boreholes'!AG58</f>
        <v>0</v>
      </c>
      <c r="E55">
        <f t="shared" si="2"/>
        <v>0</v>
      </c>
      <c r="F55">
        <f t="shared" si="3"/>
        <v>0</v>
      </c>
      <c r="G55">
        <f t="shared" si="4"/>
        <v>0</v>
      </c>
      <c r="H55">
        <f t="shared" si="5"/>
        <v>0</v>
      </c>
      <c r="I55">
        <f t="shared" si="6"/>
        <v>0</v>
      </c>
      <c r="J55" s="225">
        <f>'All boreholes'!AM58</f>
        <v>0</v>
      </c>
      <c r="K55">
        <f t="shared" si="7"/>
        <v>0</v>
      </c>
      <c r="L55">
        <f t="shared" si="8"/>
        <v>0</v>
      </c>
      <c r="M55" t="e">
        <f t="shared" si="9"/>
        <v>#DIV/0!</v>
      </c>
      <c r="O55" s="209">
        <f>'All boreholes'!AG58</f>
        <v>0</v>
      </c>
      <c r="P55">
        <f t="shared" si="10"/>
        <v>0</v>
      </c>
      <c r="Q55">
        <f t="shared" si="11"/>
        <v>0</v>
      </c>
      <c r="R55">
        <f t="shared" si="12"/>
        <v>0</v>
      </c>
      <c r="S55">
        <f t="shared" si="13"/>
        <v>0</v>
      </c>
      <c r="T55">
        <f t="shared" si="14"/>
        <v>0</v>
      </c>
      <c r="U55" s="225">
        <f>'All boreholes'!AM58</f>
        <v>0</v>
      </c>
      <c r="V55">
        <f t="shared" si="15"/>
        <v>0</v>
      </c>
      <c r="W55">
        <f t="shared" si="16"/>
        <v>0</v>
      </c>
      <c r="X55" t="e">
        <f t="shared" si="17"/>
        <v>#DIV/0!</v>
      </c>
      <c r="Z55">
        <f t="shared" si="18"/>
        <v>0</v>
      </c>
      <c r="AA55" t="e">
        <f t="shared" si="19"/>
        <v>#DIV/0!</v>
      </c>
    </row>
    <row r="56" spans="2:40">
      <c r="B56" s="209">
        <f>'All boreholes'!C59</f>
        <v>0</v>
      </c>
      <c r="C56" s="209">
        <f>'All boreholes'!H59</f>
        <v>0</v>
      </c>
      <c r="D56" s="226">
        <f>'All boreholes'!AG59</f>
        <v>0</v>
      </c>
      <c r="E56">
        <f t="shared" si="2"/>
        <v>0</v>
      </c>
      <c r="F56">
        <f t="shared" si="3"/>
        <v>0</v>
      </c>
      <c r="G56">
        <f t="shared" si="4"/>
        <v>0</v>
      </c>
      <c r="H56">
        <f t="shared" si="5"/>
        <v>0</v>
      </c>
      <c r="I56">
        <f t="shared" si="6"/>
        <v>0</v>
      </c>
      <c r="J56" s="225">
        <f>'All boreholes'!AM59</f>
        <v>0</v>
      </c>
      <c r="K56">
        <f t="shared" si="7"/>
        <v>0</v>
      </c>
      <c r="L56">
        <f t="shared" si="8"/>
        <v>0</v>
      </c>
      <c r="M56" t="e">
        <f t="shared" si="9"/>
        <v>#DIV/0!</v>
      </c>
      <c r="O56" s="209">
        <f>'All boreholes'!AG59</f>
        <v>0</v>
      </c>
      <c r="P56">
        <f t="shared" si="10"/>
        <v>0</v>
      </c>
      <c r="Q56">
        <f t="shared" si="11"/>
        <v>0</v>
      </c>
      <c r="R56">
        <f t="shared" si="12"/>
        <v>0</v>
      </c>
      <c r="S56">
        <f t="shared" si="13"/>
        <v>0</v>
      </c>
      <c r="T56">
        <f t="shared" si="14"/>
        <v>0</v>
      </c>
      <c r="U56" s="225">
        <f>'All boreholes'!AM59</f>
        <v>0</v>
      </c>
      <c r="V56">
        <f t="shared" si="15"/>
        <v>0</v>
      </c>
      <c r="W56">
        <f t="shared" si="16"/>
        <v>0</v>
      </c>
      <c r="X56" t="e">
        <f t="shared" si="17"/>
        <v>#DIV/0!</v>
      </c>
      <c r="Z56">
        <f t="shared" si="18"/>
        <v>0</v>
      </c>
      <c r="AA56" t="e">
        <f t="shared" si="19"/>
        <v>#DIV/0!</v>
      </c>
    </row>
    <row r="57" spans="2:40">
      <c r="B57" s="209">
        <f>'All boreholes'!C60</f>
        <v>0</v>
      </c>
      <c r="C57" s="209">
        <f>'All boreholes'!H60</f>
        <v>0</v>
      </c>
      <c r="D57" s="226">
        <f>'All boreholes'!AG60</f>
        <v>0</v>
      </c>
      <c r="E57">
        <f t="shared" si="2"/>
        <v>0</v>
      </c>
      <c r="F57">
        <f t="shared" si="3"/>
        <v>0</v>
      </c>
      <c r="G57">
        <f t="shared" si="4"/>
        <v>0</v>
      </c>
      <c r="H57">
        <f t="shared" si="5"/>
        <v>0</v>
      </c>
      <c r="I57">
        <f t="shared" si="6"/>
        <v>0</v>
      </c>
      <c r="J57" s="225">
        <f>'All boreholes'!AM60</f>
        <v>0</v>
      </c>
      <c r="K57">
        <f t="shared" si="7"/>
        <v>0</v>
      </c>
      <c r="L57">
        <f t="shared" si="8"/>
        <v>0</v>
      </c>
      <c r="M57" t="e">
        <f t="shared" si="9"/>
        <v>#DIV/0!</v>
      </c>
      <c r="O57" s="209">
        <f>'All boreholes'!AG60</f>
        <v>0</v>
      </c>
      <c r="P57">
        <f t="shared" si="10"/>
        <v>0</v>
      </c>
      <c r="Q57">
        <f t="shared" si="11"/>
        <v>0</v>
      </c>
      <c r="R57">
        <f t="shared" si="12"/>
        <v>0</v>
      </c>
      <c r="S57">
        <f t="shared" si="13"/>
        <v>0</v>
      </c>
      <c r="T57">
        <f t="shared" si="14"/>
        <v>0</v>
      </c>
      <c r="U57" s="225">
        <f>'All boreholes'!AM60</f>
        <v>0</v>
      </c>
      <c r="V57">
        <f t="shared" si="15"/>
        <v>0</v>
      </c>
      <c r="W57">
        <f t="shared" si="16"/>
        <v>0</v>
      </c>
      <c r="X57" t="e">
        <f t="shared" si="17"/>
        <v>#DIV/0!</v>
      </c>
      <c r="Z57">
        <f t="shared" si="18"/>
        <v>0</v>
      </c>
      <c r="AA57" t="e">
        <f t="shared" si="19"/>
        <v>#DIV/0!</v>
      </c>
    </row>
    <row r="58" spans="2:40">
      <c r="B58" s="209">
        <f>'All boreholes'!C61</f>
        <v>0</v>
      </c>
      <c r="C58" s="209">
        <f>'All boreholes'!H61</f>
        <v>0</v>
      </c>
      <c r="D58" s="226">
        <f>'All boreholes'!AG61</f>
        <v>0</v>
      </c>
      <c r="E58">
        <f t="shared" si="2"/>
        <v>0</v>
      </c>
      <c r="F58">
        <f t="shared" si="3"/>
        <v>0</v>
      </c>
      <c r="G58">
        <f t="shared" si="4"/>
        <v>0</v>
      </c>
      <c r="H58">
        <f t="shared" si="5"/>
        <v>0</v>
      </c>
      <c r="I58">
        <f t="shared" si="6"/>
        <v>0</v>
      </c>
      <c r="J58" s="225">
        <f>'All boreholes'!AM61</f>
        <v>0</v>
      </c>
      <c r="K58">
        <f t="shared" si="7"/>
        <v>0</v>
      </c>
      <c r="L58">
        <f t="shared" si="8"/>
        <v>0</v>
      </c>
      <c r="M58" t="e">
        <f t="shared" si="9"/>
        <v>#DIV/0!</v>
      </c>
      <c r="O58" s="209">
        <f>'All boreholes'!AG61</f>
        <v>0</v>
      </c>
      <c r="P58">
        <f t="shared" si="10"/>
        <v>0</v>
      </c>
      <c r="Q58">
        <f t="shared" si="11"/>
        <v>0</v>
      </c>
      <c r="R58">
        <f t="shared" si="12"/>
        <v>0</v>
      </c>
      <c r="S58">
        <f t="shared" si="13"/>
        <v>0</v>
      </c>
      <c r="T58">
        <f t="shared" si="14"/>
        <v>0</v>
      </c>
      <c r="U58" s="225">
        <f>'All boreholes'!AM61</f>
        <v>0</v>
      </c>
      <c r="V58">
        <f t="shared" si="15"/>
        <v>0</v>
      </c>
      <c r="W58">
        <f t="shared" si="16"/>
        <v>0</v>
      </c>
      <c r="X58" t="e">
        <f t="shared" si="17"/>
        <v>#DIV/0!</v>
      </c>
      <c r="Z58">
        <f t="shared" si="18"/>
        <v>0</v>
      </c>
      <c r="AA58" t="e">
        <f t="shared" si="19"/>
        <v>#DIV/0!</v>
      </c>
    </row>
    <row r="59" spans="2:40">
      <c r="B59" s="209">
        <f>'All boreholes'!C62</f>
        <v>0</v>
      </c>
      <c r="C59" s="209">
        <f>'All boreholes'!H62</f>
        <v>0</v>
      </c>
      <c r="D59" s="226">
        <f>'All boreholes'!AG62</f>
        <v>0</v>
      </c>
      <c r="E59">
        <f t="shared" si="2"/>
        <v>0</v>
      </c>
      <c r="F59">
        <f t="shared" si="3"/>
        <v>0</v>
      </c>
      <c r="G59">
        <f t="shared" si="4"/>
        <v>0</v>
      </c>
      <c r="H59">
        <f t="shared" si="5"/>
        <v>0</v>
      </c>
      <c r="I59">
        <f t="shared" si="6"/>
        <v>0</v>
      </c>
      <c r="J59" s="225">
        <f>'All boreholes'!AM62</f>
        <v>0</v>
      </c>
      <c r="K59">
        <f t="shared" si="7"/>
        <v>0</v>
      </c>
      <c r="L59">
        <f t="shared" si="8"/>
        <v>0</v>
      </c>
      <c r="M59" t="e">
        <f t="shared" si="9"/>
        <v>#DIV/0!</v>
      </c>
      <c r="O59" s="209">
        <f>'All boreholes'!AG62</f>
        <v>0</v>
      </c>
      <c r="P59">
        <f t="shared" si="10"/>
        <v>0</v>
      </c>
      <c r="Q59">
        <f t="shared" si="11"/>
        <v>0</v>
      </c>
      <c r="R59">
        <f t="shared" si="12"/>
        <v>0</v>
      </c>
      <c r="S59">
        <f t="shared" si="13"/>
        <v>0</v>
      </c>
      <c r="T59">
        <f t="shared" si="14"/>
        <v>0</v>
      </c>
      <c r="U59" s="225">
        <f>'All boreholes'!AM62</f>
        <v>0</v>
      </c>
      <c r="V59">
        <f t="shared" si="15"/>
        <v>0</v>
      </c>
      <c r="W59">
        <f t="shared" si="16"/>
        <v>0</v>
      </c>
      <c r="X59" t="e">
        <f t="shared" si="17"/>
        <v>#DIV/0!</v>
      </c>
      <c r="Z59">
        <f t="shared" si="18"/>
        <v>0</v>
      </c>
      <c r="AA59" t="e">
        <f t="shared" si="19"/>
        <v>#DIV/0!</v>
      </c>
    </row>
    <row r="60" spans="2:40">
      <c r="B60" s="209">
        <f>'All boreholes'!C63</f>
        <v>0</v>
      </c>
      <c r="C60" s="209">
        <f>'All boreholes'!H63</f>
        <v>0</v>
      </c>
      <c r="D60" s="226">
        <f>'All boreholes'!AG63</f>
        <v>0</v>
      </c>
      <c r="E60">
        <f t="shared" si="2"/>
        <v>0</v>
      </c>
      <c r="F60">
        <f t="shared" si="3"/>
        <v>0</v>
      </c>
      <c r="G60">
        <f t="shared" si="4"/>
        <v>0</v>
      </c>
      <c r="H60">
        <f t="shared" si="5"/>
        <v>0</v>
      </c>
      <c r="I60">
        <f t="shared" si="6"/>
        <v>0</v>
      </c>
      <c r="J60" s="225">
        <f>'All boreholes'!AM63</f>
        <v>0</v>
      </c>
      <c r="K60">
        <f t="shared" si="7"/>
        <v>0</v>
      </c>
      <c r="L60">
        <f t="shared" si="8"/>
        <v>0</v>
      </c>
      <c r="M60" t="e">
        <f t="shared" si="9"/>
        <v>#DIV/0!</v>
      </c>
      <c r="O60" s="209">
        <f>'All boreholes'!AG63</f>
        <v>0</v>
      </c>
      <c r="P60">
        <f t="shared" si="10"/>
        <v>0</v>
      </c>
      <c r="Q60">
        <f t="shared" si="11"/>
        <v>0</v>
      </c>
      <c r="R60">
        <f t="shared" si="12"/>
        <v>0</v>
      </c>
      <c r="S60">
        <f t="shared" si="13"/>
        <v>0</v>
      </c>
      <c r="T60">
        <f t="shared" si="14"/>
        <v>0</v>
      </c>
      <c r="U60" s="225">
        <f>'All boreholes'!AM63</f>
        <v>0</v>
      </c>
      <c r="V60">
        <f t="shared" si="15"/>
        <v>0</v>
      </c>
      <c r="W60">
        <f t="shared" si="16"/>
        <v>0</v>
      </c>
      <c r="X60" t="e">
        <f t="shared" si="17"/>
        <v>#DIV/0!</v>
      </c>
      <c r="Z60">
        <f t="shared" si="18"/>
        <v>0</v>
      </c>
      <c r="AA60" t="e">
        <f t="shared" si="19"/>
        <v>#DIV/0!</v>
      </c>
    </row>
    <row r="61" spans="2:40">
      <c r="B61" s="209">
        <f>'All boreholes'!C64</f>
        <v>0</v>
      </c>
      <c r="C61" s="209">
        <f>'All boreholes'!H64</f>
        <v>0</v>
      </c>
      <c r="D61" s="226">
        <f>'All boreholes'!AG64</f>
        <v>0</v>
      </c>
      <c r="E61">
        <f t="shared" si="2"/>
        <v>0</v>
      </c>
      <c r="F61">
        <f t="shared" si="3"/>
        <v>0</v>
      </c>
      <c r="G61">
        <f t="shared" si="4"/>
        <v>0</v>
      </c>
      <c r="H61">
        <f t="shared" si="5"/>
        <v>0</v>
      </c>
      <c r="I61">
        <f t="shared" si="6"/>
        <v>0</v>
      </c>
      <c r="J61" s="225">
        <f>'All boreholes'!AM64</f>
        <v>0</v>
      </c>
      <c r="K61">
        <f t="shared" si="7"/>
        <v>0</v>
      </c>
      <c r="L61">
        <f t="shared" si="8"/>
        <v>0</v>
      </c>
      <c r="M61" t="e">
        <f t="shared" si="9"/>
        <v>#DIV/0!</v>
      </c>
      <c r="O61" s="209">
        <f>'All boreholes'!AG64</f>
        <v>0</v>
      </c>
      <c r="P61">
        <f t="shared" si="10"/>
        <v>0</v>
      </c>
      <c r="Q61">
        <f t="shared" si="11"/>
        <v>0</v>
      </c>
      <c r="R61">
        <f t="shared" si="12"/>
        <v>0</v>
      </c>
      <c r="S61">
        <f t="shared" si="13"/>
        <v>0</v>
      </c>
      <c r="T61">
        <f t="shared" si="14"/>
        <v>0</v>
      </c>
      <c r="U61" s="225">
        <f>'All boreholes'!AM64</f>
        <v>0</v>
      </c>
      <c r="V61">
        <f t="shared" si="15"/>
        <v>0</v>
      </c>
      <c r="W61">
        <f t="shared" si="16"/>
        <v>0</v>
      </c>
      <c r="X61" t="e">
        <f t="shared" si="17"/>
        <v>#DIV/0!</v>
      </c>
      <c r="Z61">
        <f t="shared" si="18"/>
        <v>0</v>
      </c>
      <c r="AA61" t="e">
        <f t="shared" si="19"/>
        <v>#DIV/0!</v>
      </c>
    </row>
    <row r="62" spans="2:40">
      <c r="B62" s="209">
        <f>'All boreholes'!C65</f>
        <v>0</v>
      </c>
      <c r="C62" s="209">
        <f>'All boreholes'!H65</f>
        <v>0</v>
      </c>
      <c r="D62" s="226">
        <f>'All boreholes'!AG65</f>
        <v>0</v>
      </c>
      <c r="E62">
        <f t="shared" si="2"/>
        <v>0</v>
      </c>
      <c r="F62">
        <f t="shared" si="3"/>
        <v>0</v>
      </c>
      <c r="G62">
        <f t="shared" si="4"/>
        <v>0</v>
      </c>
      <c r="H62">
        <f t="shared" si="5"/>
        <v>0</v>
      </c>
      <c r="I62">
        <f t="shared" si="6"/>
        <v>0</v>
      </c>
      <c r="J62" s="225">
        <f>'All boreholes'!AM65</f>
        <v>0</v>
      </c>
      <c r="K62">
        <f t="shared" si="7"/>
        <v>0</v>
      </c>
      <c r="L62">
        <f t="shared" si="8"/>
        <v>0</v>
      </c>
      <c r="M62" t="e">
        <f t="shared" si="9"/>
        <v>#DIV/0!</v>
      </c>
      <c r="O62" s="209">
        <f>'All boreholes'!AG65</f>
        <v>0</v>
      </c>
      <c r="P62">
        <f t="shared" si="10"/>
        <v>0</v>
      </c>
      <c r="Q62">
        <f t="shared" si="11"/>
        <v>0</v>
      </c>
      <c r="R62">
        <f t="shared" si="12"/>
        <v>0</v>
      </c>
      <c r="S62">
        <f t="shared" si="13"/>
        <v>0</v>
      </c>
      <c r="T62">
        <f t="shared" si="14"/>
        <v>0</v>
      </c>
      <c r="U62" s="225">
        <f>'All boreholes'!AM65</f>
        <v>0</v>
      </c>
      <c r="V62">
        <f t="shared" si="15"/>
        <v>0</v>
      </c>
      <c r="W62">
        <f t="shared" si="16"/>
        <v>0</v>
      </c>
      <c r="X62" t="e">
        <f t="shared" si="17"/>
        <v>#DIV/0!</v>
      </c>
      <c r="Z62">
        <f t="shared" si="18"/>
        <v>0</v>
      </c>
      <c r="AA62" t="e">
        <f t="shared" si="19"/>
        <v>#DIV/0!</v>
      </c>
    </row>
    <row r="63" spans="2:40">
      <c r="B63" s="209">
        <f>'All boreholes'!C66</f>
        <v>0</v>
      </c>
      <c r="C63" s="209">
        <f>'All boreholes'!H66</f>
        <v>0</v>
      </c>
      <c r="D63" s="226">
        <f>'All boreholes'!AG66</f>
        <v>0</v>
      </c>
      <c r="E63">
        <f t="shared" si="2"/>
        <v>0</v>
      </c>
      <c r="F63">
        <f t="shared" si="3"/>
        <v>0</v>
      </c>
      <c r="G63">
        <f t="shared" si="4"/>
        <v>0</v>
      </c>
      <c r="H63">
        <f t="shared" si="5"/>
        <v>0</v>
      </c>
      <c r="I63">
        <f t="shared" si="6"/>
        <v>0</v>
      </c>
      <c r="J63" s="225">
        <f>'All boreholes'!AM66</f>
        <v>0</v>
      </c>
      <c r="K63">
        <f t="shared" si="7"/>
        <v>0</v>
      </c>
      <c r="L63">
        <f t="shared" si="8"/>
        <v>0</v>
      </c>
      <c r="M63" t="e">
        <f t="shared" si="9"/>
        <v>#DIV/0!</v>
      </c>
      <c r="O63" s="209">
        <f>'All boreholes'!AG66</f>
        <v>0</v>
      </c>
      <c r="P63">
        <f t="shared" si="10"/>
        <v>0</v>
      </c>
      <c r="Q63">
        <f t="shared" si="11"/>
        <v>0</v>
      </c>
      <c r="R63">
        <f t="shared" si="12"/>
        <v>0</v>
      </c>
      <c r="S63">
        <f t="shared" si="13"/>
        <v>0</v>
      </c>
      <c r="T63">
        <f t="shared" si="14"/>
        <v>0</v>
      </c>
      <c r="U63" s="225">
        <f>'All boreholes'!AM66</f>
        <v>0</v>
      </c>
      <c r="V63">
        <f t="shared" si="15"/>
        <v>0</v>
      </c>
      <c r="W63">
        <f t="shared" si="16"/>
        <v>0</v>
      </c>
      <c r="X63" t="e">
        <f t="shared" si="17"/>
        <v>#DIV/0!</v>
      </c>
      <c r="Z63">
        <f t="shared" si="18"/>
        <v>0</v>
      </c>
      <c r="AA63" t="e">
        <f t="shared" si="19"/>
        <v>#DIV/0!</v>
      </c>
    </row>
    <row r="64" spans="2:40">
      <c r="B64" s="209">
        <f>'All boreholes'!C67</f>
        <v>0</v>
      </c>
      <c r="C64" s="209">
        <f>'All boreholes'!H67</f>
        <v>0</v>
      </c>
      <c r="D64" s="226">
        <f>'All boreholes'!AG67</f>
        <v>0</v>
      </c>
      <c r="E64">
        <f t="shared" si="2"/>
        <v>0</v>
      </c>
      <c r="F64">
        <f t="shared" si="3"/>
        <v>0</v>
      </c>
      <c r="G64">
        <f t="shared" si="4"/>
        <v>0</v>
      </c>
      <c r="H64">
        <f t="shared" si="5"/>
        <v>0</v>
      </c>
      <c r="I64">
        <f t="shared" si="6"/>
        <v>0</v>
      </c>
      <c r="J64" s="225">
        <f>'All boreholes'!AM67</f>
        <v>0</v>
      </c>
      <c r="K64">
        <f t="shared" si="7"/>
        <v>0</v>
      </c>
      <c r="L64">
        <f t="shared" si="8"/>
        <v>0</v>
      </c>
      <c r="M64" t="e">
        <f t="shared" si="9"/>
        <v>#DIV/0!</v>
      </c>
      <c r="O64" s="209">
        <f>'All boreholes'!AG67</f>
        <v>0</v>
      </c>
      <c r="P64">
        <f t="shared" si="10"/>
        <v>0</v>
      </c>
      <c r="Q64">
        <f t="shared" si="11"/>
        <v>0</v>
      </c>
      <c r="R64">
        <f t="shared" si="12"/>
        <v>0</v>
      </c>
      <c r="S64">
        <f t="shared" si="13"/>
        <v>0</v>
      </c>
      <c r="T64">
        <f t="shared" si="14"/>
        <v>0</v>
      </c>
      <c r="U64" s="225">
        <f>'All boreholes'!AM67</f>
        <v>0</v>
      </c>
      <c r="V64">
        <f t="shared" si="15"/>
        <v>0</v>
      </c>
      <c r="W64">
        <f t="shared" si="16"/>
        <v>0</v>
      </c>
      <c r="X64" t="e">
        <f t="shared" si="17"/>
        <v>#DIV/0!</v>
      </c>
      <c r="Z64">
        <f t="shared" si="18"/>
        <v>0</v>
      </c>
      <c r="AA64" t="e">
        <f t="shared" si="19"/>
        <v>#DIV/0!</v>
      </c>
    </row>
    <row r="65" spans="2:27">
      <c r="B65" s="209">
        <f>'All boreholes'!C68</f>
        <v>0</v>
      </c>
      <c r="C65" s="209">
        <f>'All boreholes'!H68</f>
        <v>0</v>
      </c>
      <c r="D65" s="226">
        <f>'All boreholes'!AG68</f>
        <v>0</v>
      </c>
      <c r="E65">
        <f t="shared" si="2"/>
        <v>0</v>
      </c>
      <c r="F65">
        <f t="shared" si="3"/>
        <v>0</v>
      </c>
      <c r="G65">
        <f t="shared" si="4"/>
        <v>0</v>
      </c>
      <c r="H65">
        <f t="shared" si="5"/>
        <v>0</v>
      </c>
      <c r="I65">
        <f t="shared" si="6"/>
        <v>0</v>
      </c>
      <c r="J65" s="225">
        <f>'All boreholes'!AM68</f>
        <v>0</v>
      </c>
      <c r="K65">
        <f t="shared" si="7"/>
        <v>0</v>
      </c>
      <c r="L65">
        <f t="shared" si="8"/>
        <v>0</v>
      </c>
      <c r="M65" t="e">
        <f t="shared" si="9"/>
        <v>#DIV/0!</v>
      </c>
      <c r="O65" s="209">
        <f>'All boreholes'!AG68</f>
        <v>0</v>
      </c>
      <c r="P65">
        <f t="shared" si="10"/>
        <v>0</v>
      </c>
      <c r="Q65">
        <f t="shared" si="11"/>
        <v>0</v>
      </c>
      <c r="R65">
        <f t="shared" si="12"/>
        <v>0</v>
      </c>
      <c r="S65">
        <f t="shared" si="13"/>
        <v>0</v>
      </c>
      <c r="T65">
        <f t="shared" si="14"/>
        <v>0</v>
      </c>
      <c r="U65" s="225">
        <f>'All boreholes'!AM68</f>
        <v>0</v>
      </c>
      <c r="V65">
        <f t="shared" si="15"/>
        <v>0</v>
      </c>
      <c r="W65">
        <f t="shared" si="16"/>
        <v>0</v>
      </c>
      <c r="X65" t="e">
        <f t="shared" si="17"/>
        <v>#DIV/0!</v>
      </c>
      <c r="Z65">
        <f t="shared" si="18"/>
        <v>0</v>
      </c>
      <c r="AA65" t="e">
        <f t="shared" si="19"/>
        <v>#DIV/0!</v>
      </c>
    </row>
    <row r="66" spans="2:27">
      <c r="B66" s="209">
        <f>'All boreholes'!C69</f>
        <v>0</v>
      </c>
      <c r="C66" s="209">
        <f>'All boreholes'!H69</f>
        <v>0</v>
      </c>
      <c r="D66" s="226">
        <f>'All boreholes'!AG69</f>
        <v>0</v>
      </c>
      <c r="E66">
        <f t="shared" si="2"/>
        <v>0</v>
      </c>
      <c r="F66">
        <f t="shared" si="3"/>
        <v>0</v>
      </c>
      <c r="G66">
        <f t="shared" si="4"/>
        <v>0</v>
      </c>
      <c r="H66">
        <f t="shared" si="5"/>
        <v>0</v>
      </c>
      <c r="I66">
        <f t="shared" si="6"/>
        <v>0</v>
      </c>
      <c r="J66" s="225">
        <f>'All boreholes'!AM69</f>
        <v>0</v>
      </c>
      <c r="K66">
        <f t="shared" si="7"/>
        <v>0</v>
      </c>
      <c r="L66">
        <f t="shared" si="8"/>
        <v>0</v>
      </c>
      <c r="M66" t="e">
        <f t="shared" si="9"/>
        <v>#DIV/0!</v>
      </c>
      <c r="O66" s="209">
        <f>'All boreholes'!AG69</f>
        <v>0</v>
      </c>
      <c r="P66">
        <f t="shared" si="10"/>
        <v>0</v>
      </c>
      <c r="Q66">
        <f t="shared" si="11"/>
        <v>0</v>
      </c>
      <c r="R66">
        <f t="shared" si="12"/>
        <v>0</v>
      </c>
      <c r="S66">
        <f t="shared" si="13"/>
        <v>0</v>
      </c>
      <c r="T66">
        <f t="shared" si="14"/>
        <v>0</v>
      </c>
      <c r="U66" s="225">
        <f>'All boreholes'!AM69</f>
        <v>0</v>
      </c>
      <c r="V66">
        <f t="shared" si="15"/>
        <v>0</v>
      </c>
      <c r="W66">
        <f t="shared" si="16"/>
        <v>0</v>
      </c>
      <c r="X66" t="e">
        <f t="shared" si="17"/>
        <v>#DIV/0!</v>
      </c>
      <c r="Z66">
        <f t="shared" si="18"/>
        <v>0</v>
      </c>
      <c r="AA66" t="e">
        <f t="shared" si="19"/>
        <v>#DIV/0!</v>
      </c>
    </row>
    <row r="67" spans="2:27">
      <c r="B67" s="209">
        <f>'All boreholes'!C70</f>
        <v>0</v>
      </c>
      <c r="C67" s="209">
        <f>'All boreholes'!H70</f>
        <v>0</v>
      </c>
      <c r="D67" s="226">
        <f>'All boreholes'!AG70</f>
        <v>0</v>
      </c>
      <c r="E67">
        <f t="shared" si="2"/>
        <v>0</v>
      </c>
      <c r="F67">
        <f t="shared" si="3"/>
        <v>0</v>
      </c>
      <c r="G67">
        <f t="shared" si="4"/>
        <v>0</v>
      </c>
      <c r="H67">
        <f t="shared" si="5"/>
        <v>0</v>
      </c>
      <c r="I67">
        <f t="shared" si="6"/>
        <v>0</v>
      </c>
      <c r="J67" s="225">
        <f>'All boreholes'!AM70</f>
        <v>0</v>
      </c>
      <c r="K67">
        <f t="shared" si="7"/>
        <v>0</v>
      </c>
      <c r="L67">
        <f t="shared" si="8"/>
        <v>0</v>
      </c>
      <c r="M67" t="e">
        <f t="shared" si="9"/>
        <v>#DIV/0!</v>
      </c>
      <c r="O67" s="209">
        <f>'All boreholes'!AG70</f>
        <v>0</v>
      </c>
      <c r="P67">
        <f t="shared" si="10"/>
        <v>0</v>
      </c>
      <c r="Q67">
        <f t="shared" si="11"/>
        <v>0</v>
      </c>
      <c r="R67">
        <f t="shared" si="12"/>
        <v>0</v>
      </c>
      <c r="S67">
        <f t="shared" si="13"/>
        <v>0</v>
      </c>
      <c r="T67">
        <f t="shared" si="14"/>
        <v>0</v>
      </c>
      <c r="U67" s="225">
        <f>'All boreholes'!AM70</f>
        <v>0</v>
      </c>
      <c r="V67">
        <f t="shared" si="15"/>
        <v>0</v>
      </c>
      <c r="W67">
        <f t="shared" si="16"/>
        <v>0</v>
      </c>
      <c r="X67" t="e">
        <f t="shared" si="17"/>
        <v>#DIV/0!</v>
      </c>
      <c r="Z67">
        <f t="shared" si="18"/>
        <v>0</v>
      </c>
      <c r="AA67" t="e">
        <f t="shared" si="19"/>
        <v>#DIV/0!</v>
      </c>
    </row>
    <row r="68" spans="2:27">
      <c r="B68" s="209">
        <f>'All boreholes'!C71</f>
        <v>0</v>
      </c>
      <c r="C68" s="209">
        <f>'All boreholes'!H71</f>
        <v>0</v>
      </c>
      <c r="D68" s="226">
        <f>'All boreholes'!AG71</f>
        <v>0</v>
      </c>
      <c r="E68">
        <f t="shared" si="2"/>
        <v>0</v>
      </c>
      <c r="F68">
        <f t="shared" si="3"/>
        <v>0</v>
      </c>
      <c r="G68">
        <f t="shared" si="4"/>
        <v>0</v>
      </c>
      <c r="H68">
        <f t="shared" si="5"/>
        <v>0</v>
      </c>
      <c r="I68">
        <f t="shared" si="6"/>
        <v>0</v>
      </c>
      <c r="J68" s="225">
        <f>'All boreholes'!AM71</f>
        <v>0</v>
      </c>
      <c r="K68">
        <f t="shared" si="7"/>
        <v>0</v>
      </c>
      <c r="L68">
        <f t="shared" si="8"/>
        <v>0</v>
      </c>
      <c r="M68" t="e">
        <f t="shared" si="9"/>
        <v>#DIV/0!</v>
      </c>
      <c r="O68" s="209">
        <f>'All boreholes'!AG71</f>
        <v>0</v>
      </c>
      <c r="P68">
        <f t="shared" si="10"/>
        <v>0</v>
      </c>
      <c r="Q68">
        <f t="shared" si="11"/>
        <v>0</v>
      </c>
      <c r="R68">
        <f t="shared" si="12"/>
        <v>0</v>
      </c>
      <c r="S68">
        <f t="shared" si="13"/>
        <v>0</v>
      </c>
      <c r="T68">
        <f t="shared" si="14"/>
        <v>0</v>
      </c>
      <c r="U68" s="225">
        <f>'All boreholes'!AM71</f>
        <v>0</v>
      </c>
      <c r="V68">
        <f t="shared" si="15"/>
        <v>0</v>
      </c>
      <c r="W68">
        <f t="shared" si="16"/>
        <v>0</v>
      </c>
      <c r="X68" t="e">
        <f t="shared" si="17"/>
        <v>#DIV/0!</v>
      </c>
      <c r="Z68">
        <f t="shared" si="18"/>
        <v>0</v>
      </c>
      <c r="AA68" t="e">
        <f t="shared" si="19"/>
        <v>#DIV/0!</v>
      </c>
    </row>
    <row r="69" spans="2:27">
      <c r="B69" s="209">
        <f>'All boreholes'!C72</f>
        <v>0</v>
      </c>
      <c r="C69" s="209">
        <f>'All boreholes'!H72</f>
        <v>0</v>
      </c>
      <c r="D69" s="226">
        <f>'All boreholes'!AG72</f>
        <v>0</v>
      </c>
      <c r="E69">
        <f t="shared" si="2"/>
        <v>0</v>
      </c>
      <c r="F69">
        <f t="shared" si="3"/>
        <v>0</v>
      </c>
      <c r="G69">
        <f t="shared" si="4"/>
        <v>0</v>
      </c>
      <c r="H69">
        <f t="shared" si="5"/>
        <v>0</v>
      </c>
      <c r="I69">
        <f t="shared" si="6"/>
        <v>0</v>
      </c>
      <c r="J69" s="225">
        <f>'All boreholes'!AM72</f>
        <v>0</v>
      </c>
      <c r="K69">
        <f t="shared" si="7"/>
        <v>0</v>
      </c>
      <c r="L69">
        <f t="shared" si="8"/>
        <v>0</v>
      </c>
      <c r="M69" t="e">
        <f t="shared" si="9"/>
        <v>#DIV/0!</v>
      </c>
      <c r="O69" s="209">
        <f>'All boreholes'!AG72</f>
        <v>0</v>
      </c>
      <c r="P69">
        <f t="shared" si="10"/>
        <v>0</v>
      </c>
      <c r="Q69">
        <f t="shared" si="11"/>
        <v>0</v>
      </c>
      <c r="R69">
        <f t="shared" si="12"/>
        <v>0</v>
      </c>
      <c r="S69">
        <f t="shared" si="13"/>
        <v>0</v>
      </c>
      <c r="T69">
        <f t="shared" si="14"/>
        <v>0</v>
      </c>
      <c r="U69" s="225">
        <f>'All boreholes'!AM72</f>
        <v>0</v>
      </c>
      <c r="V69">
        <f t="shared" si="15"/>
        <v>0</v>
      </c>
      <c r="W69">
        <f t="shared" si="16"/>
        <v>0</v>
      </c>
      <c r="X69" t="e">
        <f t="shared" si="17"/>
        <v>#DIV/0!</v>
      </c>
      <c r="Z69">
        <f t="shared" si="18"/>
        <v>0</v>
      </c>
      <c r="AA69" t="e">
        <f t="shared" si="19"/>
        <v>#DIV/0!</v>
      </c>
    </row>
    <row r="70" spans="2:27">
      <c r="B70" s="229">
        <f>'All boreholes'!C73</f>
        <v>0</v>
      </c>
      <c r="C70" s="229">
        <f>'All boreholes'!H73</f>
        <v>0</v>
      </c>
      <c r="D70" s="233">
        <f>'All boreholes'!AG73</f>
        <v>0</v>
      </c>
      <c r="E70" s="234">
        <f t="shared" si="2"/>
        <v>0</v>
      </c>
      <c r="F70" s="234">
        <f t="shared" si="3"/>
        <v>0</v>
      </c>
      <c r="G70" s="234">
        <f t="shared" si="4"/>
        <v>0</v>
      </c>
      <c r="H70" s="234">
        <f t="shared" si="5"/>
        <v>0</v>
      </c>
      <c r="I70" s="234">
        <f t="shared" si="6"/>
        <v>0</v>
      </c>
      <c r="J70" s="235">
        <f>'All boreholes'!AM73</f>
        <v>0</v>
      </c>
      <c r="K70" s="234">
        <f t="shared" si="7"/>
        <v>0</v>
      </c>
      <c r="L70" s="234">
        <f t="shared" si="8"/>
        <v>0</v>
      </c>
      <c r="M70" s="234" t="e">
        <f t="shared" si="9"/>
        <v>#DIV/0!</v>
      </c>
      <c r="N70" s="234"/>
      <c r="O70" s="229">
        <f>'All boreholes'!AG73</f>
        <v>0</v>
      </c>
      <c r="P70" s="234">
        <f t="shared" si="10"/>
        <v>0</v>
      </c>
      <c r="Q70" s="234">
        <f t="shared" si="11"/>
        <v>0</v>
      </c>
      <c r="R70" s="234">
        <f t="shared" si="12"/>
        <v>0</v>
      </c>
      <c r="S70" s="234">
        <f t="shared" si="13"/>
        <v>0</v>
      </c>
      <c r="T70" s="234">
        <f t="shared" si="14"/>
        <v>0</v>
      </c>
      <c r="U70" s="235">
        <f>'All boreholes'!AM73</f>
        <v>0</v>
      </c>
      <c r="V70" s="234">
        <f t="shared" si="15"/>
        <v>0</v>
      </c>
      <c r="W70" s="234">
        <f t="shared" si="16"/>
        <v>0</v>
      </c>
      <c r="X70" s="234" t="e">
        <f t="shared" si="17"/>
        <v>#DIV/0!</v>
      </c>
      <c r="Y70" s="234"/>
      <c r="Z70" s="234">
        <f t="shared" si="18"/>
        <v>0</v>
      </c>
      <c r="AA70" s="234" t="e">
        <f t="shared" si="19"/>
        <v>#DIV/0!</v>
      </c>
    </row>
    <row r="71" spans="2:27">
      <c r="B71" s="209">
        <f>'All boreholes'!C74</f>
        <v>0</v>
      </c>
      <c r="C71" s="209">
        <f>'All boreholes'!H74</f>
        <v>0</v>
      </c>
      <c r="D71" s="226">
        <f>'All boreholes'!AG74</f>
        <v>0</v>
      </c>
      <c r="E71">
        <f t="shared" si="2"/>
        <v>0</v>
      </c>
      <c r="F71">
        <f t="shared" si="3"/>
        <v>0</v>
      </c>
      <c r="G71">
        <f t="shared" si="4"/>
        <v>0</v>
      </c>
      <c r="H71">
        <f t="shared" si="5"/>
        <v>0</v>
      </c>
      <c r="I71">
        <f t="shared" si="6"/>
        <v>0</v>
      </c>
      <c r="J71" s="225">
        <f>'All boreholes'!AM74</f>
        <v>0</v>
      </c>
      <c r="K71">
        <f t="shared" si="7"/>
        <v>0</v>
      </c>
      <c r="L71">
        <f t="shared" si="8"/>
        <v>0</v>
      </c>
      <c r="M71" t="e">
        <f t="shared" si="9"/>
        <v>#DIV/0!</v>
      </c>
      <c r="O71" s="209">
        <f>'All boreholes'!AG74</f>
        <v>0</v>
      </c>
      <c r="P71">
        <f t="shared" si="10"/>
        <v>0</v>
      </c>
      <c r="Q71">
        <f t="shared" si="11"/>
        <v>0</v>
      </c>
      <c r="R71">
        <f t="shared" si="12"/>
        <v>0</v>
      </c>
      <c r="S71">
        <f t="shared" si="13"/>
        <v>0</v>
      </c>
      <c r="T71">
        <f t="shared" si="14"/>
        <v>0</v>
      </c>
      <c r="U71" s="225">
        <f>'All boreholes'!AM74</f>
        <v>0</v>
      </c>
      <c r="V71">
        <f t="shared" si="15"/>
        <v>0</v>
      </c>
      <c r="W71">
        <f t="shared" si="16"/>
        <v>0</v>
      </c>
      <c r="X71" t="e">
        <f t="shared" si="17"/>
        <v>#DIV/0!</v>
      </c>
      <c r="Z71">
        <f t="shared" si="18"/>
        <v>0</v>
      </c>
      <c r="AA71" t="e">
        <f t="shared" si="19"/>
        <v>#DIV/0!</v>
      </c>
    </row>
    <row r="72" spans="2:27">
      <c r="B72" s="209">
        <f>'All boreholes'!C75</f>
        <v>0</v>
      </c>
      <c r="C72" s="209">
        <f>'All boreholes'!H75</f>
        <v>0</v>
      </c>
      <c r="D72" s="226">
        <f>'All boreholes'!AG75</f>
        <v>0</v>
      </c>
      <c r="E72">
        <f t="shared" si="2"/>
        <v>0</v>
      </c>
      <c r="F72">
        <f t="shared" si="3"/>
        <v>0</v>
      </c>
      <c r="G72">
        <f t="shared" si="4"/>
        <v>0</v>
      </c>
      <c r="H72">
        <f t="shared" si="5"/>
        <v>0</v>
      </c>
      <c r="I72">
        <f t="shared" si="6"/>
        <v>0</v>
      </c>
      <c r="J72" s="225">
        <f>'All boreholes'!AM75</f>
        <v>0</v>
      </c>
      <c r="K72">
        <f t="shared" si="7"/>
        <v>0</v>
      </c>
      <c r="L72">
        <f t="shared" si="8"/>
        <v>0</v>
      </c>
      <c r="M72" t="e">
        <f t="shared" si="9"/>
        <v>#DIV/0!</v>
      </c>
      <c r="O72" s="209">
        <f>'All boreholes'!AG75</f>
        <v>0</v>
      </c>
      <c r="P72">
        <f t="shared" si="10"/>
        <v>0</v>
      </c>
      <c r="Q72">
        <f t="shared" si="11"/>
        <v>0</v>
      </c>
      <c r="R72">
        <f t="shared" si="12"/>
        <v>0</v>
      </c>
      <c r="S72">
        <f t="shared" si="13"/>
        <v>0</v>
      </c>
      <c r="T72">
        <f t="shared" si="14"/>
        <v>0</v>
      </c>
      <c r="U72" s="225">
        <f>'All boreholes'!AM75</f>
        <v>0</v>
      </c>
      <c r="V72">
        <f t="shared" si="15"/>
        <v>0</v>
      </c>
      <c r="W72">
        <f t="shared" si="16"/>
        <v>0</v>
      </c>
      <c r="X72" t="e">
        <f t="shared" si="17"/>
        <v>#DIV/0!</v>
      </c>
      <c r="Z72">
        <f t="shared" si="18"/>
        <v>0</v>
      </c>
      <c r="AA72" t="e">
        <f t="shared" si="19"/>
        <v>#DIV/0!</v>
      </c>
    </row>
    <row r="73" spans="2:27">
      <c r="B73" s="209">
        <f>'All boreholes'!C76</f>
        <v>0</v>
      </c>
      <c r="C73" s="209">
        <f>'All boreholes'!H76</f>
        <v>0</v>
      </c>
      <c r="D73" s="226">
        <f>'All boreholes'!AG76</f>
        <v>0</v>
      </c>
      <c r="E73">
        <f t="shared" si="2"/>
        <v>0</v>
      </c>
      <c r="F73">
        <f t="shared" si="3"/>
        <v>0</v>
      </c>
      <c r="G73">
        <f t="shared" si="4"/>
        <v>0</v>
      </c>
      <c r="H73">
        <f t="shared" si="5"/>
        <v>0</v>
      </c>
      <c r="I73">
        <f t="shared" si="6"/>
        <v>0</v>
      </c>
      <c r="J73" s="225">
        <f>'All boreholes'!AM76</f>
        <v>0</v>
      </c>
      <c r="K73">
        <f t="shared" si="7"/>
        <v>0</v>
      </c>
      <c r="L73">
        <f t="shared" si="8"/>
        <v>0</v>
      </c>
      <c r="M73" t="e">
        <f t="shared" si="9"/>
        <v>#DIV/0!</v>
      </c>
      <c r="O73" s="209">
        <f>'All boreholes'!AG76</f>
        <v>0</v>
      </c>
      <c r="P73">
        <f t="shared" si="10"/>
        <v>0</v>
      </c>
      <c r="Q73">
        <f t="shared" si="11"/>
        <v>0</v>
      </c>
      <c r="R73">
        <f t="shared" si="12"/>
        <v>0</v>
      </c>
      <c r="S73">
        <f t="shared" si="13"/>
        <v>0</v>
      </c>
      <c r="T73">
        <f t="shared" si="14"/>
        <v>0</v>
      </c>
      <c r="U73" s="225">
        <f>'All boreholes'!AM76</f>
        <v>0</v>
      </c>
      <c r="V73">
        <f t="shared" si="15"/>
        <v>0</v>
      </c>
      <c r="W73">
        <f t="shared" si="16"/>
        <v>0</v>
      </c>
      <c r="X73" t="e">
        <f t="shared" si="17"/>
        <v>#DIV/0!</v>
      </c>
      <c r="Z73">
        <f t="shared" si="18"/>
        <v>0</v>
      </c>
      <c r="AA73" t="e">
        <f t="shared" si="19"/>
        <v>#DIV/0!</v>
      </c>
    </row>
    <row r="74" spans="2:27">
      <c r="B74" s="209">
        <f>'All boreholes'!C77</f>
        <v>0</v>
      </c>
      <c r="C74" s="209">
        <f>'All boreholes'!H77</f>
        <v>0</v>
      </c>
      <c r="D74" s="226">
        <f>'All boreholes'!AG77</f>
        <v>0</v>
      </c>
      <c r="E74">
        <f t="shared" si="2"/>
        <v>0</v>
      </c>
      <c r="F74">
        <f t="shared" si="3"/>
        <v>0</v>
      </c>
      <c r="G74">
        <f t="shared" si="4"/>
        <v>0</v>
      </c>
      <c r="H74">
        <f t="shared" si="5"/>
        <v>0</v>
      </c>
      <c r="I74">
        <f t="shared" si="6"/>
        <v>0</v>
      </c>
      <c r="J74" s="225">
        <f>'All boreholes'!AM77</f>
        <v>0</v>
      </c>
      <c r="K74">
        <f t="shared" si="7"/>
        <v>0</v>
      </c>
      <c r="L74">
        <f t="shared" si="8"/>
        <v>0</v>
      </c>
      <c r="M74" t="e">
        <f t="shared" si="9"/>
        <v>#DIV/0!</v>
      </c>
      <c r="O74" s="209">
        <f>'All boreholes'!AG77</f>
        <v>0</v>
      </c>
      <c r="P74">
        <f t="shared" si="10"/>
        <v>0</v>
      </c>
      <c r="Q74">
        <f t="shared" si="11"/>
        <v>0</v>
      </c>
      <c r="R74">
        <f t="shared" si="12"/>
        <v>0</v>
      </c>
      <c r="S74">
        <f t="shared" si="13"/>
        <v>0</v>
      </c>
      <c r="T74">
        <f t="shared" si="14"/>
        <v>0</v>
      </c>
      <c r="U74" s="225">
        <f>'All boreholes'!AM77</f>
        <v>0</v>
      </c>
      <c r="V74">
        <f t="shared" si="15"/>
        <v>0</v>
      </c>
      <c r="W74">
        <f t="shared" si="16"/>
        <v>0</v>
      </c>
      <c r="X74" t="e">
        <f t="shared" si="17"/>
        <v>#DIV/0!</v>
      </c>
      <c r="Z74">
        <f t="shared" si="18"/>
        <v>0</v>
      </c>
      <c r="AA74" t="e">
        <f t="shared" si="19"/>
        <v>#DIV/0!</v>
      </c>
    </row>
    <row r="75" spans="2:27">
      <c r="B75" s="209">
        <f>'All boreholes'!C78</f>
        <v>0</v>
      </c>
      <c r="C75" s="209">
        <f>'All boreholes'!H78</f>
        <v>0</v>
      </c>
      <c r="D75" s="226">
        <f>'All boreholes'!AG78</f>
        <v>0</v>
      </c>
      <c r="E75">
        <f t="shared" ref="E75:E112" si="20">J75*$D$3</f>
        <v>0</v>
      </c>
      <c r="F75">
        <f t="shared" ref="F75:F112" si="21">J75*$E$3</f>
        <v>0</v>
      </c>
      <c r="G75">
        <f t="shared" ref="G75:G112" si="22">J75*$F$3</f>
        <v>0</v>
      </c>
      <c r="H75">
        <f t="shared" ref="H75:H112" si="23">J75*$G$3</f>
        <v>0</v>
      </c>
      <c r="I75">
        <f t="shared" ref="I75:I112" si="24">J75*$H$3</f>
        <v>0</v>
      </c>
      <c r="J75" s="225">
        <f>'All boreholes'!AM78</f>
        <v>0</v>
      </c>
      <c r="K75">
        <f t="shared" ref="K75:K112" si="25">J75*$J$3</f>
        <v>0</v>
      </c>
      <c r="L75">
        <f t="shared" ref="L75:L112" si="26">J75*$K$3</f>
        <v>0</v>
      </c>
      <c r="M75" t="e">
        <f t="shared" ref="M75:M112" si="27">G75/(1.2*D75)</f>
        <v>#DIV/0!</v>
      </c>
      <c r="O75" s="209">
        <f>'All boreholes'!AG78</f>
        <v>0</v>
      </c>
      <c r="P75">
        <f t="shared" ref="P75:P112" si="28">U75*$D$4</f>
        <v>0</v>
      </c>
      <c r="Q75">
        <f t="shared" ref="Q75:Q112" si="29">U75*$E$4</f>
        <v>0</v>
      </c>
      <c r="R75">
        <f t="shared" ref="R75:R112" si="30">U75*$F$4</f>
        <v>0</v>
      </c>
      <c r="S75">
        <f t="shared" ref="S75:S112" si="31">U75*$G$4</f>
        <v>0</v>
      </c>
      <c r="T75">
        <f t="shared" ref="T75:T112" si="32">U75*$H$4</f>
        <v>0</v>
      </c>
      <c r="U75" s="225">
        <f>'All boreholes'!AM78</f>
        <v>0</v>
      </c>
      <c r="V75">
        <f t="shared" ref="V75:V112" si="33">U75*$J$4</f>
        <v>0</v>
      </c>
      <c r="W75">
        <f t="shared" ref="W75:W112" si="34">U75*$K$4</f>
        <v>0</v>
      </c>
      <c r="X75" t="e">
        <f t="shared" ref="X75:X112" si="35">R75/(1.2*O75)</f>
        <v>#DIV/0!</v>
      </c>
      <c r="Z75">
        <f t="shared" ref="Z75:Z112" si="36">U75*$F$5</f>
        <v>0</v>
      </c>
      <c r="AA75" t="e">
        <f t="shared" ref="AA75:AA112" si="37">Z75/(1.2*O75)</f>
        <v>#DIV/0!</v>
      </c>
    </row>
    <row r="76" spans="2:27">
      <c r="B76" s="209">
        <f>'All boreholes'!C79</f>
        <v>0</v>
      </c>
      <c r="C76" s="209">
        <f>'All boreholes'!H79</f>
        <v>0</v>
      </c>
      <c r="D76" s="226">
        <f>'All boreholes'!AG79</f>
        <v>0</v>
      </c>
      <c r="E76">
        <f t="shared" si="20"/>
        <v>0</v>
      </c>
      <c r="F76">
        <f t="shared" si="21"/>
        <v>0</v>
      </c>
      <c r="G76">
        <f t="shared" si="22"/>
        <v>0</v>
      </c>
      <c r="H76">
        <f t="shared" si="23"/>
        <v>0</v>
      </c>
      <c r="I76">
        <f t="shared" si="24"/>
        <v>0</v>
      </c>
      <c r="J76" s="225">
        <f>'All boreholes'!AM79</f>
        <v>0</v>
      </c>
      <c r="K76">
        <f t="shared" si="25"/>
        <v>0</v>
      </c>
      <c r="L76">
        <f t="shared" si="26"/>
        <v>0</v>
      </c>
      <c r="M76" t="e">
        <f t="shared" si="27"/>
        <v>#DIV/0!</v>
      </c>
      <c r="O76" s="209">
        <f>'All boreholes'!AG79</f>
        <v>0</v>
      </c>
      <c r="P76">
        <f t="shared" si="28"/>
        <v>0</v>
      </c>
      <c r="Q76">
        <f t="shared" si="29"/>
        <v>0</v>
      </c>
      <c r="R76">
        <f t="shared" si="30"/>
        <v>0</v>
      </c>
      <c r="S76">
        <f t="shared" si="31"/>
        <v>0</v>
      </c>
      <c r="T76">
        <f t="shared" si="32"/>
        <v>0</v>
      </c>
      <c r="U76" s="225">
        <f>'All boreholes'!AM79</f>
        <v>0</v>
      </c>
      <c r="V76">
        <f t="shared" si="33"/>
        <v>0</v>
      </c>
      <c r="W76">
        <f t="shared" si="34"/>
        <v>0</v>
      </c>
      <c r="X76" t="e">
        <f t="shared" si="35"/>
        <v>#DIV/0!</v>
      </c>
      <c r="Z76">
        <f t="shared" si="36"/>
        <v>0</v>
      </c>
      <c r="AA76" t="e">
        <f t="shared" si="37"/>
        <v>#DIV/0!</v>
      </c>
    </row>
    <row r="77" spans="2:27">
      <c r="B77" s="209">
        <f>'All boreholes'!C80</f>
        <v>0</v>
      </c>
      <c r="C77" s="209">
        <f>'All boreholes'!H80</f>
        <v>0</v>
      </c>
      <c r="D77" s="226">
        <f>'All boreholes'!AG80</f>
        <v>0</v>
      </c>
      <c r="E77">
        <f t="shared" si="20"/>
        <v>0</v>
      </c>
      <c r="F77">
        <f t="shared" si="21"/>
        <v>0</v>
      </c>
      <c r="G77">
        <f t="shared" si="22"/>
        <v>0</v>
      </c>
      <c r="H77">
        <f t="shared" si="23"/>
        <v>0</v>
      </c>
      <c r="I77">
        <f t="shared" si="24"/>
        <v>0</v>
      </c>
      <c r="J77" s="225">
        <f>'All boreholes'!AM80</f>
        <v>0</v>
      </c>
      <c r="K77">
        <f t="shared" si="25"/>
        <v>0</v>
      </c>
      <c r="L77">
        <f t="shared" si="26"/>
        <v>0</v>
      </c>
      <c r="M77" t="e">
        <f t="shared" si="27"/>
        <v>#DIV/0!</v>
      </c>
      <c r="O77" s="209">
        <f>'All boreholes'!AG80</f>
        <v>0</v>
      </c>
      <c r="P77">
        <f t="shared" si="28"/>
        <v>0</v>
      </c>
      <c r="Q77">
        <f t="shared" si="29"/>
        <v>0</v>
      </c>
      <c r="R77">
        <f t="shared" si="30"/>
        <v>0</v>
      </c>
      <c r="S77">
        <f t="shared" si="31"/>
        <v>0</v>
      </c>
      <c r="T77">
        <f t="shared" si="32"/>
        <v>0</v>
      </c>
      <c r="U77" s="225">
        <f>'All boreholes'!AM80</f>
        <v>0</v>
      </c>
      <c r="V77">
        <f t="shared" si="33"/>
        <v>0</v>
      </c>
      <c r="W77">
        <f t="shared" si="34"/>
        <v>0</v>
      </c>
      <c r="X77" t="e">
        <f t="shared" si="35"/>
        <v>#DIV/0!</v>
      </c>
      <c r="Z77">
        <f t="shared" si="36"/>
        <v>0</v>
      </c>
      <c r="AA77" t="e">
        <f t="shared" si="37"/>
        <v>#DIV/0!</v>
      </c>
    </row>
    <row r="78" spans="2:27">
      <c r="B78" s="209">
        <f>'All boreholes'!C81</f>
        <v>0</v>
      </c>
      <c r="C78" s="209">
        <f>'All boreholes'!H81</f>
        <v>0</v>
      </c>
      <c r="D78" s="226">
        <f>'All boreholes'!AG81</f>
        <v>0</v>
      </c>
      <c r="E78">
        <f t="shared" si="20"/>
        <v>0</v>
      </c>
      <c r="F78">
        <f t="shared" si="21"/>
        <v>0</v>
      </c>
      <c r="G78">
        <f t="shared" si="22"/>
        <v>0</v>
      </c>
      <c r="H78">
        <f t="shared" si="23"/>
        <v>0</v>
      </c>
      <c r="I78">
        <f t="shared" si="24"/>
        <v>0</v>
      </c>
      <c r="J78" s="225">
        <f>'All boreholes'!AM81</f>
        <v>0</v>
      </c>
      <c r="K78">
        <f t="shared" si="25"/>
        <v>0</v>
      </c>
      <c r="L78">
        <f t="shared" si="26"/>
        <v>0</v>
      </c>
      <c r="M78" t="e">
        <f t="shared" si="27"/>
        <v>#DIV/0!</v>
      </c>
      <c r="O78" s="209">
        <f>'All boreholes'!AG81</f>
        <v>0</v>
      </c>
      <c r="P78">
        <f t="shared" si="28"/>
        <v>0</v>
      </c>
      <c r="Q78">
        <f t="shared" si="29"/>
        <v>0</v>
      </c>
      <c r="R78">
        <f t="shared" si="30"/>
        <v>0</v>
      </c>
      <c r="S78">
        <f t="shared" si="31"/>
        <v>0</v>
      </c>
      <c r="T78">
        <f t="shared" si="32"/>
        <v>0</v>
      </c>
      <c r="U78" s="225">
        <f>'All boreholes'!AM81</f>
        <v>0</v>
      </c>
      <c r="V78">
        <f t="shared" si="33"/>
        <v>0</v>
      </c>
      <c r="W78">
        <f t="shared" si="34"/>
        <v>0</v>
      </c>
      <c r="X78" t="e">
        <f t="shared" si="35"/>
        <v>#DIV/0!</v>
      </c>
      <c r="Z78">
        <f t="shared" si="36"/>
        <v>0</v>
      </c>
      <c r="AA78" t="e">
        <f t="shared" si="37"/>
        <v>#DIV/0!</v>
      </c>
    </row>
    <row r="79" spans="2:27">
      <c r="B79" s="209">
        <f>'All boreholes'!C82</f>
        <v>0</v>
      </c>
      <c r="C79" s="209">
        <f>'All boreholes'!H82</f>
        <v>0</v>
      </c>
      <c r="D79" s="226">
        <f>'All boreholes'!AG82</f>
        <v>0</v>
      </c>
      <c r="E79">
        <f t="shared" si="20"/>
        <v>0</v>
      </c>
      <c r="F79">
        <f t="shared" si="21"/>
        <v>0</v>
      </c>
      <c r="G79">
        <f t="shared" si="22"/>
        <v>0</v>
      </c>
      <c r="H79">
        <f t="shared" si="23"/>
        <v>0</v>
      </c>
      <c r="I79">
        <f t="shared" si="24"/>
        <v>0</v>
      </c>
      <c r="J79" s="225">
        <f>'All boreholes'!AM82</f>
        <v>0</v>
      </c>
      <c r="K79">
        <f t="shared" si="25"/>
        <v>0</v>
      </c>
      <c r="L79">
        <f t="shared" si="26"/>
        <v>0</v>
      </c>
      <c r="M79" t="e">
        <f t="shared" si="27"/>
        <v>#DIV/0!</v>
      </c>
      <c r="O79" s="209">
        <f>'All boreholes'!AG82</f>
        <v>0</v>
      </c>
      <c r="P79">
        <f t="shared" si="28"/>
        <v>0</v>
      </c>
      <c r="Q79">
        <f t="shared" si="29"/>
        <v>0</v>
      </c>
      <c r="R79">
        <f t="shared" si="30"/>
        <v>0</v>
      </c>
      <c r="S79">
        <f t="shared" si="31"/>
        <v>0</v>
      </c>
      <c r="T79">
        <f t="shared" si="32"/>
        <v>0</v>
      </c>
      <c r="U79" s="225">
        <f>'All boreholes'!AM82</f>
        <v>0</v>
      </c>
      <c r="V79">
        <f t="shared" si="33"/>
        <v>0</v>
      </c>
      <c r="W79">
        <f t="shared" si="34"/>
        <v>0</v>
      </c>
      <c r="X79" t="e">
        <f t="shared" si="35"/>
        <v>#DIV/0!</v>
      </c>
      <c r="Z79">
        <f t="shared" si="36"/>
        <v>0</v>
      </c>
      <c r="AA79" t="e">
        <f t="shared" si="37"/>
        <v>#DIV/0!</v>
      </c>
    </row>
    <row r="80" spans="2:27">
      <c r="B80" s="209">
        <f>'All boreholes'!C83</f>
        <v>0</v>
      </c>
      <c r="C80" s="209">
        <f>'All boreholes'!H83</f>
        <v>0</v>
      </c>
      <c r="D80" s="226">
        <f>'All boreholes'!AG83</f>
        <v>0</v>
      </c>
      <c r="E80">
        <f t="shared" si="20"/>
        <v>0</v>
      </c>
      <c r="F80">
        <f t="shared" si="21"/>
        <v>0</v>
      </c>
      <c r="G80">
        <f t="shared" si="22"/>
        <v>0</v>
      </c>
      <c r="H80">
        <f t="shared" si="23"/>
        <v>0</v>
      </c>
      <c r="I80">
        <f t="shared" si="24"/>
        <v>0</v>
      </c>
      <c r="J80" s="225">
        <f>'All boreholes'!AM83</f>
        <v>0</v>
      </c>
      <c r="K80">
        <f t="shared" si="25"/>
        <v>0</v>
      </c>
      <c r="L80">
        <f t="shared" si="26"/>
        <v>0</v>
      </c>
      <c r="M80" t="e">
        <f t="shared" si="27"/>
        <v>#DIV/0!</v>
      </c>
      <c r="O80" s="209">
        <f>'All boreholes'!AG83</f>
        <v>0</v>
      </c>
      <c r="P80">
        <f t="shared" si="28"/>
        <v>0</v>
      </c>
      <c r="Q80">
        <f t="shared" si="29"/>
        <v>0</v>
      </c>
      <c r="R80">
        <f t="shared" si="30"/>
        <v>0</v>
      </c>
      <c r="S80">
        <f t="shared" si="31"/>
        <v>0</v>
      </c>
      <c r="T80">
        <f t="shared" si="32"/>
        <v>0</v>
      </c>
      <c r="U80" s="225">
        <f>'All boreholes'!AM83</f>
        <v>0</v>
      </c>
      <c r="V80">
        <f t="shared" si="33"/>
        <v>0</v>
      </c>
      <c r="W80">
        <f t="shared" si="34"/>
        <v>0</v>
      </c>
      <c r="X80" t="e">
        <f t="shared" si="35"/>
        <v>#DIV/0!</v>
      </c>
      <c r="Z80">
        <f t="shared" si="36"/>
        <v>0</v>
      </c>
      <c r="AA80" t="e">
        <f t="shared" si="37"/>
        <v>#DIV/0!</v>
      </c>
    </row>
    <row r="81" spans="2:27">
      <c r="B81" s="209">
        <f>'All boreholes'!C84</f>
        <v>0</v>
      </c>
      <c r="C81" s="209">
        <f>'All boreholes'!H84</f>
        <v>0</v>
      </c>
      <c r="D81" s="226">
        <f>'All boreholes'!AG84</f>
        <v>0</v>
      </c>
      <c r="E81">
        <f t="shared" si="20"/>
        <v>0</v>
      </c>
      <c r="F81">
        <f t="shared" si="21"/>
        <v>0</v>
      </c>
      <c r="G81">
        <f t="shared" si="22"/>
        <v>0</v>
      </c>
      <c r="H81">
        <f t="shared" si="23"/>
        <v>0</v>
      </c>
      <c r="I81">
        <f t="shared" si="24"/>
        <v>0</v>
      </c>
      <c r="J81" s="225">
        <f>'All boreholes'!AM84</f>
        <v>0</v>
      </c>
      <c r="K81">
        <f t="shared" si="25"/>
        <v>0</v>
      </c>
      <c r="L81">
        <f t="shared" si="26"/>
        <v>0</v>
      </c>
      <c r="M81" t="e">
        <f t="shared" si="27"/>
        <v>#DIV/0!</v>
      </c>
      <c r="O81" s="209">
        <f>'All boreholes'!AG84</f>
        <v>0</v>
      </c>
      <c r="P81">
        <f t="shared" si="28"/>
        <v>0</v>
      </c>
      <c r="Q81">
        <f t="shared" si="29"/>
        <v>0</v>
      </c>
      <c r="R81">
        <f t="shared" si="30"/>
        <v>0</v>
      </c>
      <c r="S81">
        <f t="shared" si="31"/>
        <v>0</v>
      </c>
      <c r="T81">
        <f t="shared" si="32"/>
        <v>0</v>
      </c>
      <c r="U81" s="225">
        <f>'All boreholes'!AM84</f>
        <v>0</v>
      </c>
      <c r="V81">
        <f t="shared" si="33"/>
        <v>0</v>
      </c>
      <c r="W81">
        <f t="shared" si="34"/>
        <v>0</v>
      </c>
      <c r="X81" t="e">
        <f t="shared" si="35"/>
        <v>#DIV/0!</v>
      </c>
      <c r="Z81">
        <f t="shared" si="36"/>
        <v>0</v>
      </c>
      <c r="AA81" t="e">
        <f t="shared" si="37"/>
        <v>#DIV/0!</v>
      </c>
    </row>
    <row r="82" spans="2:27">
      <c r="B82" s="209">
        <f>'All boreholes'!C85</f>
        <v>0</v>
      </c>
      <c r="C82" s="209">
        <f>'All boreholes'!H85</f>
        <v>0</v>
      </c>
      <c r="D82" s="226">
        <f>'All boreholes'!AG85</f>
        <v>0</v>
      </c>
      <c r="E82">
        <f t="shared" si="20"/>
        <v>0</v>
      </c>
      <c r="F82">
        <f t="shared" si="21"/>
        <v>0</v>
      </c>
      <c r="G82">
        <f t="shared" si="22"/>
        <v>0</v>
      </c>
      <c r="H82">
        <f t="shared" si="23"/>
        <v>0</v>
      </c>
      <c r="I82">
        <f t="shared" si="24"/>
        <v>0</v>
      </c>
      <c r="J82" s="225">
        <f>'All boreholes'!AM85</f>
        <v>0</v>
      </c>
      <c r="K82">
        <f t="shared" si="25"/>
        <v>0</v>
      </c>
      <c r="L82">
        <f t="shared" si="26"/>
        <v>0</v>
      </c>
      <c r="M82" t="e">
        <f t="shared" si="27"/>
        <v>#DIV/0!</v>
      </c>
      <c r="O82" s="209">
        <f>'All boreholes'!AG85</f>
        <v>0</v>
      </c>
      <c r="P82">
        <f t="shared" si="28"/>
        <v>0</v>
      </c>
      <c r="Q82">
        <f t="shared" si="29"/>
        <v>0</v>
      </c>
      <c r="R82">
        <f t="shared" si="30"/>
        <v>0</v>
      </c>
      <c r="S82">
        <f t="shared" si="31"/>
        <v>0</v>
      </c>
      <c r="T82">
        <f t="shared" si="32"/>
        <v>0</v>
      </c>
      <c r="U82" s="225">
        <f>'All boreholes'!AM85</f>
        <v>0</v>
      </c>
      <c r="V82">
        <f t="shared" si="33"/>
        <v>0</v>
      </c>
      <c r="W82">
        <f t="shared" si="34"/>
        <v>0</v>
      </c>
      <c r="X82" t="e">
        <f t="shared" si="35"/>
        <v>#DIV/0!</v>
      </c>
      <c r="Z82">
        <f t="shared" si="36"/>
        <v>0</v>
      </c>
      <c r="AA82" t="e">
        <f t="shared" si="37"/>
        <v>#DIV/0!</v>
      </c>
    </row>
    <row r="83" spans="2:27">
      <c r="B83" s="209">
        <f>'All boreholes'!C86</f>
        <v>0</v>
      </c>
      <c r="C83" s="209">
        <f>'All boreholes'!H86</f>
        <v>0</v>
      </c>
      <c r="D83" s="226">
        <f>'All boreholes'!AG86</f>
        <v>0</v>
      </c>
      <c r="E83">
        <f t="shared" si="20"/>
        <v>0</v>
      </c>
      <c r="F83">
        <f t="shared" si="21"/>
        <v>0</v>
      </c>
      <c r="G83">
        <f t="shared" si="22"/>
        <v>0</v>
      </c>
      <c r="H83">
        <f t="shared" si="23"/>
        <v>0</v>
      </c>
      <c r="I83">
        <f t="shared" si="24"/>
        <v>0</v>
      </c>
      <c r="J83" s="225">
        <f>'All boreholes'!AM86</f>
        <v>0</v>
      </c>
      <c r="K83">
        <f t="shared" si="25"/>
        <v>0</v>
      </c>
      <c r="L83">
        <f t="shared" si="26"/>
        <v>0</v>
      </c>
      <c r="M83" t="e">
        <f t="shared" si="27"/>
        <v>#DIV/0!</v>
      </c>
      <c r="O83" s="209">
        <f>'All boreholes'!AG86</f>
        <v>0</v>
      </c>
      <c r="P83">
        <f t="shared" si="28"/>
        <v>0</v>
      </c>
      <c r="Q83">
        <f t="shared" si="29"/>
        <v>0</v>
      </c>
      <c r="R83">
        <f t="shared" si="30"/>
        <v>0</v>
      </c>
      <c r="S83">
        <f t="shared" si="31"/>
        <v>0</v>
      </c>
      <c r="T83">
        <f t="shared" si="32"/>
        <v>0</v>
      </c>
      <c r="U83" s="225">
        <f>'All boreholes'!AM86</f>
        <v>0</v>
      </c>
      <c r="V83">
        <f t="shared" si="33"/>
        <v>0</v>
      </c>
      <c r="W83">
        <f t="shared" si="34"/>
        <v>0</v>
      </c>
      <c r="X83" t="e">
        <f t="shared" si="35"/>
        <v>#DIV/0!</v>
      </c>
      <c r="Z83">
        <f t="shared" si="36"/>
        <v>0</v>
      </c>
      <c r="AA83" t="e">
        <f t="shared" si="37"/>
        <v>#DIV/0!</v>
      </c>
    </row>
    <row r="84" spans="2:27">
      <c r="B84" s="209">
        <f>'All boreholes'!C87</f>
        <v>0</v>
      </c>
      <c r="C84" s="209">
        <f>'All boreholes'!H87</f>
        <v>0</v>
      </c>
      <c r="D84" s="226">
        <f>'All boreholes'!AG87</f>
        <v>0</v>
      </c>
      <c r="E84">
        <f t="shared" si="20"/>
        <v>0</v>
      </c>
      <c r="F84">
        <f t="shared" si="21"/>
        <v>0</v>
      </c>
      <c r="G84">
        <f t="shared" si="22"/>
        <v>0</v>
      </c>
      <c r="H84">
        <f t="shared" si="23"/>
        <v>0</v>
      </c>
      <c r="I84">
        <f t="shared" si="24"/>
        <v>0</v>
      </c>
      <c r="J84" s="225">
        <f>'All boreholes'!AM87</f>
        <v>0</v>
      </c>
      <c r="K84">
        <f t="shared" si="25"/>
        <v>0</v>
      </c>
      <c r="L84">
        <f t="shared" si="26"/>
        <v>0</v>
      </c>
      <c r="M84" t="e">
        <f t="shared" si="27"/>
        <v>#DIV/0!</v>
      </c>
      <c r="O84" s="209">
        <f>'All boreholes'!AG87</f>
        <v>0</v>
      </c>
      <c r="P84">
        <f t="shared" si="28"/>
        <v>0</v>
      </c>
      <c r="Q84">
        <f t="shared" si="29"/>
        <v>0</v>
      </c>
      <c r="R84">
        <f t="shared" si="30"/>
        <v>0</v>
      </c>
      <c r="S84">
        <f t="shared" si="31"/>
        <v>0</v>
      </c>
      <c r="T84">
        <f t="shared" si="32"/>
        <v>0</v>
      </c>
      <c r="U84" s="225">
        <f>'All boreholes'!AM87</f>
        <v>0</v>
      </c>
      <c r="V84">
        <f t="shared" si="33"/>
        <v>0</v>
      </c>
      <c r="W84">
        <f t="shared" si="34"/>
        <v>0</v>
      </c>
      <c r="X84" t="e">
        <f t="shared" si="35"/>
        <v>#DIV/0!</v>
      </c>
      <c r="Z84">
        <f t="shared" si="36"/>
        <v>0</v>
      </c>
      <c r="AA84" t="e">
        <f t="shared" si="37"/>
        <v>#DIV/0!</v>
      </c>
    </row>
    <row r="85" spans="2:27">
      <c r="B85" s="209">
        <f>'All boreholes'!C88</f>
        <v>0</v>
      </c>
      <c r="C85" s="209">
        <f>'All boreholes'!H88</f>
        <v>0</v>
      </c>
      <c r="D85" s="226">
        <f>'All boreholes'!AG88</f>
        <v>0</v>
      </c>
      <c r="E85">
        <f t="shared" si="20"/>
        <v>0</v>
      </c>
      <c r="F85">
        <f t="shared" si="21"/>
        <v>0</v>
      </c>
      <c r="G85">
        <f t="shared" si="22"/>
        <v>0</v>
      </c>
      <c r="H85">
        <f t="shared" si="23"/>
        <v>0</v>
      </c>
      <c r="I85">
        <f t="shared" si="24"/>
        <v>0</v>
      </c>
      <c r="J85" s="225">
        <f>'All boreholes'!AM88</f>
        <v>0</v>
      </c>
      <c r="K85">
        <f t="shared" si="25"/>
        <v>0</v>
      </c>
      <c r="L85">
        <f t="shared" si="26"/>
        <v>0</v>
      </c>
      <c r="M85" t="e">
        <f t="shared" si="27"/>
        <v>#DIV/0!</v>
      </c>
      <c r="O85" s="209">
        <f>'All boreholes'!AG88</f>
        <v>0</v>
      </c>
      <c r="P85">
        <f t="shared" si="28"/>
        <v>0</v>
      </c>
      <c r="Q85">
        <f t="shared" si="29"/>
        <v>0</v>
      </c>
      <c r="R85">
        <f t="shared" si="30"/>
        <v>0</v>
      </c>
      <c r="S85">
        <f t="shared" si="31"/>
        <v>0</v>
      </c>
      <c r="T85">
        <f t="shared" si="32"/>
        <v>0</v>
      </c>
      <c r="U85" s="225">
        <f>'All boreholes'!AM88</f>
        <v>0</v>
      </c>
      <c r="V85">
        <f t="shared" si="33"/>
        <v>0</v>
      </c>
      <c r="W85">
        <f t="shared" si="34"/>
        <v>0</v>
      </c>
      <c r="X85" t="e">
        <f t="shared" si="35"/>
        <v>#DIV/0!</v>
      </c>
      <c r="Z85">
        <f t="shared" si="36"/>
        <v>0</v>
      </c>
      <c r="AA85" t="e">
        <f t="shared" si="37"/>
        <v>#DIV/0!</v>
      </c>
    </row>
    <row r="86" spans="2:27">
      <c r="B86" s="209">
        <f>'All boreholes'!C89</f>
        <v>0</v>
      </c>
      <c r="C86" s="209">
        <f>'All boreholes'!H89</f>
        <v>0</v>
      </c>
      <c r="D86" s="226">
        <f>'All boreholes'!AG89</f>
        <v>0</v>
      </c>
      <c r="E86">
        <f t="shared" si="20"/>
        <v>0</v>
      </c>
      <c r="F86">
        <f t="shared" si="21"/>
        <v>0</v>
      </c>
      <c r="G86">
        <f t="shared" si="22"/>
        <v>0</v>
      </c>
      <c r="H86">
        <f t="shared" si="23"/>
        <v>0</v>
      </c>
      <c r="I86">
        <f t="shared" si="24"/>
        <v>0</v>
      </c>
      <c r="J86" s="225">
        <f>'All boreholes'!AM89</f>
        <v>0</v>
      </c>
      <c r="K86">
        <f t="shared" si="25"/>
        <v>0</v>
      </c>
      <c r="L86">
        <f t="shared" si="26"/>
        <v>0</v>
      </c>
      <c r="M86" t="e">
        <f t="shared" si="27"/>
        <v>#DIV/0!</v>
      </c>
      <c r="O86" s="209">
        <f>'All boreholes'!AG89</f>
        <v>0</v>
      </c>
      <c r="P86">
        <f t="shared" si="28"/>
        <v>0</v>
      </c>
      <c r="Q86">
        <f t="shared" si="29"/>
        <v>0</v>
      </c>
      <c r="R86">
        <f t="shared" si="30"/>
        <v>0</v>
      </c>
      <c r="S86">
        <f t="shared" si="31"/>
        <v>0</v>
      </c>
      <c r="T86">
        <f t="shared" si="32"/>
        <v>0</v>
      </c>
      <c r="U86" s="225">
        <f>'All boreholes'!AM89</f>
        <v>0</v>
      </c>
      <c r="V86">
        <f t="shared" si="33"/>
        <v>0</v>
      </c>
      <c r="W86">
        <f t="shared" si="34"/>
        <v>0</v>
      </c>
      <c r="X86" t="e">
        <f t="shared" si="35"/>
        <v>#DIV/0!</v>
      </c>
      <c r="Z86">
        <f t="shared" si="36"/>
        <v>0</v>
      </c>
      <c r="AA86" t="e">
        <f t="shared" si="37"/>
        <v>#DIV/0!</v>
      </c>
    </row>
    <row r="87" spans="2:27">
      <c r="B87" s="209">
        <f>'All boreholes'!C90</f>
        <v>0</v>
      </c>
      <c r="C87" s="209">
        <f>'All boreholes'!H90</f>
        <v>0</v>
      </c>
      <c r="D87" s="226">
        <f>'All boreholes'!AG90</f>
        <v>0</v>
      </c>
      <c r="E87">
        <f t="shared" si="20"/>
        <v>0</v>
      </c>
      <c r="F87">
        <f t="shared" si="21"/>
        <v>0</v>
      </c>
      <c r="G87">
        <f t="shared" si="22"/>
        <v>0</v>
      </c>
      <c r="H87">
        <f t="shared" si="23"/>
        <v>0</v>
      </c>
      <c r="I87">
        <f t="shared" si="24"/>
        <v>0</v>
      </c>
      <c r="J87" s="225">
        <f>'All boreholes'!AM90</f>
        <v>0</v>
      </c>
      <c r="K87">
        <f t="shared" si="25"/>
        <v>0</v>
      </c>
      <c r="L87">
        <f t="shared" si="26"/>
        <v>0</v>
      </c>
      <c r="M87" t="e">
        <f t="shared" si="27"/>
        <v>#DIV/0!</v>
      </c>
      <c r="O87" s="209">
        <f>'All boreholes'!AG90</f>
        <v>0</v>
      </c>
      <c r="P87">
        <f t="shared" si="28"/>
        <v>0</v>
      </c>
      <c r="Q87">
        <f t="shared" si="29"/>
        <v>0</v>
      </c>
      <c r="R87">
        <f t="shared" si="30"/>
        <v>0</v>
      </c>
      <c r="S87">
        <f t="shared" si="31"/>
        <v>0</v>
      </c>
      <c r="T87">
        <f t="shared" si="32"/>
        <v>0</v>
      </c>
      <c r="U87" s="225">
        <f>'All boreholes'!AM90</f>
        <v>0</v>
      </c>
      <c r="V87">
        <f t="shared" si="33"/>
        <v>0</v>
      </c>
      <c r="W87">
        <f t="shared" si="34"/>
        <v>0</v>
      </c>
      <c r="X87" t="e">
        <f t="shared" si="35"/>
        <v>#DIV/0!</v>
      </c>
      <c r="Z87">
        <f t="shared" si="36"/>
        <v>0</v>
      </c>
      <c r="AA87" t="e">
        <f t="shared" si="37"/>
        <v>#DIV/0!</v>
      </c>
    </row>
    <row r="88" spans="2:27">
      <c r="B88" s="209">
        <f>'All boreholes'!C91</f>
        <v>0</v>
      </c>
      <c r="C88" s="209">
        <f>'All boreholes'!H91</f>
        <v>0</v>
      </c>
      <c r="D88" s="226">
        <f>'All boreholes'!AG91</f>
        <v>0</v>
      </c>
      <c r="E88">
        <f t="shared" si="20"/>
        <v>0</v>
      </c>
      <c r="F88">
        <f t="shared" si="21"/>
        <v>0</v>
      </c>
      <c r="G88">
        <f t="shared" si="22"/>
        <v>0</v>
      </c>
      <c r="H88">
        <f t="shared" si="23"/>
        <v>0</v>
      </c>
      <c r="I88">
        <f t="shared" si="24"/>
        <v>0</v>
      </c>
      <c r="J88" s="225">
        <f>'All boreholes'!AM91</f>
        <v>0</v>
      </c>
      <c r="K88">
        <f t="shared" si="25"/>
        <v>0</v>
      </c>
      <c r="L88">
        <f t="shared" si="26"/>
        <v>0</v>
      </c>
      <c r="M88" t="e">
        <f t="shared" si="27"/>
        <v>#DIV/0!</v>
      </c>
      <c r="O88" s="209">
        <f>'All boreholes'!AG91</f>
        <v>0</v>
      </c>
      <c r="P88">
        <f t="shared" si="28"/>
        <v>0</v>
      </c>
      <c r="Q88">
        <f t="shared" si="29"/>
        <v>0</v>
      </c>
      <c r="R88">
        <f t="shared" si="30"/>
        <v>0</v>
      </c>
      <c r="S88">
        <f t="shared" si="31"/>
        <v>0</v>
      </c>
      <c r="T88">
        <f t="shared" si="32"/>
        <v>0</v>
      </c>
      <c r="U88" s="225">
        <f>'All boreholes'!AM91</f>
        <v>0</v>
      </c>
      <c r="V88">
        <f t="shared" si="33"/>
        <v>0</v>
      </c>
      <c r="W88">
        <f t="shared" si="34"/>
        <v>0</v>
      </c>
      <c r="X88" t="e">
        <f t="shared" si="35"/>
        <v>#DIV/0!</v>
      </c>
      <c r="Z88">
        <f t="shared" si="36"/>
        <v>0</v>
      </c>
      <c r="AA88" t="e">
        <f t="shared" si="37"/>
        <v>#DIV/0!</v>
      </c>
    </row>
    <row r="89" spans="2:27">
      <c r="B89" s="209">
        <f>'All boreholes'!C92</f>
        <v>0</v>
      </c>
      <c r="C89" s="209">
        <f>'All boreholes'!H92</f>
        <v>0</v>
      </c>
      <c r="D89" s="226">
        <f>'All boreholes'!AG92</f>
        <v>0</v>
      </c>
      <c r="E89">
        <f t="shared" si="20"/>
        <v>0</v>
      </c>
      <c r="F89">
        <f t="shared" si="21"/>
        <v>0</v>
      </c>
      <c r="G89">
        <f t="shared" si="22"/>
        <v>0</v>
      </c>
      <c r="H89">
        <f t="shared" si="23"/>
        <v>0</v>
      </c>
      <c r="I89">
        <f t="shared" si="24"/>
        <v>0</v>
      </c>
      <c r="J89" s="225">
        <f>'All boreholes'!AM92</f>
        <v>0</v>
      </c>
      <c r="K89">
        <f t="shared" si="25"/>
        <v>0</v>
      </c>
      <c r="L89">
        <f t="shared" si="26"/>
        <v>0</v>
      </c>
      <c r="M89" t="e">
        <f t="shared" si="27"/>
        <v>#DIV/0!</v>
      </c>
      <c r="O89" s="209">
        <f>'All boreholes'!AG92</f>
        <v>0</v>
      </c>
      <c r="P89">
        <f t="shared" si="28"/>
        <v>0</v>
      </c>
      <c r="Q89">
        <f t="shared" si="29"/>
        <v>0</v>
      </c>
      <c r="R89">
        <f t="shared" si="30"/>
        <v>0</v>
      </c>
      <c r="S89">
        <f t="shared" si="31"/>
        <v>0</v>
      </c>
      <c r="T89">
        <f t="shared" si="32"/>
        <v>0</v>
      </c>
      <c r="U89" s="225">
        <f>'All boreholes'!AM92</f>
        <v>0</v>
      </c>
      <c r="V89">
        <f t="shared" si="33"/>
        <v>0</v>
      </c>
      <c r="W89">
        <f t="shared" si="34"/>
        <v>0</v>
      </c>
      <c r="X89" t="e">
        <f t="shared" si="35"/>
        <v>#DIV/0!</v>
      </c>
      <c r="Z89">
        <f t="shared" si="36"/>
        <v>0</v>
      </c>
      <c r="AA89" t="e">
        <f t="shared" si="37"/>
        <v>#DIV/0!</v>
      </c>
    </row>
    <row r="90" spans="2:27">
      <c r="B90" s="209">
        <f>'All boreholes'!C93</f>
        <v>0</v>
      </c>
      <c r="C90" s="209">
        <f>'All boreholes'!H93</f>
        <v>0</v>
      </c>
      <c r="D90" s="226">
        <f>'All boreholes'!AG93</f>
        <v>0</v>
      </c>
      <c r="E90">
        <f t="shared" si="20"/>
        <v>0</v>
      </c>
      <c r="F90">
        <f t="shared" si="21"/>
        <v>0</v>
      </c>
      <c r="G90">
        <f t="shared" si="22"/>
        <v>0</v>
      </c>
      <c r="H90">
        <f t="shared" si="23"/>
        <v>0</v>
      </c>
      <c r="I90">
        <f t="shared" si="24"/>
        <v>0</v>
      </c>
      <c r="J90" s="225">
        <f>'All boreholes'!AM93</f>
        <v>0</v>
      </c>
      <c r="K90">
        <f t="shared" si="25"/>
        <v>0</v>
      </c>
      <c r="L90">
        <f t="shared" si="26"/>
        <v>0</v>
      </c>
      <c r="M90" t="e">
        <f t="shared" si="27"/>
        <v>#DIV/0!</v>
      </c>
      <c r="O90" s="209">
        <f>'All boreholes'!AG93</f>
        <v>0</v>
      </c>
      <c r="P90">
        <f t="shared" si="28"/>
        <v>0</v>
      </c>
      <c r="Q90">
        <f t="shared" si="29"/>
        <v>0</v>
      </c>
      <c r="R90">
        <f t="shared" si="30"/>
        <v>0</v>
      </c>
      <c r="S90">
        <f t="shared" si="31"/>
        <v>0</v>
      </c>
      <c r="T90">
        <f t="shared" si="32"/>
        <v>0</v>
      </c>
      <c r="U90" s="225">
        <f>'All boreholes'!AM93</f>
        <v>0</v>
      </c>
      <c r="V90">
        <f t="shared" si="33"/>
        <v>0</v>
      </c>
      <c r="W90">
        <f t="shared" si="34"/>
        <v>0</v>
      </c>
      <c r="X90" t="e">
        <f t="shared" si="35"/>
        <v>#DIV/0!</v>
      </c>
      <c r="Z90">
        <f t="shared" si="36"/>
        <v>0</v>
      </c>
      <c r="AA90" t="e">
        <f t="shared" si="37"/>
        <v>#DIV/0!</v>
      </c>
    </row>
    <row r="91" spans="2:27">
      <c r="B91" s="229">
        <f>'All boreholes'!C94</f>
        <v>0</v>
      </c>
      <c r="C91" s="229">
        <f>'All boreholes'!H94</f>
        <v>0</v>
      </c>
      <c r="D91" s="233">
        <f>'All boreholes'!AG94</f>
        <v>0</v>
      </c>
      <c r="E91" s="234">
        <f t="shared" si="20"/>
        <v>0</v>
      </c>
      <c r="F91" s="234">
        <f t="shared" si="21"/>
        <v>0</v>
      </c>
      <c r="G91" s="234">
        <f t="shared" si="22"/>
        <v>0</v>
      </c>
      <c r="H91" s="234">
        <f t="shared" si="23"/>
        <v>0</v>
      </c>
      <c r="I91" s="234">
        <f t="shared" si="24"/>
        <v>0</v>
      </c>
      <c r="J91" s="235">
        <f>'All boreholes'!AM94</f>
        <v>0</v>
      </c>
      <c r="K91" s="234">
        <f t="shared" si="25"/>
        <v>0</v>
      </c>
      <c r="L91" s="234">
        <f t="shared" si="26"/>
        <v>0</v>
      </c>
      <c r="M91" s="234" t="e">
        <f t="shared" si="27"/>
        <v>#DIV/0!</v>
      </c>
      <c r="N91" s="234"/>
      <c r="O91" s="229">
        <f>'All boreholes'!AG94</f>
        <v>0</v>
      </c>
      <c r="P91" s="234">
        <f t="shared" si="28"/>
        <v>0</v>
      </c>
      <c r="Q91" s="234">
        <f t="shared" si="29"/>
        <v>0</v>
      </c>
      <c r="R91" s="234">
        <f t="shared" si="30"/>
        <v>0</v>
      </c>
      <c r="S91" s="234">
        <f t="shared" si="31"/>
        <v>0</v>
      </c>
      <c r="T91" s="234">
        <f t="shared" si="32"/>
        <v>0</v>
      </c>
      <c r="U91" s="235">
        <f>'All boreholes'!AM94</f>
        <v>0</v>
      </c>
      <c r="V91" s="234">
        <f t="shared" si="33"/>
        <v>0</v>
      </c>
      <c r="W91" s="234">
        <f t="shared" si="34"/>
        <v>0</v>
      </c>
      <c r="X91" s="234" t="e">
        <f t="shared" si="35"/>
        <v>#DIV/0!</v>
      </c>
      <c r="Y91" s="234"/>
      <c r="Z91" s="234">
        <f t="shared" si="36"/>
        <v>0</v>
      </c>
      <c r="AA91" s="234" t="e">
        <f t="shared" si="37"/>
        <v>#DIV/0!</v>
      </c>
    </row>
    <row r="92" spans="2:27">
      <c r="B92" s="209">
        <f>'All boreholes'!C95</f>
        <v>0</v>
      </c>
      <c r="C92" s="209">
        <f>'All boreholes'!H95</f>
        <v>0</v>
      </c>
      <c r="D92" s="226">
        <f>'All boreholes'!AG95</f>
        <v>0</v>
      </c>
      <c r="E92">
        <f t="shared" si="20"/>
        <v>0</v>
      </c>
      <c r="F92">
        <f t="shared" si="21"/>
        <v>0</v>
      </c>
      <c r="G92">
        <f t="shared" si="22"/>
        <v>0</v>
      </c>
      <c r="H92">
        <f t="shared" si="23"/>
        <v>0</v>
      </c>
      <c r="I92">
        <f t="shared" si="24"/>
        <v>0</v>
      </c>
      <c r="J92" s="225">
        <f>'All boreholes'!AM95</f>
        <v>0</v>
      </c>
      <c r="K92">
        <f t="shared" si="25"/>
        <v>0</v>
      </c>
      <c r="L92">
        <f t="shared" si="26"/>
        <v>0</v>
      </c>
      <c r="M92" t="e">
        <f t="shared" si="27"/>
        <v>#DIV/0!</v>
      </c>
      <c r="O92" s="209">
        <f>'All boreholes'!AG95</f>
        <v>0</v>
      </c>
      <c r="P92">
        <f t="shared" si="28"/>
        <v>0</v>
      </c>
      <c r="Q92">
        <f t="shared" si="29"/>
        <v>0</v>
      </c>
      <c r="R92">
        <f t="shared" si="30"/>
        <v>0</v>
      </c>
      <c r="S92">
        <f t="shared" si="31"/>
        <v>0</v>
      </c>
      <c r="T92">
        <f t="shared" si="32"/>
        <v>0</v>
      </c>
      <c r="U92" s="225">
        <f>'All boreholes'!AM95</f>
        <v>0</v>
      </c>
      <c r="V92">
        <f t="shared" si="33"/>
        <v>0</v>
      </c>
      <c r="W92">
        <f t="shared" si="34"/>
        <v>0</v>
      </c>
      <c r="X92" t="e">
        <f t="shared" si="35"/>
        <v>#DIV/0!</v>
      </c>
      <c r="Z92">
        <f t="shared" si="36"/>
        <v>0</v>
      </c>
      <c r="AA92" t="e">
        <f t="shared" si="37"/>
        <v>#DIV/0!</v>
      </c>
    </row>
    <row r="93" spans="2:27">
      <c r="B93" s="209">
        <f>'All boreholes'!C96</f>
        <v>0</v>
      </c>
      <c r="C93" s="209">
        <f>'All boreholes'!H96</f>
        <v>0</v>
      </c>
      <c r="D93" s="226">
        <f>'All boreholes'!AG96</f>
        <v>0</v>
      </c>
      <c r="E93">
        <f t="shared" si="20"/>
        <v>0</v>
      </c>
      <c r="F93">
        <f t="shared" si="21"/>
        <v>0</v>
      </c>
      <c r="G93">
        <f t="shared" si="22"/>
        <v>0</v>
      </c>
      <c r="H93">
        <f t="shared" si="23"/>
        <v>0</v>
      </c>
      <c r="I93">
        <f t="shared" si="24"/>
        <v>0</v>
      </c>
      <c r="J93" s="225">
        <f>'All boreholes'!AM96</f>
        <v>0</v>
      </c>
      <c r="K93">
        <f t="shared" si="25"/>
        <v>0</v>
      </c>
      <c r="L93">
        <f t="shared" si="26"/>
        <v>0</v>
      </c>
      <c r="M93" t="e">
        <f t="shared" si="27"/>
        <v>#DIV/0!</v>
      </c>
      <c r="O93" s="209">
        <f>'All boreholes'!AG96</f>
        <v>0</v>
      </c>
      <c r="P93">
        <f t="shared" si="28"/>
        <v>0</v>
      </c>
      <c r="Q93">
        <f t="shared" si="29"/>
        <v>0</v>
      </c>
      <c r="R93">
        <f t="shared" si="30"/>
        <v>0</v>
      </c>
      <c r="S93">
        <f t="shared" si="31"/>
        <v>0</v>
      </c>
      <c r="T93">
        <f t="shared" si="32"/>
        <v>0</v>
      </c>
      <c r="U93" s="225">
        <f>'All boreholes'!AM96</f>
        <v>0</v>
      </c>
      <c r="V93">
        <f t="shared" si="33"/>
        <v>0</v>
      </c>
      <c r="W93">
        <f t="shared" si="34"/>
        <v>0</v>
      </c>
      <c r="X93" t="e">
        <f t="shared" si="35"/>
        <v>#DIV/0!</v>
      </c>
      <c r="Z93">
        <f t="shared" si="36"/>
        <v>0</v>
      </c>
      <c r="AA93" t="e">
        <f t="shared" si="37"/>
        <v>#DIV/0!</v>
      </c>
    </row>
    <row r="94" spans="2:27">
      <c r="B94" s="209">
        <f>'All boreholes'!C97</f>
        <v>0</v>
      </c>
      <c r="C94" s="209">
        <f>'All boreholes'!H97</f>
        <v>0</v>
      </c>
      <c r="D94" s="226">
        <f>'All boreholes'!AG97</f>
        <v>0</v>
      </c>
      <c r="E94">
        <f t="shared" si="20"/>
        <v>0</v>
      </c>
      <c r="F94">
        <f t="shared" si="21"/>
        <v>0</v>
      </c>
      <c r="G94">
        <f t="shared" si="22"/>
        <v>0</v>
      </c>
      <c r="H94">
        <f t="shared" si="23"/>
        <v>0</v>
      </c>
      <c r="I94">
        <f t="shared" si="24"/>
        <v>0</v>
      </c>
      <c r="J94" s="225">
        <f>'All boreholes'!AM97</f>
        <v>0</v>
      </c>
      <c r="K94">
        <f t="shared" si="25"/>
        <v>0</v>
      </c>
      <c r="L94">
        <f t="shared" si="26"/>
        <v>0</v>
      </c>
      <c r="M94" t="e">
        <f t="shared" si="27"/>
        <v>#DIV/0!</v>
      </c>
      <c r="O94" s="209">
        <f>'All boreholes'!AG97</f>
        <v>0</v>
      </c>
      <c r="P94">
        <f t="shared" si="28"/>
        <v>0</v>
      </c>
      <c r="Q94">
        <f t="shared" si="29"/>
        <v>0</v>
      </c>
      <c r="R94">
        <f t="shared" si="30"/>
        <v>0</v>
      </c>
      <c r="S94">
        <f t="shared" si="31"/>
        <v>0</v>
      </c>
      <c r="T94">
        <f t="shared" si="32"/>
        <v>0</v>
      </c>
      <c r="U94" s="225">
        <f>'All boreholes'!AM97</f>
        <v>0</v>
      </c>
      <c r="V94">
        <f t="shared" si="33"/>
        <v>0</v>
      </c>
      <c r="W94">
        <f t="shared" si="34"/>
        <v>0</v>
      </c>
      <c r="X94" t="e">
        <f t="shared" si="35"/>
        <v>#DIV/0!</v>
      </c>
      <c r="Z94">
        <f t="shared" si="36"/>
        <v>0</v>
      </c>
      <c r="AA94" t="e">
        <f t="shared" si="37"/>
        <v>#DIV/0!</v>
      </c>
    </row>
    <row r="95" spans="2:27">
      <c r="B95" s="209">
        <f>'All boreholes'!C98</f>
        <v>0</v>
      </c>
      <c r="C95" s="209">
        <f>'All boreholes'!H98</f>
        <v>0</v>
      </c>
      <c r="D95" s="226">
        <f>'All boreholes'!AG98</f>
        <v>0</v>
      </c>
      <c r="E95">
        <f t="shared" si="20"/>
        <v>0</v>
      </c>
      <c r="F95">
        <f t="shared" si="21"/>
        <v>0</v>
      </c>
      <c r="G95">
        <f t="shared" si="22"/>
        <v>0</v>
      </c>
      <c r="H95">
        <f t="shared" si="23"/>
        <v>0</v>
      </c>
      <c r="I95">
        <f t="shared" si="24"/>
        <v>0</v>
      </c>
      <c r="J95" s="225">
        <f>'All boreholes'!AM98</f>
        <v>0</v>
      </c>
      <c r="K95">
        <f t="shared" si="25"/>
        <v>0</v>
      </c>
      <c r="L95">
        <f t="shared" si="26"/>
        <v>0</v>
      </c>
      <c r="M95" t="e">
        <f t="shared" si="27"/>
        <v>#DIV/0!</v>
      </c>
      <c r="O95" s="209">
        <f>'All boreholes'!AG98</f>
        <v>0</v>
      </c>
      <c r="P95">
        <f t="shared" si="28"/>
        <v>0</v>
      </c>
      <c r="Q95">
        <f t="shared" si="29"/>
        <v>0</v>
      </c>
      <c r="R95">
        <f t="shared" si="30"/>
        <v>0</v>
      </c>
      <c r="S95">
        <f t="shared" si="31"/>
        <v>0</v>
      </c>
      <c r="T95">
        <f t="shared" si="32"/>
        <v>0</v>
      </c>
      <c r="U95" s="225">
        <f>'All boreholes'!AM98</f>
        <v>0</v>
      </c>
      <c r="V95">
        <f t="shared" si="33"/>
        <v>0</v>
      </c>
      <c r="W95">
        <f t="shared" si="34"/>
        <v>0</v>
      </c>
      <c r="X95" t="e">
        <f t="shared" si="35"/>
        <v>#DIV/0!</v>
      </c>
      <c r="Z95">
        <f t="shared" si="36"/>
        <v>0</v>
      </c>
      <c r="AA95" t="e">
        <f t="shared" si="37"/>
        <v>#DIV/0!</v>
      </c>
    </row>
    <row r="96" spans="2:27">
      <c r="B96" s="209">
        <f>'All boreholes'!C99</f>
        <v>0</v>
      </c>
      <c r="C96" s="209">
        <f>'All boreholes'!H99</f>
        <v>0</v>
      </c>
      <c r="D96" s="226">
        <f>'All boreholes'!AG99</f>
        <v>0</v>
      </c>
      <c r="E96">
        <f t="shared" si="20"/>
        <v>0</v>
      </c>
      <c r="F96">
        <f t="shared" si="21"/>
        <v>0</v>
      </c>
      <c r="G96">
        <f t="shared" si="22"/>
        <v>0</v>
      </c>
      <c r="H96">
        <f t="shared" si="23"/>
        <v>0</v>
      </c>
      <c r="I96">
        <f t="shared" si="24"/>
        <v>0</v>
      </c>
      <c r="J96" s="225">
        <f>'All boreholes'!AM99</f>
        <v>0</v>
      </c>
      <c r="K96">
        <f t="shared" si="25"/>
        <v>0</v>
      </c>
      <c r="L96">
        <f t="shared" si="26"/>
        <v>0</v>
      </c>
      <c r="M96" t="e">
        <f t="shared" si="27"/>
        <v>#DIV/0!</v>
      </c>
      <c r="O96" s="209">
        <f>'All boreholes'!AG99</f>
        <v>0</v>
      </c>
      <c r="P96">
        <f t="shared" si="28"/>
        <v>0</v>
      </c>
      <c r="Q96">
        <f t="shared" si="29"/>
        <v>0</v>
      </c>
      <c r="R96">
        <f t="shared" si="30"/>
        <v>0</v>
      </c>
      <c r="S96">
        <f t="shared" si="31"/>
        <v>0</v>
      </c>
      <c r="T96">
        <f t="shared" si="32"/>
        <v>0</v>
      </c>
      <c r="U96" s="225">
        <f>'All boreholes'!AM99</f>
        <v>0</v>
      </c>
      <c r="V96">
        <f t="shared" si="33"/>
        <v>0</v>
      </c>
      <c r="W96">
        <f t="shared" si="34"/>
        <v>0</v>
      </c>
      <c r="X96" t="e">
        <f t="shared" si="35"/>
        <v>#DIV/0!</v>
      </c>
      <c r="Z96">
        <f t="shared" si="36"/>
        <v>0</v>
      </c>
      <c r="AA96" t="e">
        <f t="shared" si="37"/>
        <v>#DIV/0!</v>
      </c>
    </row>
    <row r="97" spans="2:27">
      <c r="B97" s="209">
        <f>'All boreholes'!C100</f>
        <v>0</v>
      </c>
      <c r="C97" s="209">
        <f>'All boreholes'!H100</f>
        <v>0</v>
      </c>
      <c r="D97" s="226">
        <f>'All boreholes'!AG100</f>
        <v>0</v>
      </c>
      <c r="E97">
        <f t="shared" si="20"/>
        <v>0</v>
      </c>
      <c r="F97">
        <f t="shared" si="21"/>
        <v>0</v>
      </c>
      <c r="G97">
        <f t="shared" si="22"/>
        <v>0</v>
      </c>
      <c r="H97">
        <f t="shared" si="23"/>
        <v>0</v>
      </c>
      <c r="I97">
        <f t="shared" si="24"/>
        <v>0</v>
      </c>
      <c r="J97" s="225">
        <f>'All boreholes'!AM100</f>
        <v>0</v>
      </c>
      <c r="K97">
        <f t="shared" si="25"/>
        <v>0</v>
      </c>
      <c r="L97">
        <f t="shared" si="26"/>
        <v>0</v>
      </c>
      <c r="M97" t="e">
        <f t="shared" si="27"/>
        <v>#DIV/0!</v>
      </c>
      <c r="O97" s="209">
        <f>'All boreholes'!AG100</f>
        <v>0</v>
      </c>
      <c r="P97">
        <f t="shared" si="28"/>
        <v>0</v>
      </c>
      <c r="Q97">
        <f t="shared" si="29"/>
        <v>0</v>
      </c>
      <c r="R97">
        <f t="shared" si="30"/>
        <v>0</v>
      </c>
      <c r="S97">
        <f t="shared" si="31"/>
        <v>0</v>
      </c>
      <c r="T97">
        <f t="shared" si="32"/>
        <v>0</v>
      </c>
      <c r="U97" s="225">
        <f>'All boreholes'!AM100</f>
        <v>0</v>
      </c>
      <c r="V97">
        <f t="shared" si="33"/>
        <v>0</v>
      </c>
      <c r="W97">
        <f t="shared" si="34"/>
        <v>0</v>
      </c>
      <c r="X97" t="e">
        <f t="shared" si="35"/>
        <v>#DIV/0!</v>
      </c>
      <c r="Z97">
        <f t="shared" si="36"/>
        <v>0</v>
      </c>
      <c r="AA97" t="e">
        <f t="shared" si="37"/>
        <v>#DIV/0!</v>
      </c>
    </row>
    <row r="98" spans="2:27">
      <c r="B98" s="209">
        <f>'All boreholes'!C101</f>
        <v>0</v>
      </c>
      <c r="C98" s="209">
        <f>'All boreholes'!H101</f>
        <v>0</v>
      </c>
      <c r="D98" s="226">
        <f>'All boreholes'!AG101</f>
        <v>0</v>
      </c>
      <c r="E98">
        <f t="shared" si="20"/>
        <v>0</v>
      </c>
      <c r="F98">
        <f t="shared" si="21"/>
        <v>0</v>
      </c>
      <c r="G98">
        <f t="shared" si="22"/>
        <v>0</v>
      </c>
      <c r="H98">
        <f t="shared" si="23"/>
        <v>0</v>
      </c>
      <c r="I98">
        <f t="shared" si="24"/>
        <v>0</v>
      </c>
      <c r="J98" s="225">
        <f>'All boreholes'!AM101</f>
        <v>0</v>
      </c>
      <c r="K98">
        <f t="shared" si="25"/>
        <v>0</v>
      </c>
      <c r="L98">
        <f t="shared" si="26"/>
        <v>0</v>
      </c>
      <c r="M98" t="e">
        <f t="shared" si="27"/>
        <v>#DIV/0!</v>
      </c>
      <c r="O98" s="209">
        <f>'All boreholes'!AG101</f>
        <v>0</v>
      </c>
      <c r="P98">
        <f t="shared" si="28"/>
        <v>0</v>
      </c>
      <c r="Q98">
        <f t="shared" si="29"/>
        <v>0</v>
      </c>
      <c r="R98">
        <f t="shared" si="30"/>
        <v>0</v>
      </c>
      <c r="S98">
        <f t="shared" si="31"/>
        <v>0</v>
      </c>
      <c r="T98">
        <f t="shared" si="32"/>
        <v>0</v>
      </c>
      <c r="U98" s="225">
        <f>'All boreholes'!AM101</f>
        <v>0</v>
      </c>
      <c r="V98">
        <f t="shared" si="33"/>
        <v>0</v>
      </c>
      <c r="W98">
        <f t="shared" si="34"/>
        <v>0</v>
      </c>
      <c r="X98" t="e">
        <f t="shared" si="35"/>
        <v>#DIV/0!</v>
      </c>
      <c r="Z98">
        <f t="shared" si="36"/>
        <v>0</v>
      </c>
      <c r="AA98" t="e">
        <f t="shared" si="37"/>
        <v>#DIV/0!</v>
      </c>
    </row>
    <row r="99" spans="2:27">
      <c r="B99" s="209">
        <f>'All boreholes'!C102</f>
        <v>0</v>
      </c>
      <c r="C99" s="209">
        <f>'All boreholes'!H102</f>
        <v>0</v>
      </c>
      <c r="D99" s="226">
        <f>'All boreholes'!AG102</f>
        <v>0</v>
      </c>
      <c r="E99">
        <f t="shared" si="20"/>
        <v>0</v>
      </c>
      <c r="F99">
        <f t="shared" si="21"/>
        <v>0</v>
      </c>
      <c r="G99">
        <f t="shared" si="22"/>
        <v>0</v>
      </c>
      <c r="H99">
        <f t="shared" si="23"/>
        <v>0</v>
      </c>
      <c r="I99">
        <f t="shared" si="24"/>
        <v>0</v>
      </c>
      <c r="J99" s="225">
        <f>'All boreholes'!AM102</f>
        <v>0</v>
      </c>
      <c r="K99">
        <f t="shared" si="25"/>
        <v>0</v>
      </c>
      <c r="L99">
        <f t="shared" si="26"/>
        <v>0</v>
      </c>
      <c r="M99" t="e">
        <f t="shared" si="27"/>
        <v>#DIV/0!</v>
      </c>
      <c r="O99" s="209">
        <f>'All boreholes'!AG102</f>
        <v>0</v>
      </c>
      <c r="P99">
        <f t="shared" si="28"/>
        <v>0</v>
      </c>
      <c r="Q99">
        <f t="shared" si="29"/>
        <v>0</v>
      </c>
      <c r="R99">
        <f t="shared" si="30"/>
        <v>0</v>
      </c>
      <c r="S99">
        <f t="shared" si="31"/>
        <v>0</v>
      </c>
      <c r="T99">
        <f t="shared" si="32"/>
        <v>0</v>
      </c>
      <c r="U99" s="225">
        <f>'All boreholes'!AM102</f>
        <v>0</v>
      </c>
      <c r="V99">
        <f t="shared" si="33"/>
        <v>0</v>
      </c>
      <c r="W99">
        <f t="shared" si="34"/>
        <v>0</v>
      </c>
      <c r="X99" t="e">
        <f t="shared" si="35"/>
        <v>#DIV/0!</v>
      </c>
      <c r="Z99">
        <f t="shared" si="36"/>
        <v>0</v>
      </c>
      <c r="AA99" t="e">
        <f t="shared" si="37"/>
        <v>#DIV/0!</v>
      </c>
    </row>
    <row r="100" spans="2:27">
      <c r="B100" s="209">
        <f>'All boreholes'!C103</f>
        <v>0</v>
      </c>
      <c r="C100" s="209">
        <f>'All boreholes'!H103</f>
        <v>0</v>
      </c>
      <c r="D100" s="226">
        <f>'All boreholes'!AG103</f>
        <v>0</v>
      </c>
      <c r="E100">
        <f t="shared" si="20"/>
        <v>0</v>
      </c>
      <c r="F100">
        <f t="shared" si="21"/>
        <v>0</v>
      </c>
      <c r="G100">
        <f t="shared" si="22"/>
        <v>0</v>
      </c>
      <c r="H100">
        <f t="shared" si="23"/>
        <v>0</v>
      </c>
      <c r="I100">
        <f t="shared" si="24"/>
        <v>0</v>
      </c>
      <c r="J100" s="225">
        <f>'All boreholes'!AM103</f>
        <v>0</v>
      </c>
      <c r="K100">
        <f t="shared" si="25"/>
        <v>0</v>
      </c>
      <c r="L100">
        <f t="shared" si="26"/>
        <v>0</v>
      </c>
      <c r="M100" t="e">
        <f t="shared" si="27"/>
        <v>#DIV/0!</v>
      </c>
      <c r="O100" s="209">
        <f>'All boreholes'!AG103</f>
        <v>0</v>
      </c>
      <c r="P100">
        <f t="shared" si="28"/>
        <v>0</v>
      </c>
      <c r="Q100">
        <f t="shared" si="29"/>
        <v>0</v>
      </c>
      <c r="R100">
        <f t="shared" si="30"/>
        <v>0</v>
      </c>
      <c r="S100">
        <f t="shared" si="31"/>
        <v>0</v>
      </c>
      <c r="T100">
        <f t="shared" si="32"/>
        <v>0</v>
      </c>
      <c r="U100" s="225">
        <f>'All boreholes'!AM103</f>
        <v>0</v>
      </c>
      <c r="V100">
        <f t="shared" si="33"/>
        <v>0</v>
      </c>
      <c r="W100">
        <f t="shared" si="34"/>
        <v>0</v>
      </c>
      <c r="X100" t="e">
        <f t="shared" si="35"/>
        <v>#DIV/0!</v>
      </c>
      <c r="Z100">
        <f t="shared" si="36"/>
        <v>0</v>
      </c>
      <c r="AA100" t="e">
        <f t="shared" si="37"/>
        <v>#DIV/0!</v>
      </c>
    </row>
    <row r="101" spans="2:27">
      <c r="B101" s="209">
        <f>'All boreholes'!C104</f>
        <v>0</v>
      </c>
      <c r="C101" s="209">
        <f>'All boreholes'!H104</f>
        <v>0</v>
      </c>
      <c r="D101" s="226">
        <f>'All boreholes'!AG104</f>
        <v>0</v>
      </c>
      <c r="E101">
        <f t="shared" si="20"/>
        <v>0</v>
      </c>
      <c r="F101">
        <f t="shared" si="21"/>
        <v>0</v>
      </c>
      <c r="G101">
        <f t="shared" si="22"/>
        <v>0</v>
      </c>
      <c r="H101">
        <f t="shared" si="23"/>
        <v>0</v>
      </c>
      <c r="I101">
        <f t="shared" si="24"/>
        <v>0</v>
      </c>
      <c r="J101" s="225">
        <f>'All boreholes'!AM104</f>
        <v>0</v>
      </c>
      <c r="K101">
        <f t="shared" si="25"/>
        <v>0</v>
      </c>
      <c r="L101">
        <f t="shared" si="26"/>
        <v>0</v>
      </c>
      <c r="M101" t="e">
        <f t="shared" si="27"/>
        <v>#DIV/0!</v>
      </c>
      <c r="O101" s="209">
        <f>'All boreholes'!AG104</f>
        <v>0</v>
      </c>
      <c r="P101">
        <f t="shared" si="28"/>
        <v>0</v>
      </c>
      <c r="Q101">
        <f t="shared" si="29"/>
        <v>0</v>
      </c>
      <c r="R101">
        <f t="shared" si="30"/>
        <v>0</v>
      </c>
      <c r="S101">
        <f t="shared" si="31"/>
        <v>0</v>
      </c>
      <c r="T101">
        <f t="shared" si="32"/>
        <v>0</v>
      </c>
      <c r="U101" s="225">
        <f>'All boreholes'!AM104</f>
        <v>0</v>
      </c>
      <c r="V101">
        <f t="shared" si="33"/>
        <v>0</v>
      </c>
      <c r="W101">
        <f t="shared" si="34"/>
        <v>0</v>
      </c>
      <c r="X101" t="e">
        <f t="shared" si="35"/>
        <v>#DIV/0!</v>
      </c>
      <c r="Z101">
        <f t="shared" si="36"/>
        <v>0</v>
      </c>
      <c r="AA101" t="e">
        <f t="shared" si="37"/>
        <v>#DIV/0!</v>
      </c>
    </row>
    <row r="102" spans="2:27">
      <c r="B102" s="209">
        <f>'All boreholes'!C105</f>
        <v>0</v>
      </c>
      <c r="C102" s="209">
        <f>'All boreholes'!H105</f>
        <v>0</v>
      </c>
      <c r="D102" s="226">
        <f>'All boreholes'!AG105</f>
        <v>0</v>
      </c>
      <c r="E102">
        <f t="shared" si="20"/>
        <v>0</v>
      </c>
      <c r="F102">
        <f t="shared" si="21"/>
        <v>0</v>
      </c>
      <c r="G102">
        <f t="shared" si="22"/>
        <v>0</v>
      </c>
      <c r="H102">
        <f t="shared" si="23"/>
        <v>0</v>
      </c>
      <c r="I102">
        <f t="shared" si="24"/>
        <v>0</v>
      </c>
      <c r="J102" s="225">
        <f>'All boreholes'!AM105</f>
        <v>0</v>
      </c>
      <c r="K102">
        <f t="shared" si="25"/>
        <v>0</v>
      </c>
      <c r="L102">
        <f t="shared" si="26"/>
        <v>0</v>
      </c>
      <c r="M102" t="e">
        <f t="shared" si="27"/>
        <v>#DIV/0!</v>
      </c>
      <c r="O102" s="209">
        <f>'All boreholes'!AG105</f>
        <v>0</v>
      </c>
      <c r="P102">
        <f t="shared" si="28"/>
        <v>0</v>
      </c>
      <c r="Q102">
        <f t="shared" si="29"/>
        <v>0</v>
      </c>
      <c r="R102">
        <f t="shared" si="30"/>
        <v>0</v>
      </c>
      <c r="S102">
        <f t="shared" si="31"/>
        <v>0</v>
      </c>
      <c r="T102">
        <f t="shared" si="32"/>
        <v>0</v>
      </c>
      <c r="U102" s="225">
        <f>'All boreholes'!AM105</f>
        <v>0</v>
      </c>
      <c r="V102">
        <f t="shared" si="33"/>
        <v>0</v>
      </c>
      <c r="W102">
        <f t="shared" si="34"/>
        <v>0</v>
      </c>
      <c r="X102" t="e">
        <f t="shared" si="35"/>
        <v>#DIV/0!</v>
      </c>
      <c r="Z102">
        <f t="shared" si="36"/>
        <v>0</v>
      </c>
      <c r="AA102" t="e">
        <f t="shared" si="37"/>
        <v>#DIV/0!</v>
      </c>
    </row>
    <row r="103" spans="2:27">
      <c r="B103" s="209">
        <f>'All boreholes'!C106</f>
        <v>0</v>
      </c>
      <c r="C103" s="209">
        <f>'All boreholes'!H106</f>
        <v>0</v>
      </c>
      <c r="D103" s="226">
        <f>'All boreholes'!AG106</f>
        <v>0</v>
      </c>
      <c r="E103">
        <f t="shared" si="20"/>
        <v>0</v>
      </c>
      <c r="F103">
        <f t="shared" si="21"/>
        <v>0</v>
      </c>
      <c r="G103">
        <f t="shared" si="22"/>
        <v>0</v>
      </c>
      <c r="H103">
        <f t="shared" si="23"/>
        <v>0</v>
      </c>
      <c r="I103">
        <f t="shared" si="24"/>
        <v>0</v>
      </c>
      <c r="J103" s="225">
        <f>'All boreholes'!AM106</f>
        <v>0</v>
      </c>
      <c r="K103">
        <f t="shared" si="25"/>
        <v>0</v>
      </c>
      <c r="L103">
        <f t="shared" si="26"/>
        <v>0</v>
      </c>
      <c r="M103" t="e">
        <f t="shared" si="27"/>
        <v>#DIV/0!</v>
      </c>
      <c r="O103" s="209">
        <f>'All boreholes'!AG106</f>
        <v>0</v>
      </c>
      <c r="P103">
        <f t="shared" si="28"/>
        <v>0</v>
      </c>
      <c r="Q103">
        <f t="shared" si="29"/>
        <v>0</v>
      </c>
      <c r="R103">
        <f t="shared" si="30"/>
        <v>0</v>
      </c>
      <c r="S103">
        <f t="shared" si="31"/>
        <v>0</v>
      </c>
      <c r="T103">
        <f t="shared" si="32"/>
        <v>0</v>
      </c>
      <c r="U103" s="225">
        <f>'All boreholes'!AM106</f>
        <v>0</v>
      </c>
      <c r="V103">
        <f t="shared" si="33"/>
        <v>0</v>
      </c>
      <c r="W103">
        <f t="shared" si="34"/>
        <v>0</v>
      </c>
      <c r="X103" t="e">
        <f t="shared" si="35"/>
        <v>#DIV/0!</v>
      </c>
      <c r="Z103">
        <f t="shared" si="36"/>
        <v>0</v>
      </c>
      <c r="AA103" t="e">
        <f t="shared" si="37"/>
        <v>#DIV/0!</v>
      </c>
    </row>
    <row r="104" spans="2:27">
      <c r="B104" s="209">
        <f>'All boreholes'!C107</f>
        <v>0</v>
      </c>
      <c r="C104" s="209">
        <f>'All boreholes'!H107</f>
        <v>0</v>
      </c>
      <c r="D104" s="226">
        <f>'All boreholes'!AG107</f>
        <v>0</v>
      </c>
      <c r="E104">
        <f t="shared" si="20"/>
        <v>0</v>
      </c>
      <c r="F104">
        <f t="shared" si="21"/>
        <v>0</v>
      </c>
      <c r="G104">
        <f t="shared" si="22"/>
        <v>0</v>
      </c>
      <c r="H104">
        <f t="shared" si="23"/>
        <v>0</v>
      </c>
      <c r="I104">
        <f t="shared" si="24"/>
        <v>0</v>
      </c>
      <c r="J104" s="225">
        <f>'All boreholes'!AM107</f>
        <v>0</v>
      </c>
      <c r="K104">
        <f t="shared" si="25"/>
        <v>0</v>
      </c>
      <c r="L104">
        <f t="shared" si="26"/>
        <v>0</v>
      </c>
      <c r="M104" t="e">
        <f t="shared" si="27"/>
        <v>#DIV/0!</v>
      </c>
      <c r="O104" s="209">
        <f>'All boreholes'!AG107</f>
        <v>0</v>
      </c>
      <c r="P104">
        <f t="shared" si="28"/>
        <v>0</v>
      </c>
      <c r="Q104">
        <f t="shared" si="29"/>
        <v>0</v>
      </c>
      <c r="R104">
        <f t="shared" si="30"/>
        <v>0</v>
      </c>
      <c r="S104">
        <f t="shared" si="31"/>
        <v>0</v>
      </c>
      <c r="T104">
        <f t="shared" si="32"/>
        <v>0</v>
      </c>
      <c r="U104" s="225">
        <f>'All boreholes'!AM107</f>
        <v>0</v>
      </c>
      <c r="V104">
        <f t="shared" si="33"/>
        <v>0</v>
      </c>
      <c r="W104">
        <f t="shared" si="34"/>
        <v>0</v>
      </c>
      <c r="X104" t="e">
        <f t="shared" si="35"/>
        <v>#DIV/0!</v>
      </c>
      <c r="Z104">
        <f t="shared" si="36"/>
        <v>0</v>
      </c>
      <c r="AA104" t="e">
        <f t="shared" si="37"/>
        <v>#DIV/0!</v>
      </c>
    </row>
    <row r="105" spans="2:27">
      <c r="B105" s="209">
        <f>'All boreholes'!C108</f>
        <v>0</v>
      </c>
      <c r="C105" s="209">
        <f>'All boreholes'!H108</f>
        <v>0</v>
      </c>
      <c r="D105" s="226">
        <f>'All boreholes'!AG108</f>
        <v>0</v>
      </c>
      <c r="E105">
        <f t="shared" si="20"/>
        <v>0</v>
      </c>
      <c r="F105">
        <f t="shared" si="21"/>
        <v>0</v>
      </c>
      <c r="G105">
        <f t="shared" si="22"/>
        <v>0</v>
      </c>
      <c r="H105">
        <f t="shared" si="23"/>
        <v>0</v>
      </c>
      <c r="I105">
        <f t="shared" si="24"/>
        <v>0</v>
      </c>
      <c r="J105" s="225">
        <f>'All boreholes'!AM108</f>
        <v>0</v>
      </c>
      <c r="K105">
        <f t="shared" si="25"/>
        <v>0</v>
      </c>
      <c r="L105">
        <f t="shared" si="26"/>
        <v>0</v>
      </c>
      <c r="M105" t="e">
        <f t="shared" si="27"/>
        <v>#DIV/0!</v>
      </c>
      <c r="O105" s="209">
        <f>'All boreholes'!AG108</f>
        <v>0</v>
      </c>
      <c r="P105">
        <f t="shared" si="28"/>
        <v>0</v>
      </c>
      <c r="Q105">
        <f t="shared" si="29"/>
        <v>0</v>
      </c>
      <c r="R105">
        <f t="shared" si="30"/>
        <v>0</v>
      </c>
      <c r="S105">
        <f t="shared" si="31"/>
        <v>0</v>
      </c>
      <c r="T105">
        <f t="shared" si="32"/>
        <v>0</v>
      </c>
      <c r="U105" s="225">
        <f>'All boreholes'!AM108</f>
        <v>0</v>
      </c>
      <c r="V105">
        <f t="shared" si="33"/>
        <v>0</v>
      </c>
      <c r="W105">
        <f t="shared" si="34"/>
        <v>0</v>
      </c>
      <c r="X105" t="e">
        <f t="shared" si="35"/>
        <v>#DIV/0!</v>
      </c>
      <c r="Z105">
        <f t="shared" si="36"/>
        <v>0</v>
      </c>
      <c r="AA105" t="e">
        <f t="shared" si="37"/>
        <v>#DIV/0!</v>
      </c>
    </row>
    <row r="106" spans="2:27">
      <c r="B106" s="209">
        <f>'All boreholes'!C109</f>
        <v>0</v>
      </c>
      <c r="C106" s="209">
        <f>'All boreholes'!H109</f>
        <v>0</v>
      </c>
      <c r="D106" s="226">
        <f>'All boreholes'!AG109</f>
        <v>0</v>
      </c>
      <c r="E106">
        <f t="shared" si="20"/>
        <v>0</v>
      </c>
      <c r="F106">
        <f t="shared" si="21"/>
        <v>0</v>
      </c>
      <c r="G106">
        <f t="shared" si="22"/>
        <v>0</v>
      </c>
      <c r="H106">
        <f t="shared" si="23"/>
        <v>0</v>
      </c>
      <c r="I106">
        <f t="shared" si="24"/>
        <v>0</v>
      </c>
      <c r="J106" s="225">
        <f>'All boreholes'!AM109</f>
        <v>0</v>
      </c>
      <c r="K106">
        <f t="shared" si="25"/>
        <v>0</v>
      </c>
      <c r="L106">
        <f t="shared" si="26"/>
        <v>0</v>
      </c>
      <c r="M106" t="e">
        <f t="shared" si="27"/>
        <v>#DIV/0!</v>
      </c>
      <c r="O106" s="209">
        <f>'All boreholes'!AG109</f>
        <v>0</v>
      </c>
      <c r="P106">
        <f t="shared" si="28"/>
        <v>0</v>
      </c>
      <c r="Q106">
        <f t="shared" si="29"/>
        <v>0</v>
      </c>
      <c r="R106">
        <f t="shared" si="30"/>
        <v>0</v>
      </c>
      <c r="S106">
        <f t="shared" si="31"/>
        <v>0</v>
      </c>
      <c r="T106">
        <f t="shared" si="32"/>
        <v>0</v>
      </c>
      <c r="U106" s="225">
        <f>'All boreholes'!AM109</f>
        <v>0</v>
      </c>
      <c r="V106">
        <f t="shared" si="33"/>
        <v>0</v>
      </c>
      <c r="W106">
        <f t="shared" si="34"/>
        <v>0</v>
      </c>
      <c r="X106" t="e">
        <f t="shared" si="35"/>
        <v>#DIV/0!</v>
      </c>
      <c r="Z106">
        <f t="shared" si="36"/>
        <v>0</v>
      </c>
      <c r="AA106" t="e">
        <f t="shared" si="37"/>
        <v>#DIV/0!</v>
      </c>
    </row>
    <row r="107" spans="2:27">
      <c r="B107" s="209">
        <f>'All boreholes'!C110</f>
        <v>0</v>
      </c>
      <c r="C107" s="209">
        <f>'All boreholes'!H110</f>
        <v>0</v>
      </c>
      <c r="D107" s="226">
        <f>'All boreholes'!AG110</f>
        <v>0</v>
      </c>
      <c r="E107">
        <f t="shared" si="20"/>
        <v>0</v>
      </c>
      <c r="F107">
        <f t="shared" si="21"/>
        <v>0</v>
      </c>
      <c r="G107">
        <f t="shared" si="22"/>
        <v>0</v>
      </c>
      <c r="H107">
        <f t="shared" si="23"/>
        <v>0</v>
      </c>
      <c r="I107">
        <f t="shared" si="24"/>
        <v>0</v>
      </c>
      <c r="J107" s="225">
        <f>'All boreholes'!AM110</f>
        <v>0</v>
      </c>
      <c r="K107">
        <f t="shared" si="25"/>
        <v>0</v>
      </c>
      <c r="L107">
        <f t="shared" si="26"/>
        <v>0</v>
      </c>
      <c r="M107" t="e">
        <f t="shared" si="27"/>
        <v>#DIV/0!</v>
      </c>
      <c r="O107" s="209">
        <f>'All boreholes'!AG110</f>
        <v>0</v>
      </c>
      <c r="P107">
        <f t="shared" si="28"/>
        <v>0</v>
      </c>
      <c r="Q107">
        <f t="shared" si="29"/>
        <v>0</v>
      </c>
      <c r="R107">
        <f t="shared" si="30"/>
        <v>0</v>
      </c>
      <c r="S107">
        <f t="shared" si="31"/>
        <v>0</v>
      </c>
      <c r="T107">
        <f t="shared" si="32"/>
        <v>0</v>
      </c>
      <c r="U107" s="225">
        <f>'All boreholes'!AM110</f>
        <v>0</v>
      </c>
      <c r="V107">
        <f t="shared" si="33"/>
        <v>0</v>
      </c>
      <c r="W107">
        <f t="shared" si="34"/>
        <v>0</v>
      </c>
      <c r="X107" t="e">
        <f t="shared" si="35"/>
        <v>#DIV/0!</v>
      </c>
      <c r="Z107">
        <f t="shared" si="36"/>
        <v>0</v>
      </c>
      <c r="AA107" t="e">
        <f t="shared" si="37"/>
        <v>#DIV/0!</v>
      </c>
    </row>
    <row r="108" spans="2:27">
      <c r="B108" s="209">
        <f>'All boreholes'!C111</f>
        <v>0</v>
      </c>
      <c r="C108" s="209">
        <f>'All boreholes'!H111</f>
        <v>0</v>
      </c>
      <c r="D108" s="226">
        <f>'All boreholes'!AG111</f>
        <v>0</v>
      </c>
      <c r="E108">
        <f t="shared" si="20"/>
        <v>0</v>
      </c>
      <c r="F108">
        <f t="shared" si="21"/>
        <v>0</v>
      </c>
      <c r="G108">
        <f t="shared" si="22"/>
        <v>0</v>
      </c>
      <c r="H108">
        <f t="shared" si="23"/>
        <v>0</v>
      </c>
      <c r="I108">
        <f t="shared" si="24"/>
        <v>0</v>
      </c>
      <c r="J108" s="225">
        <f>'All boreholes'!AM111</f>
        <v>0</v>
      </c>
      <c r="K108">
        <f t="shared" si="25"/>
        <v>0</v>
      </c>
      <c r="L108">
        <f t="shared" si="26"/>
        <v>0</v>
      </c>
      <c r="M108" t="e">
        <f t="shared" si="27"/>
        <v>#DIV/0!</v>
      </c>
      <c r="O108" s="209">
        <f>'All boreholes'!AG111</f>
        <v>0</v>
      </c>
      <c r="P108">
        <f t="shared" si="28"/>
        <v>0</v>
      </c>
      <c r="Q108">
        <f t="shared" si="29"/>
        <v>0</v>
      </c>
      <c r="R108">
        <f t="shared" si="30"/>
        <v>0</v>
      </c>
      <c r="S108">
        <f t="shared" si="31"/>
        <v>0</v>
      </c>
      <c r="T108">
        <f t="shared" si="32"/>
        <v>0</v>
      </c>
      <c r="U108" s="225">
        <f>'All boreholes'!AM111</f>
        <v>0</v>
      </c>
      <c r="V108">
        <f t="shared" si="33"/>
        <v>0</v>
      </c>
      <c r="W108">
        <f t="shared" si="34"/>
        <v>0</v>
      </c>
      <c r="X108" t="e">
        <f t="shared" si="35"/>
        <v>#DIV/0!</v>
      </c>
      <c r="Z108">
        <f t="shared" si="36"/>
        <v>0</v>
      </c>
      <c r="AA108" t="e">
        <f t="shared" si="37"/>
        <v>#DIV/0!</v>
      </c>
    </row>
    <row r="109" spans="2:27">
      <c r="B109" s="209">
        <f>'All boreholes'!C112</f>
        <v>0</v>
      </c>
      <c r="C109" s="209">
        <f>'All boreholes'!H112</f>
        <v>0</v>
      </c>
      <c r="D109" s="226">
        <f>'All boreholes'!AG112</f>
        <v>0</v>
      </c>
      <c r="E109">
        <f t="shared" si="20"/>
        <v>0</v>
      </c>
      <c r="F109">
        <f t="shared" si="21"/>
        <v>0</v>
      </c>
      <c r="G109">
        <f t="shared" si="22"/>
        <v>0</v>
      </c>
      <c r="H109">
        <f t="shared" si="23"/>
        <v>0</v>
      </c>
      <c r="I109">
        <f t="shared" si="24"/>
        <v>0</v>
      </c>
      <c r="J109" s="225">
        <f>'All boreholes'!AM112</f>
        <v>0</v>
      </c>
      <c r="K109">
        <f t="shared" si="25"/>
        <v>0</v>
      </c>
      <c r="L109">
        <f t="shared" si="26"/>
        <v>0</v>
      </c>
      <c r="M109" t="e">
        <f t="shared" si="27"/>
        <v>#DIV/0!</v>
      </c>
      <c r="O109" s="209">
        <f>'All boreholes'!AG112</f>
        <v>0</v>
      </c>
      <c r="P109">
        <f t="shared" si="28"/>
        <v>0</v>
      </c>
      <c r="Q109">
        <f t="shared" si="29"/>
        <v>0</v>
      </c>
      <c r="R109">
        <f t="shared" si="30"/>
        <v>0</v>
      </c>
      <c r="S109">
        <f t="shared" si="31"/>
        <v>0</v>
      </c>
      <c r="T109">
        <f t="shared" si="32"/>
        <v>0</v>
      </c>
      <c r="U109" s="225">
        <f>'All boreholes'!AM112</f>
        <v>0</v>
      </c>
      <c r="V109">
        <f t="shared" si="33"/>
        <v>0</v>
      </c>
      <c r="W109">
        <f t="shared" si="34"/>
        <v>0</v>
      </c>
      <c r="X109" t="e">
        <f t="shared" si="35"/>
        <v>#DIV/0!</v>
      </c>
      <c r="Z109">
        <f t="shared" si="36"/>
        <v>0</v>
      </c>
      <c r="AA109" t="e">
        <f t="shared" si="37"/>
        <v>#DIV/0!</v>
      </c>
    </row>
    <row r="110" spans="2:27">
      <c r="B110" s="209">
        <f>'All boreholes'!C113</f>
        <v>0</v>
      </c>
      <c r="C110" s="209">
        <f>'All boreholes'!H113</f>
        <v>0</v>
      </c>
      <c r="D110" s="226">
        <f>'All boreholes'!AG113</f>
        <v>0</v>
      </c>
      <c r="E110">
        <f t="shared" si="20"/>
        <v>0</v>
      </c>
      <c r="F110">
        <f t="shared" si="21"/>
        <v>0</v>
      </c>
      <c r="G110">
        <f t="shared" si="22"/>
        <v>0</v>
      </c>
      <c r="H110">
        <f t="shared" si="23"/>
        <v>0</v>
      </c>
      <c r="I110">
        <f t="shared" si="24"/>
        <v>0</v>
      </c>
      <c r="J110" s="225">
        <f>'All boreholes'!AM113</f>
        <v>0</v>
      </c>
      <c r="K110">
        <f t="shared" si="25"/>
        <v>0</v>
      </c>
      <c r="L110">
        <f t="shared" si="26"/>
        <v>0</v>
      </c>
      <c r="M110" t="e">
        <f t="shared" si="27"/>
        <v>#DIV/0!</v>
      </c>
      <c r="O110" s="209">
        <f>'All boreholes'!AG113</f>
        <v>0</v>
      </c>
      <c r="P110">
        <f t="shared" si="28"/>
        <v>0</v>
      </c>
      <c r="Q110">
        <f t="shared" si="29"/>
        <v>0</v>
      </c>
      <c r="R110">
        <f t="shared" si="30"/>
        <v>0</v>
      </c>
      <c r="S110">
        <f t="shared" si="31"/>
        <v>0</v>
      </c>
      <c r="T110">
        <f t="shared" si="32"/>
        <v>0</v>
      </c>
      <c r="U110" s="225">
        <f>'All boreholes'!AM113</f>
        <v>0</v>
      </c>
      <c r="V110">
        <f t="shared" si="33"/>
        <v>0</v>
      </c>
      <c r="W110">
        <f t="shared" si="34"/>
        <v>0</v>
      </c>
      <c r="X110" t="e">
        <f t="shared" si="35"/>
        <v>#DIV/0!</v>
      </c>
      <c r="Z110">
        <f t="shared" si="36"/>
        <v>0</v>
      </c>
      <c r="AA110" t="e">
        <f t="shared" si="37"/>
        <v>#DIV/0!</v>
      </c>
    </row>
    <row r="111" spans="2:27">
      <c r="B111" s="209">
        <f>'All boreholes'!C114</f>
        <v>0</v>
      </c>
      <c r="C111" s="209">
        <f>'All boreholes'!H114</f>
        <v>0</v>
      </c>
      <c r="D111" s="226">
        <f>'All boreholes'!AG114</f>
        <v>0</v>
      </c>
      <c r="E111">
        <f t="shared" si="20"/>
        <v>0</v>
      </c>
      <c r="F111">
        <f t="shared" si="21"/>
        <v>0</v>
      </c>
      <c r="G111">
        <f t="shared" si="22"/>
        <v>0</v>
      </c>
      <c r="H111">
        <f t="shared" si="23"/>
        <v>0</v>
      </c>
      <c r="I111">
        <f t="shared" si="24"/>
        <v>0</v>
      </c>
      <c r="J111" s="225">
        <f>'All boreholes'!AM114</f>
        <v>0</v>
      </c>
      <c r="K111">
        <f t="shared" si="25"/>
        <v>0</v>
      </c>
      <c r="L111">
        <f t="shared" si="26"/>
        <v>0</v>
      </c>
      <c r="M111" t="e">
        <f t="shared" si="27"/>
        <v>#DIV/0!</v>
      </c>
      <c r="O111" s="209">
        <f>'All boreholes'!AG114</f>
        <v>0</v>
      </c>
      <c r="P111">
        <f t="shared" si="28"/>
        <v>0</v>
      </c>
      <c r="Q111">
        <f t="shared" si="29"/>
        <v>0</v>
      </c>
      <c r="R111">
        <f t="shared" si="30"/>
        <v>0</v>
      </c>
      <c r="S111">
        <f t="shared" si="31"/>
        <v>0</v>
      </c>
      <c r="T111">
        <f t="shared" si="32"/>
        <v>0</v>
      </c>
      <c r="U111" s="225">
        <f>'All boreholes'!AM114</f>
        <v>0</v>
      </c>
      <c r="V111">
        <f t="shared" si="33"/>
        <v>0</v>
      </c>
      <c r="W111">
        <f t="shared" si="34"/>
        <v>0</v>
      </c>
      <c r="X111" t="e">
        <f t="shared" si="35"/>
        <v>#DIV/0!</v>
      </c>
      <c r="Z111">
        <f t="shared" si="36"/>
        <v>0</v>
      </c>
      <c r="AA111" t="e">
        <f t="shared" si="37"/>
        <v>#DIV/0!</v>
      </c>
    </row>
    <row r="112" spans="2:27">
      <c r="B112" s="209">
        <f>'All boreholes'!C115</f>
        <v>0</v>
      </c>
      <c r="C112" s="209">
        <f>'All boreholes'!H115</f>
        <v>0</v>
      </c>
      <c r="D112" s="226">
        <f>'All boreholes'!AG115</f>
        <v>0</v>
      </c>
      <c r="E112">
        <f t="shared" si="20"/>
        <v>0</v>
      </c>
      <c r="F112">
        <f t="shared" si="21"/>
        <v>0</v>
      </c>
      <c r="G112">
        <f t="shared" si="22"/>
        <v>0</v>
      </c>
      <c r="H112">
        <f t="shared" si="23"/>
        <v>0</v>
      </c>
      <c r="I112">
        <f t="shared" si="24"/>
        <v>0</v>
      </c>
      <c r="J112" s="225">
        <f>'All boreholes'!AM115</f>
        <v>0</v>
      </c>
      <c r="K112">
        <f t="shared" si="25"/>
        <v>0</v>
      </c>
      <c r="L112">
        <f t="shared" si="26"/>
        <v>0</v>
      </c>
      <c r="M112" t="e">
        <f t="shared" si="27"/>
        <v>#DIV/0!</v>
      </c>
      <c r="O112" s="209">
        <f>'All boreholes'!AG115</f>
        <v>0</v>
      </c>
      <c r="P112">
        <f t="shared" si="28"/>
        <v>0</v>
      </c>
      <c r="Q112">
        <f t="shared" si="29"/>
        <v>0</v>
      </c>
      <c r="R112">
        <f t="shared" si="30"/>
        <v>0</v>
      </c>
      <c r="S112">
        <f t="shared" si="31"/>
        <v>0</v>
      </c>
      <c r="T112">
        <f t="shared" si="32"/>
        <v>0</v>
      </c>
      <c r="U112" s="225">
        <f>'All boreholes'!AM115</f>
        <v>0</v>
      </c>
      <c r="V112">
        <f t="shared" si="33"/>
        <v>0</v>
      </c>
      <c r="W112">
        <f t="shared" si="34"/>
        <v>0</v>
      </c>
      <c r="X112" t="e">
        <f t="shared" si="35"/>
        <v>#DIV/0!</v>
      </c>
      <c r="Z112">
        <f t="shared" si="36"/>
        <v>0</v>
      </c>
      <c r="AA112" t="e">
        <f t="shared" si="37"/>
        <v>#DIV/0!</v>
      </c>
    </row>
    <row r="113" spans="11:11">
      <c r="K113" s="225"/>
    </row>
    <row r="114" spans="11:11">
      <c r="K114" s="225"/>
    </row>
    <row r="115" spans="11:11">
      <c r="K115" s="225"/>
    </row>
    <row r="116" spans="11:11">
      <c r="K116" s="225"/>
    </row>
    <row r="117" spans="11:11">
      <c r="K117" s="225"/>
    </row>
    <row r="118" spans="11:11">
      <c r="K118" s="225"/>
    </row>
    <row r="119" spans="11:11">
      <c r="K119" s="225"/>
    </row>
    <row r="120" spans="11:11">
      <c r="K120" s="225"/>
    </row>
    <row r="121" spans="11:11">
      <c r="K121" s="225"/>
    </row>
    <row r="122" spans="11:11">
      <c r="K122" s="225"/>
    </row>
    <row r="123" spans="11:11">
      <c r="K123" s="225"/>
    </row>
    <row r="124" spans="11:11">
      <c r="K124" s="225"/>
    </row>
    <row r="125" spans="11:11">
      <c r="K125" s="225"/>
    </row>
    <row r="126" spans="11:11">
      <c r="K126" s="225"/>
    </row>
    <row r="127" spans="11:11">
      <c r="K127" s="225"/>
    </row>
    <row r="128" spans="11:11">
      <c r="K128" s="225"/>
    </row>
    <row r="129" spans="11:11">
      <c r="K129" s="225"/>
    </row>
    <row r="130" spans="11:11">
      <c r="K130" s="225"/>
    </row>
    <row r="131" spans="11:11">
      <c r="K131" s="225"/>
    </row>
    <row r="132" spans="11:11">
      <c r="K132" s="225"/>
    </row>
  </sheetData>
  <mergeCells count="3">
    <mergeCell ref="B3:B4"/>
    <mergeCell ref="O7:W7"/>
    <mergeCell ref="D7:L7"/>
  </mergeCell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0916D62C96FB42BB4C07D1B2348EF3" ma:contentTypeVersion="12" ma:contentTypeDescription="Create a new document." ma:contentTypeScope="" ma:versionID="cf17055c080252b0d8cbb30c0228c54c">
  <xsd:schema xmlns:xsd="http://www.w3.org/2001/XMLSchema" xmlns:xs="http://www.w3.org/2001/XMLSchema" xmlns:p="http://schemas.microsoft.com/office/2006/metadata/properties" xmlns:ns3="8b2420c9-2973-4635-b51b-bc7c70ab1af7" xmlns:ns4="cbf5e299-5acb-457e-8c00-fcb48671b9a9" targetNamespace="http://schemas.microsoft.com/office/2006/metadata/properties" ma:root="true" ma:fieldsID="4cbfb1b81abbe028b8e5f9bd4fd003d2" ns3:_="" ns4:_="">
    <xsd:import namespace="8b2420c9-2973-4635-b51b-bc7c70ab1af7"/>
    <xsd:import namespace="cbf5e299-5acb-457e-8c00-fcb48671b9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2420c9-2973-4635-b51b-bc7c70ab1af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f5e299-5acb-457e-8c00-fcb48671b9a9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4BBA17-8425-4A6D-A0B0-8F8489C7B9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2420c9-2973-4635-b51b-bc7c70ab1af7"/>
    <ds:schemaRef ds:uri="cbf5e299-5acb-457e-8c00-fcb48671b9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1A03F1C-36C3-47DC-9323-5644C033D38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DF73991-1877-44C8-A763-9E22EC7B2760}">
  <ds:schemaRefs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cbf5e299-5acb-457e-8c00-fcb48671b9a9"/>
    <ds:schemaRef ds:uri="8b2420c9-2973-4635-b51b-bc7c70ab1af7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Beach Club</vt:lpstr>
      <vt:lpstr>Resort Assets</vt:lpstr>
      <vt:lpstr>Waterpark</vt:lpstr>
      <vt:lpstr>Infra</vt:lpstr>
      <vt:lpstr>Resort Assets (2)</vt:lpstr>
      <vt:lpstr>INSTRUCTIONS</vt:lpstr>
      <vt:lpstr>All boreholes</vt:lpstr>
      <vt:lpstr>Liq-Graphs</vt:lpstr>
      <vt:lpstr>Comparison with LiquefyPro</vt:lpstr>
      <vt:lpstr>Conclusions</vt:lpstr>
      <vt:lpstr>Comparison with Settle 3D</vt:lpstr>
      <vt:lpstr>MSF as per different methods</vt:lpstr>
      <vt:lpstr>'All boreholes'!Print_Area</vt:lpstr>
      <vt:lpstr>'Beach Club'!Print_Area</vt:lpstr>
      <vt:lpstr>Infra!Print_Area</vt:lpstr>
      <vt:lpstr>'Resort Assets'!Print_Area</vt:lpstr>
      <vt:lpstr>'Resort Assets (2)'!Print_Area</vt:lpstr>
      <vt:lpstr>Waterpark!Print_Area</vt:lpstr>
      <vt:lpstr>'Beach Club'!Print_Titles</vt:lpstr>
    </vt:vector>
  </TitlesOfParts>
  <Company>Mouchel Consulting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KEGates</dc:creator>
  <cp:lastModifiedBy>Parippayi, Sreejith</cp:lastModifiedBy>
  <cp:lastPrinted>2021-01-07T03:12:42Z</cp:lastPrinted>
  <dcterms:created xsi:type="dcterms:W3CDTF">2006-04-20T10:51:49Z</dcterms:created>
  <dcterms:modified xsi:type="dcterms:W3CDTF">2025-02-12T15:30:19Z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0x0101006F0916D62C96FB42BB4C07D1B2348EF3</vt:lpwstr>
  </property>
</Properties>
</file>